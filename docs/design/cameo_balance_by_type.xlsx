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tants" sheetId="1" state="visible" r:id="rId1"/>
    <sheet name="Infantry" sheetId="2" state="visible" r:id="rId2"/>
    <sheet name="Tanks" sheetId="3" state="visible" r:id="rId3"/>
    <sheet name="Vehicles" sheetId="4" state="visible" r:id="rId4"/>
    <sheet name="Aircraft" sheetId="5" state="visible" r:id="rId5"/>
    <sheet name="Defenses" sheetId="6" state="visible" r:id="rId6"/>
    <sheet name="Nav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/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2" borderId="0" pivotButton="0" quotePrefix="0" xfId="0"/>
    <xf numFmtId="0" fontId="0" fillId="2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balance-pipeline</author>
  </authors>
  <commentList>
    <comment ref="L3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" authorId="0" shapeId="0">
      <text>
        <t>fires when: tkm_upgrade_titanarsenalupgrade</t>
      </text>
    </comment>
    <comment ref="L46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" authorId="0" shapeId="0">
      <text>
        <t>fires when: tkm_upgrade_titanarsenalupgrade</t>
      </text>
    </comment>
    <comment ref="L47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" authorId="0" shapeId="0">
      <text>
        <t>fires when: tkm_upgrade_titanarsenalupgrade</t>
      </text>
    </comment>
    <comment ref="L48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" authorId="0" shapeId="0">
      <text>
        <t>fires when: tkm_upgrade_titanarsenalupgrade</t>
      </text>
    </comment>
    <comment ref="L53" authorId="0" shapeId="0">
      <text>
        <t>per-shot TOTAL across 3 main warhead(s).
raw warhead damages: 2000, 1, 2000, 1, 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" authorId="0" shapeId="0">
      <text>
        <t>per-shot TOTAL across 2 main warhead(s).
raw warhead damages: 2000, 1, 3200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4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5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7" authorId="0" shapeId="0">
      <text>
        <t>per-shot TOTAL across 4 main warhead(s).
raw warhead damages: 2000, 1, 1000, 1, 2000, 1, 600,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8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9" authorId="0" shapeId="0">
      <text>
        <t>per-shot TOTAL across 4 main warhead(s).
raw warhead damages: 2000, 1, 1000, 1, 2000, 1, 600,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" authorId="0" shapeId="0">
      <text>
        <t>per-shot TOTAL across 2 main warhead(s).
raw warhead damages: -1600,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" authorId="0" shapeId="0">
      <text>
        <t>fires when: !td_gdi_upgrade_armorpiercingbullets</t>
      </text>
    </comment>
    <comment ref="L8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" authorId="0" shapeId="0">
      <text>
        <t>fires when: !td_gdi_upgrade_armorpiercingbullets</t>
      </text>
    </comment>
    <comment ref="L8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" authorId="0" shapeId="0">
      <text>
        <t>fires when: td_gdi_upgrade_armorpiercingbullets</t>
      </text>
    </comment>
    <comment ref="L8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" authorId="0" shapeId="0">
      <text>
        <t>fires when: td_gdi_upgrade_armorpiercingbullets</t>
      </text>
    </comment>
    <comment ref="L8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" authorId="0" shapeId="0">
      <text>
        <t>fires when: !td_gdi_upgrade_armorpiercingbullets</t>
      </text>
    </comment>
    <comment ref="L8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6" authorId="0" shapeId="0">
      <text>
        <t>fires when: !td_gdi_upgrade_armorpiercingbullets</t>
      </text>
    </comment>
    <comment ref="L8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" authorId="0" shapeId="0">
      <text>
        <t>fires when: td_gdi_upgrade_armorpiercingbullets</t>
      </text>
    </comment>
    <comment ref="L8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" authorId="0" shapeId="0">
      <text>
        <t>fires when: td_gdi_upgrade_armorpiercingbullets</t>
      </text>
    </comment>
    <comment ref="L9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" authorId="0" shapeId="0">
      <text>
        <t>fires when: !td_nod_upgrade_blackmarketupgrades</t>
      </text>
    </comment>
    <comment ref="L9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" authorId="0" shapeId="0">
      <text>
        <t>fires when: !td_nod_upgrade_blackmarketupgrades</t>
      </text>
    </comment>
    <comment ref="L92" authorId="0" shapeId="0">
      <text>
        <t>per-shot TOTAL across 3 main warhead(s).
raw warhead damages: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" authorId="0" shapeId="0">
      <text>
        <t>fires when: td_nod_upgrade_blackmarketupgrades</t>
      </text>
    </comment>
    <comment ref="L93" authorId="0" shapeId="0">
      <text>
        <t>per-shot TOTAL across 3 main warhead(s).
raw warhead damages: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" authorId="0" shapeId="0">
      <text>
        <t>fires when: td_nod_upgrade_blackmarketupgrades</t>
      </text>
    </comment>
    <comment ref="L9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" authorId="0" shapeId="0">
      <text>
        <t>fires when: !ra1_allies_upgrade_cryomissiles</t>
      </text>
    </comment>
    <comment ref="L9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" authorId="0" shapeId="0">
      <text>
        <t>fires when: !ra1_allies_upgrade_cryomissiles</t>
      </text>
    </comment>
    <comment ref="L9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" authorId="0" shapeId="0">
      <text>
        <t>fires when: ra1_allies_upgrade_cryomissiles</t>
      </text>
    </comment>
    <comment ref="L9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" authorId="0" shapeId="0">
      <text>
        <t>fires when: ra1_allies_upgrade_cryomissiles</t>
      </text>
    </comment>
    <comment ref="L10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" authorId="0" shapeId="0">
      <text>
        <t>fires when: !ra1_soviets_upgrade_incendiarybullets</t>
      </text>
    </comment>
    <comment ref="L10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" authorId="0" shapeId="0">
      <text>
        <t>fires when: !ra1_soviets_upgrade_incendiarybullets</t>
      </text>
    </comment>
    <comment ref="L10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" authorId="0" shapeId="0">
      <text>
        <t>fires when: ra1_soviets_upgrade_incendiarybullets</t>
      </text>
    </comment>
    <comment ref="L10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" authorId="0" shapeId="0">
      <text>
        <t>fires when: ra1_soviets_upgrade_incendiarybullets</t>
      </text>
    </comment>
    <comment ref="L11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" authorId="0" shapeId="0">
      <text>
        <t>fires when: !ts_nod_upgrade_tiberiumlenses</t>
      </text>
    </comment>
    <comment ref="L11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" authorId="0" shapeId="0">
      <text>
        <t>fires when: !ts_nod_upgrade_tiberiumlenses</t>
      </text>
    </comment>
    <comment ref="L112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" authorId="0" shapeId="0">
      <text>
        <t>fires when: ts_nod_upgrade_tiberiumlenses</t>
      </text>
    </comment>
    <comment ref="L113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" authorId="0" shapeId="0">
      <text>
        <t>fires when: ts_nod_upgrade_tiberiumlenses</t>
      </text>
    </comment>
    <comment ref="L11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7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0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1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3" authorId="0" shapeId="0">
      <text>
        <t>fires when: !rank-elite</t>
      </text>
    </comment>
    <comment ref="L13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4" authorId="0" shapeId="0">
      <text>
        <t>fires when: rank-elite</t>
      </text>
    </comment>
    <comment ref="L13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7" authorId="0" shapeId="0">
      <text>
        <t>fires when: !deployed &amp;&amp; !ra2_allies_upgrade_elitegi</t>
      </text>
    </comment>
    <comment ref="L13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8" authorId="0" shapeId="0">
      <text>
        <t>fires when: !deployed &amp;&amp; ra2_allies_upgrade_elitegi</t>
      </text>
    </comment>
    <comment ref="L13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3" authorId="0" shapeId="0">
      <text>
        <t>fires when: !rank-elite</t>
      </text>
    </comment>
    <comment ref="L14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4" authorId="0" shapeId="0">
      <text>
        <t>fires when: rank-elite</t>
      </text>
    </comment>
    <comment ref="L14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9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9" authorId="0" shapeId="0">
      <text>
        <t>fires when: !rank-elite</t>
      </text>
    </comment>
    <comment ref="L150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0" authorId="0" shapeId="0">
      <text>
        <t>fires when: rank-elite</t>
      </text>
    </comment>
    <comment ref="L15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1" authorId="0" shapeId="0">
      <text>
        <t>fires when: asianalliance_doctrine_modernizedinfantryequipment &amp;&amp; !rank-elite</t>
      </text>
    </comment>
    <comment ref="L15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2" authorId="0" shapeId="0">
      <text>
        <t>fires when: asianalliance_doctrine_modernizedinfantryequipment &amp;&amp; rank-elite</t>
      </text>
    </comment>
    <comment ref="L153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3" authorId="0" shapeId="0">
      <text>
        <t>fires when: !rank-elite</t>
      </text>
    </comment>
    <comment ref="L15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4" authorId="0" shapeId="0">
      <text>
        <t>fires when: rank-elite</t>
      </text>
    </comment>
    <comment ref="L15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5" authorId="0" shapeId="0">
      <text>
        <t>fires when: asianalliance_doctrine_modernizedinfantryequipment &amp;&amp; !rank-elite</t>
      </text>
    </comment>
    <comment ref="L15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6" authorId="0" shapeId="0">
      <text>
        <t>fires when: asianalliance_doctrine_modernizedinfantryequipment &amp;&amp; rank-elite</t>
      </text>
    </comment>
    <comment ref="L15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8" authorId="0" shapeId="0">
      <text>
        <t>fires when: !rank-elite</t>
      </text>
    </comment>
    <comment ref="L15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9" authorId="0" shapeId="0">
      <text>
        <t>fires when: rank-elite</t>
      </text>
    </comment>
    <comment ref="L160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0" authorId="0" shapeId="0">
      <text>
        <t>fires when: latinsyndicate_doctrine_eliteguerillas &amp;&amp; !rank-elite</t>
      </text>
    </comment>
    <comment ref="L161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1" authorId="0" shapeId="0">
      <text>
        <t>fires when: latinsyndicate_doctrine_eliteguerillas &amp;&amp; rank-elite</t>
      </text>
    </comment>
    <comment ref="L162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2" authorId="0" shapeId="0">
      <text>
        <t>fires when: !rank-elite</t>
      </text>
    </comment>
    <comment ref="L16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3" authorId="0" shapeId="0">
      <text>
        <t>fires when: rank-elite</t>
      </text>
    </comment>
    <comment ref="L164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4" authorId="0" shapeId="0">
      <text>
        <t>fires when: latinsyndicate_doctrine_eliteguerillas &amp;&amp; !rank-elite</t>
      </text>
    </comment>
    <comment ref="L165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5" authorId="0" shapeId="0">
      <text>
        <t>fires when: latinsyndicate_doctrine_eliteguerillas &amp;&amp; rank-elite</t>
      </text>
    </comment>
    <comment ref="L167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7" authorId="0" shapeId="0">
      <text>
        <t>fires when: !rank-elite</t>
      </text>
    </comment>
    <comment ref="L168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8" authorId="0" shapeId="0">
      <text>
        <t>fires when: rank-elite</t>
      </text>
    </comment>
    <comment ref="L169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9" authorId="0" shapeId="0">
      <text>
        <t>fires when: !rank-elite</t>
      </text>
    </comment>
    <comment ref="L170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0" authorId="0" shapeId="0">
      <text>
        <t>fires when: rank-elite</t>
      </text>
    </comment>
    <comment ref="L172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3" authorId="0" shapeId="0">
      <text>
        <t>fires when: !rank-elite</t>
      </text>
    </comment>
    <comment ref="L17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4" authorId="0" shapeId="0">
      <text>
        <t>fires when: rank-elite</t>
      </text>
    </comment>
    <comment ref="L176" authorId="0" shapeId="0">
      <text>
        <t>per-shot TOTAL across 1 main warhead(s).
raw warhead damages: 8000,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6" authorId="0" shapeId="0">
      <text>
        <t>fires when: !rank-elite</t>
      </text>
    </comment>
    <comment ref="L177" authorId="0" shapeId="0">
      <text>
        <t>per-shot TOTAL across 1 main warhead(s).
raw warhead damages: 8000,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7" authorId="0" shapeId="0">
      <text>
        <t>fires when: rank-elite</t>
      </text>
    </comment>
    <comment ref="L178" authorId="0" shapeId="0">
      <text>
        <t>per-shot TOTAL across 1 main warhead(s).
raw warhead damages: 8000,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8" authorId="0" shapeId="0">
      <text>
        <t>fires when: !rank-elite</t>
      </text>
    </comment>
    <comment ref="L179" authorId="0" shapeId="0">
      <text>
        <t>per-shot TOTAL across 1 main warhead(s).
raw warhead damages: 8000,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9" authorId="0" shapeId="0">
      <text>
        <t>fires when: rank-elite</t>
      </text>
    </comment>
    <comment ref="L181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1" authorId="0" shapeId="0">
      <text>
        <t>fires when: !rank-elite</t>
      </text>
    </comment>
    <comment ref="L18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2" authorId="0" shapeId="0">
      <text>
        <t>fires when: rank-elite</t>
      </text>
    </comment>
    <comment ref="L18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3" authorId="0" shapeId="0">
      <text>
        <t>fires when: !rank-elite</t>
      </text>
    </comment>
    <comment ref="L18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4" authorId="0" shapeId="0">
      <text>
        <t>fires when: rank-elite</t>
      </text>
    </comment>
    <comment ref="L187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7" authorId="0" shapeId="0">
      <text>
        <t>fires when: !rank-elite</t>
      </text>
    </comment>
    <comment ref="L188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8" authorId="0" shapeId="0">
      <text>
        <t>fires when: rank-elite</t>
      </text>
    </comment>
    <comment ref="L189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9" authorId="0" shapeId="0">
      <text>
        <t>fires when: !rank-elite</t>
      </text>
    </comment>
    <comment ref="L190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0" authorId="0" shapeId="0">
      <text>
        <t>fires when: rank-elite</t>
      </text>
    </comment>
    <comment ref="L192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2" authorId="0" shapeId="0">
      <text>
        <t>fires when: !rank-elite</t>
      </text>
    </comment>
    <comment ref="L193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3" authorId="0" shapeId="0">
      <text>
        <t>fires when: rank-elite</t>
      </text>
    </comment>
    <comment ref="L19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4" authorId="0" shapeId="0">
      <text>
        <t>fires when: !rank-elite</t>
      </text>
    </comment>
    <comment ref="L195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5" authorId="0" shapeId="0">
      <text>
        <t>fires when: rank-elite</t>
      </text>
    </comment>
    <comment ref="L19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8" authorId="0" shapeId="0">
      <text>
        <t>fires when: !tkm_upgrade_titanarmorpiercingbulletsupgrade</t>
      </text>
    </comment>
    <comment ref="L19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9" authorId="0" shapeId="0">
      <text>
        <t>fires when: tkm_upgrade_titanarmorpiercingbulletsupgrade</t>
      </text>
    </comment>
    <comment ref="L20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0" authorId="0" shapeId="0">
      <text>
        <t>fires when: !tkm_upgrade_titanarmorpiercingbulletsupgrade</t>
      </text>
    </comment>
    <comment ref="L20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1" authorId="0" shapeId="0">
      <text>
        <t>fires when: tkm_upgrade_titanarmorpiercingbulletsupgrade</t>
      </text>
    </comment>
    <comment ref="L203" authorId="0" shapeId="0">
      <text>
        <t>per-shot TOTAL across 1 main warhead(s).
raw warhead damages: 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3" authorId="0" shapeId="0">
      <text>
        <t>fires when: !tkm_upgrade_semiautoriflesupgrade</t>
      </text>
    </comment>
    <comment ref="L204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4" authorId="0" shapeId="0">
      <text>
        <t>fires when: tkm_upgrade_semiautoriflesupgrade</t>
      </text>
    </comment>
    <comment ref="L205" authorId="0" shapeId="0">
      <text>
        <t>per-shot TOTAL across 1 main warhead(s).
raw warhead damages: 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7" authorId="0" shapeId="0">
      <text>
        <t>fires when: !ixian_upgrade_tungstenneedleguns</t>
      </text>
    </comment>
    <comment ref="L20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8" authorId="0" shapeId="0">
      <text>
        <t>fires when: ixian_upgrade_tungstenneedleguns</t>
      </text>
    </comment>
    <comment ref="L20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9" authorId="0" shapeId="0">
      <text>
        <t>fires when: !ixian_upgrade_tungstenneedleguns</t>
      </text>
    </comment>
    <comment ref="L21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0" authorId="0" shapeId="0">
      <text>
        <t>fires when: ixian_upgrade_tungstenneedleguns</t>
      </text>
    </comment>
    <comment ref="L21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2" authorId="0" shapeId="0">
      <text>
        <t>fires when: !ordos_upgrade_lasercartridges</t>
      </text>
    </comment>
    <comment ref="L213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3" authorId="0" shapeId="0">
      <text>
        <t>fires when: ordos_upgrade_lasercartridges</t>
      </text>
    </comment>
    <comment ref="L21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4" authorId="0" shapeId="0">
      <text>
        <t>fires when: !ordos_upgrade_lasercartridges</t>
      </text>
    </comment>
    <comment ref="L215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5" authorId="0" shapeId="0">
      <text>
        <t>fires when: ordos_upgrade_lasercartridges</t>
      </text>
    </comment>
    <comment ref="L21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7" authorId="0" shapeId="0">
      <text>
        <t>fires when: !ixian_upgrade_tungstenneedleguns</t>
      </text>
    </comment>
    <comment ref="L21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8" authorId="0" shapeId="0">
      <text>
        <t>fires when: ixian_upgrade_tungstenneedleguns</t>
      </text>
    </comment>
    <comment ref="L21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9" authorId="0" shapeId="0">
      <text>
        <t>fires when: !ixian_upgrade_tungstenneedleguns</t>
      </text>
    </comment>
    <comment ref="L22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0" authorId="0" shapeId="0">
      <text>
        <t>fires when: ixian_upgrade_tungstenneedleguns</t>
      </text>
    </comment>
    <comment ref="L222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3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1" authorId="0" shapeId="0">
      <text>
        <t>fires when: !rank-elite &amp;&amp; !asianalliance_doctrine_modernizedinfantryequipment</t>
      </text>
    </comment>
    <comment ref="L23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2" authorId="0" shapeId="0">
      <text>
        <t>fires when: (rank-elite &amp;&amp; !asianalliance_doctrine_modernizedinfantryequipment) || (!rank-elite &amp;&amp; asianalliance_doctrine_modernizedinfantryequipment)</t>
      </text>
    </comment>
    <comment ref="L23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3" authorId="0" shapeId="0">
      <text>
        <t>fires when: rank-elite &amp;&amp; asianalliance_doctrine_modernizedinfantryequipment</t>
      </text>
    </comment>
    <comment ref="L23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4" authorId="0" shapeId="0">
      <text>
        <t>fires when: !rank-elite &amp;&amp; !asianalliance_doctrine_modernizedinfantryequipment</t>
      </text>
    </comment>
    <comment ref="L23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5" authorId="0" shapeId="0">
      <text>
        <t>fires when: (rank-elite &amp;&amp; !asianalliance_doctrine_modernizedinfantryequipment) || (!rank-elite &amp;&amp; asianalliance_doctrine_modernizedinfantryequipment)</t>
      </text>
    </comment>
    <comment ref="L23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6" authorId="0" shapeId="0">
      <text>
        <t>fires when: rank-elite &amp;&amp; asianalliance_doctrine_modernizedinfantryequipment</t>
      </text>
    </comment>
    <comment ref="L238" authorId="0" shapeId="0">
      <text>
        <t>per-shot TOTAL across 3 main warhead(s).
raw warhead damages: 8000, 4, 8000,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8" authorId="0" shapeId="0">
      <text>
        <t>fires when: !rank-elite</t>
      </text>
    </comment>
    <comment ref="L239" authorId="0" shapeId="0">
      <text>
        <t>per-shot TOTAL across 3 main warhead(s).
raw warhead damages: 8000, 4, 8000,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9" authorId="0" shapeId="0">
      <text>
        <t>fires when: rank-elite</t>
      </text>
    </comment>
    <comment ref="L240" authorId="0" shapeId="0">
      <text>
        <t>per-shot TOTAL across 3 main warhead(s).
raw warhead damages: 8000, 4, 8000,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0" authorId="0" shapeId="0">
      <text>
        <t>fires when: !rank-elite</t>
      </text>
    </comment>
    <comment ref="L241" authorId="0" shapeId="0">
      <text>
        <t>per-shot TOTAL across 3 main warhead(s).
raw warhead damages: 8000, 4, 8000,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1" authorId="0" shapeId="0">
      <text>
        <t>fires when: rank-elite</t>
      </text>
    </comment>
    <comment ref="L24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3" authorId="0" shapeId="0">
      <text>
        <t>fires when: !rank-elite</t>
      </text>
    </comment>
    <comment ref="L24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4" authorId="0" shapeId="0">
      <text>
        <t>fires when: rank-elite</t>
      </text>
    </comment>
    <comment ref="L24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5" authorId="0" shapeId="0">
      <text>
        <t>fires when: !rank-elite</t>
      </text>
    </comment>
    <comment ref="L24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6" authorId="0" shapeId="0">
      <text>
        <t>fires when: rank-elite</t>
      </text>
    </comment>
    <comment ref="L249" authorId="0" shapeId="0">
      <text>
        <t>per-shot TOTAL across 8 main warhead(s).
raw warhead damages: 8000, 4000, 4, 8000, 4000, 4, 8000, 4, 8000, 4000, 4,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0" authorId="0" shapeId="0">
      <text>
        <t>per-shot TOTAL across 8 main warhead(s).
raw warhead damages: 8000, 4000, 4, 8000, 4000, 4, 8000, 4, 8000, 4000, 4,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2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3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5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6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8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8" authorId="0" shapeId="0">
      <text>
        <t>fires when: !ra1_soviets_upgrade_scorchedearth</t>
      </text>
    </comment>
    <comment ref="L259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9" authorId="0" shapeId="0">
      <text>
        <t>fires when: !ra1_soviets_upgrade_scorchedearth</t>
      </text>
    </comment>
    <comment ref="L260" authorId="0" shapeId="0">
      <text>
        <t>per-shot TOTAL across 4 main warhead(s).
raw warhead damages: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0" authorId="0" shapeId="0">
      <text>
        <t>fires when: ra1_soviets_upgrade_scorchedearth</t>
      </text>
    </comment>
    <comment ref="L261" authorId="0" shapeId="0">
      <text>
        <t>per-shot TOTAL across 4 main warhead(s).
raw warhead damages: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1" authorId="0" shapeId="0">
      <text>
        <t>fires when: ra1_soviets_upgrade_scorchedearth</t>
      </text>
    </comment>
    <comment ref="L263" authorId="0" shapeId="0">
      <text>
        <t>per-shot TOTAL across 2 main warhead(s).
raw warhead damages: 12000, 6, 12000, 6, 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3" authorId="0" shapeId="0">
      <text>
        <t>fires when: !ts_gdi_upgrade_sonicweaponry</t>
      </text>
    </comment>
    <comment ref="L264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4" authorId="0" shapeId="0">
      <text>
        <t>fires when: ts_gdi_upgrade_sonicweaponry</t>
      </text>
    </comment>
    <comment ref="L265" authorId="0" shapeId="0">
      <text>
        <t>per-shot TOTAL across 2 main warhead(s).
raw warhead damages: 12000, 6, 12000, 6, 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5" authorId="0" shapeId="0">
      <text>
        <t>fires when: !ts_gdi_upgrade_sonicweaponry</t>
      </text>
    </comment>
    <comment ref="L266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6" authorId="0" shapeId="0">
      <text>
        <t>fires when: ts_gdi_upgrade_sonicweaponry</t>
      </text>
    </comment>
    <comment ref="L268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8" authorId="0" shapeId="0">
      <text>
        <t>fires when: !rank-elite &amp;&amp; !steelconsortium_upgrade_quantumweaponpower</t>
      </text>
    </comment>
    <comment ref="L269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9" authorId="0" shapeId="0">
      <text>
        <t>fires when: rank-elite &amp;&amp; !steelconsortium_upgrade_quantumweaponpower</t>
      </text>
    </comment>
    <comment ref="L270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0" authorId="0" shapeId="0">
      <text>
        <t>fires when: !rank-elite &amp;&amp; !steelconsortium_upgrade_quantumweaponpower</t>
      </text>
    </comment>
    <comment ref="L271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1" authorId="0" shapeId="0">
      <text>
        <t>fires when: rank-elite &amp;&amp; !steelconsortium_upgrade_quantumweaponpower</t>
      </text>
    </comment>
    <comment ref="L272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2" authorId="0" shapeId="0">
      <text>
        <t>fires when: !rank-elite &amp;&amp; steelconsortium_upgrade_quantumweaponpower</t>
      </text>
    </comment>
    <comment ref="L273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3" authorId="0" shapeId="0">
      <text>
        <t>fires when: rank-elite &amp;&amp; steelconsortium_upgrade_quantumweaponpower</t>
      </text>
    </comment>
    <comment ref="L274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4" authorId="0" shapeId="0">
      <text>
        <t>fires when: !rank-elite &amp;&amp; steelconsortium_upgrade_quantumweaponpower</t>
      </text>
    </comment>
    <comment ref="L275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5" authorId="0" shapeId="0">
      <text>
        <t>fires when: rank-elite &amp;&amp; steelconsortium_upgrade_quantumweaponpower</t>
      </text>
    </comment>
    <comment ref="L277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7" authorId="0" shapeId="0">
      <text>
        <t>fires when: (!latinsyndicate_upgrade_asianalliancestolentechhotfire &amp;&amp; !rank-elite)</t>
      </text>
    </comment>
    <comment ref="L278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8" authorId="0" shapeId="0">
      <text>
        <t>fires when: (latinsyndicate_upgrade_asianalliancestolentechhotfire &amp;&amp; !rank-elite) || (!latinsyndicate_upgrade_asianalliancestolentechhotfire &amp;&amp; rank-elite)</t>
      </text>
    </comment>
    <comment ref="L279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9" authorId="0" shapeId="0">
      <text>
        <t>fires when: (latinsyndicate_upgrade_asianalliancestolentechhotfire &amp;&amp; rank-elite)</t>
      </text>
    </comment>
    <comment ref="L280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0" authorId="0" shapeId="0">
      <text>
        <t>fires when: (!latinsyndicate_upgrade_asianalliancestolentechhotfire &amp;&amp; !rank-elite)</t>
      </text>
    </comment>
    <comment ref="L281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1" authorId="0" shapeId="0">
      <text>
        <t>fires when: (latinsyndicate_upgrade_asianalliancestolentechhotfire &amp;&amp; !rank-elite) || (!latinsyndicate_upgrade_asianalliancestolentechhotfire &amp;&amp; rank-elite)</t>
      </text>
    </comment>
    <comment ref="L282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2" authorId="0" shapeId="0">
      <text>
        <t>fires when: (latinsyndicate_upgrade_asianalliancestolentechhotfire &amp;&amp; rank-elite)</t>
      </text>
    </comment>
    <comment ref="L285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5" authorId="0" shapeId="0">
      <text>
        <t>fires when: !ra1_soviets_upgrade_scorchedearth</t>
      </text>
    </comment>
    <comment ref="L286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6" authorId="0" shapeId="0">
      <text>
        <t>fires when: !ra1_soviets_upgrade_scorchedearth</t>
      </text>
    </comment>
    <comment ref="L287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7" authorId="0" shapeId="0">
      <text>
        <t>fires when: ra1_soviets_upgrade_scorchedearth</t>
      </text>
    </comment>
    <comment ref="L288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8" authorId="0" shapeId="0">
      <text>
        <t>fires when: ra1_soviets_upgrade_scorchedearth</t>
      </text>
    </comment>
    <comment ref="L290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0" authorId="0" shapeId="0">
      <text>
        <t>fires when: !forgotten_upgrade_chemicalweapons</t>
      </text>
    </comment>
    <comment ref="L291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1" authorId="0" shapeId="0">
      <text>
        <t>fires when: forgotten_upgrade_chemicalweapons</t>
      </text>
    </comment>
    <comment ref="L292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2" authorId="0" shapeId="0">
      <text>
        <t>fires when: !forgotten_upgrade_chemicalweapons</t>
      </text>
    </comment>
    <comment ref="L293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3" authorId="0" shapeId="0">
      <text>
        <t>fires when: forgotten_upgrade_chemicalweapons</t>
      </text>
    </comment>
    <comment ref="L295" authorId="0" shapeId="0">
      <text>
        <t>per-shot TOTAL across 6 main warhead(s).
raw warhead damages: 6000, 3, 6000, 3000,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5" authorId="0" shapeId="0">
      <text>
        <t>fires when: !rank-elite</t>
      </text>
    </comment>
    <comment ref="L296" authorId="0" shapeId="0">
      <text>
        <t>per-shot TOTAL across 6 main warhead(s).
raw warhead damages: 6000, 3, 6000, 3000,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6" authorId="0" shapeId="0">
      <text>
        <t>fires when: rank-elite</t>
      </text>
    </comment>
    <comment ref="L298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9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1" authorId="0" shapeId="0">
      <text>
        <t>per-shot TOTAL across 4 main warhead(s).
raw warhead damages: 20000, 10, 20000, 10, 20000, 10,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2" authorId="0" shapeId="0">
      <text>
        <t>per-shot TOTAL across 4 main warhead(s).
raw warhead damages: 20000, 10, 20000, 10, 20000, 10,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5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5" authorId="0" shapeId="0">
      <text>
        <t>fires when: !td_gdi_upgrade_advancedmissiletargeting</t>
      </text>
    </comment>
    <comment ref="L30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6" authorId="0" shapeId="0">
      <text>
        <t>fires when: !td_gdi_upgrade_advancedmissiletargeting</t>
      </text>
    </comment>
    <comment ref="L307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7" authorId="0" shapeId="0">
      <text>
        <t>fires when: td_gdi_upgrade_advancedmissiletargeting</t>
      </text>
    </comment>
    <comment ref="L308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8" authorId="0" shapeId="0">
      <text>
        <t>fires when: td_gdi_upgrade_advancedmissiletargeting</t>
      </text>
    </comment>
    <comment ref="L310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0" authorId="0" shapeId="0">
      <text>
        <t>fires when: !td_gdi_upgrade_advancedmissiletargeting</t>
      </text>
    </comment>
    <comment ref="L311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1" authorId="0" shapeId="0">
      <text>
        <t>fires when: !td_gdi_upgrade_advancedmissiletargeting</t>
      </text>
    </comment>
    <comment ref="L312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2" authorId="0" shapeId="0">
      <text>
        <t>fires when: td_gdi_upgrade_advancedmissiletargeting</t>
      </text>
    </comment>
    <comment ref="L313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3" authorId="0" shapeId="0">
      <text>
        <t>fires when: td_gdi_upgrade_advancedmissiletargeting</t>
      </text>
    </comment>
    <comment ref="L315" authorId="0" shapeId="0">
      <text>
        <t>per-shot TOTAL across 3 main warhead(s).
raw warhead damages: 12000, 6000,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6" authorId="0" shapeId="0">
      <text>
        <t>per-shot TOTAL across 3 main warhead(s).
raw warhead damages: 12000, 6000,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8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9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1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1" authorId="0" shapeId="0">
      <text>
        <t>fires when: !ra1_allies_upgrade_cryomissiles</t>
      </text>
    </comment>
    <comment ref="L322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2" authorId="0" shapeId="0">
      <text>
        <t>fires when: !ra1_allies_upgrade_cryomissiles</t>
      </text>
    </comment>
    <comment ref="L323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3" authorId="0" shapeId="0">
      <text>
        <t>fires when: ra1_allies_upgrade_cryomissiles</t>
      </text>
    </comment>
    <comment ref="L324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4" authorId="0" shapeId="0">
      <text>
        <t>fires when: ra1_allies_upgrade_cryomissiles</t>
      </text>
    </comment>
    <comment ref="L326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7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9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9" authorId="0" shapeId="0">
      <text>
        <t>fires when: !ra1_soviets_upgrade_scorchedearth</t>
      </text>
    </comment>
    <comment ref="L330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0" authorId="0" shapeId="0">
      <text>
        <t>fires when: !ra1_soviets_upgrade_scorchedearth</t>
      </text>
    </comment>
    <comment ref="L331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1" authorId="0" shapeId="0">
      <text>
        <t>fires when: ra1_soviets_upgrade_scorchedearth</t>
      </text>
    </comment>
    <comment ref="L332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2" authorId="0" shapeId="0">
      <text>
        <t>fires when: ra1_soviets_upgrade_scorchedearth</t>
      </text>
    </comment>
    <comment ref="L334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35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37" authorId="0" shapeId="0">
      <text>
        <t>per-shot TOTAL across 6 main warhead(s).
raw warhead damages: 6000, 3,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38" authorId="0" shapeId="0">
      <text>
        <t>per-shot TOTAL across 6 main warhead(s).
raw warhead damages: 6000, 3,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0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0" authorId="0" shapeId="0">
      <text>
        <t>fires when: !cabal_upgrade_darkarmament</t>
      </text>
    </comment>
    <comment ref="L341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1" authorId="0" shapeId="0">
      <text>
        <t>fires when: cabal_upgrade_darkarmament</t>
      </text>
    </comment>
    <comment ref="L342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4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4" authorId="0" shapeId="0">
      <text>
        <t>fires when: !ts_nod_upgrade_tiberiumlenses</t>
      </text>
    </comment>
    <comment ref="L345" authorId="0" shapeId="0">
      <text>
        <t>per-shot TOTAL across 3 main warhead(s).
raw warhead damages: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5" authorId="0" shapeId="0">
      <text>
        <t>fires when: ts_nod_upgrade_tiberiumlenses</t>
      </text>
    </comment>
    <comment ref="L346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6" authorId="0" shapeId="0">
      <text>
        <t>fires when: !ts_nod_upgrade_tiberiumlenses</t>
      </text>
    </comment>
    <comment ref="L347" authorId="0" shapeId="0">
      <text>
        <t>per-shot TOTAL across 3 main warhead(s).
raw warhead damages: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7" authorId="0" shapeId="0">
      <text>
        <t>fires when: ts_nod_upgrade_tiberiumlenses</t>
      </text>
    </comment>
    <comment ref="L348" authorId="0" shapeId="0">
      <text>
        <t>per-shot TOTAL across 1 main warhead(s).
raw warhead damages: 36000, 18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8" authorId="0" shapeId="0">
      <text>
        <t>fires when: ts_nod_upgrade_auxiliaryweapon</t>
      </text>
    </comment>
    <comment ref="L349" authorId="0" shapeId="0">
      <text>
        <t>per-shot TOTAL across 1 main warhead(s).
raw warhead damages: 36000, 18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9" authorId="0" shapeId="0">
      <text>
        <t>fires when: ts_nod_upgrade_auxiliaryweapon</t>
      </text>
    </comment>
    <comment ref="L351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1" authorId="0" shapeId="0">
      <text>
        <t>fires when: !ts_nod_upgrade_tiberiumcoremissiles</t>
      </text>
    </comment>
    <comment ref="L352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2" authorId="0" shapeId="0">
      <text>
        <t>fires when: !ts_nod_upgrade_tiberiumcoremissiles</t>
      </text>
    </comment>
    <comment ref="L353" authorId="0" shapeId="0">
      <text>
        <t>per-shot TOTAL across 2 main warhead(s).
raw warhead damages: 6000, 3,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3" authorId="0" shapeId="0">
      <text>
        <t>fires when: ts_nod_upgrade_tiberiumcoremissiles</t>
      </text>
    </comment>
    <comment ref="L354" authorId="0" shapeId="0">
      <text>
        <t>per-shot TOTAL across 2 main warhead(s).
raw warhead damages: 6000, 3,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4" authorId="0" shapeId="0">
      <text>
        <t>fires when: ts_nod_upgrade_tiberiumcoremissiles</t>
      </text>
    </comment>
    <comment ref="L356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6" authorId="0" shapeId="0">
      <text>
        <t>fires when: !ts_gdi_upgrade_railgunweaponry</t>
      </text>
    </comment>
    <comment ref="L357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7" authorId="0" shapeId="0">
      <text>
        <t>fires when: !ts_gdi_upgrade_railgunweaponry</t>
      </text>
    </comment>
    <comment ref="L358" authorId="0" shapeId="0">
      <text>
        <t>per-shot TOTAL across 3 main warhead(s).
raw warhead damages: 2000, 1,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8" authorId="0" shapeId="0">
      <text>
        <t>fires when: ts_gdi_upgrade_railgunweaponry</t>
      </text>
    </comment>
    <comment ref="L359" authorId="0" shapeId="0">
      <text>
        <t>per-shot TOTAL across 3 main warhead(s).
raw warhead damages: 2000, 1,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9" authorId="0" shapeId="0">
      <text>
        <t>fires when: ts_gdi_upgrade_railgunweaponry</t>
      </text>
    </comment>
    <comment ref="L361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1" authorId="0" shapeId="0">
      <text>
        <t>fires when: !forgotten_upgrade_chemicalweapons</t>
      </text>
    </comment>
    <comment ref="L362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2" authorId="0" shapeId="0">
      <text>
        <t>fires when: !forgotten_upgrade_chemicalweapons</t>
      </text>
    </comment>
    <comment ref="L363" authorId="0" shapeId="0">
      <text>
        <t>per-shot TOTAL across 2 main warhead(s).
raw warhead damages: 6000, 3,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3" authorId="0" shapeId="0">
      <text>
        <t>fires when: forgotten_upgrade_chemicalweapons</t>
      </text>
    </comment>
    <comment ref="L364" authorId="0" shapeId="0">
      <text>
        <t>per-shot TOTAL across 2 main warhead(s).
raw warhead damages: 6000, 3,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4" authorId="0" shapeId="0">
      <text>
        <t>fires when: forgotten_upgrade_chemicalweapons</t>
      </text>
    </comment>
    <comment ref="L366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6" authorId="0" shapeId="0">
      <text>
        <t>fires when: !rank-elite</t>
      </text>
    </comment>
    <comment ref="L367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7" authorId="0" shapeId="0">
      <text>
        <t>fires when: !rank-elite</t>
      </text>
    </comment>
    <comment ref="L368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8" authorId="0" shapeId="0">
      <text>
        <t>fires when: rank-elite</t>
      </text>
    </comment>
    <comment ref="L369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9" authorId="0" shapeId="0">
      <text>
        <t>fires when: rank-elite</t>
      </text>
    </comment>
    <comment ref="L37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1" authorId="0" shapeId="0">
      <text>
        <t>fires when: !deployed &amp;&amp; !rank-elite &amp;&amp; !ra2_allies_upgrade_elitegi</t>
      </text>
    </comment>
    <comment ref="L37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2" authorId="0" shapeId="0">
      <text>
        <t>fires when: !deployed &amp;&amp; !rank-elite &amp;&amp; ra2_allies_upgrade_elitegi</t>
      </text>
    </comment>
    <comment ref="L37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3" authorId="0" shapeId="0">
      <text>
        <t>fires when: !deployed &amp;&amp; rank-elite &amp;&amp; !ra2_allies_upgrade_elitegi</t>
      </text>
    </comment>
    <comment ref="L37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4" authorId="0" shapeId="0">
      <text>
        <t>fires when: !deployed &amp;&amp; rank-elite &amp;&amp; ra2_allies_upgrade_elitegi</t>
      </text>
    </comment>
    <comment ref="AB375" authorId="0" shapeId="0">
      <text>
        <t>fires when: botmicro</t>
      </text>
    </comment>
    <comment ref="L376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6" authorId="0" shapeId="0">
      <text>
        <t>fires when: !rank-elite &amp;&amp; deployed</t>
      </text>
    </comment>
    <comment ref="L377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7" authorId="0" shapeId="0">
      <text>
        <t>fires when: !rank-elite</t>
      </text>
    </comment>
    <comment ref="L378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8" authorId="0" shapeId="0">
      <text>
        <t>fires when: rank-elite &amp;&amp; deployed</t>
      </text>
    </comment>
    <comment ref="L379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9" authorId="0" shapeId="0">
      <text>
        <t>fires when: rank-elite</t>
      </text>
    </comment>
    <comment ref="L381" authorId="0" shapeId="0">
      <text>
        <t>per-shot TOTAL across 1 main warhead(s).
raw warhead damages: 16000,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1" authorId="0" shapeId="0">
      <text>
        <t>fires when: !rank-elite</t>
      </text>
    </comment>
    <comment ref="L38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2" authorId="0" shapeId="0">
      <text>
        <t>fires when: !rank-elite</t>
      </text>
    </comment>
    <comment ref="L383" authorId="0" shapeId="0">
      <text>
        <t>per-shot TOTAL across 1 main warhead(s).
raw warhead damages: 16000,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3" authorId="0" shapeId="0">
      <text>
        <t>fires when: !rank-elite</t>
      </text>
    </comment>
    <comment ref="L384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4" authorId="0" shapeId="0">
      <text>
        <t>fires when: !rank-elite</t>
      </text>
    </comment>
    <comment ref="L385" authorId="0" shapeId="0">
      <text>
        <t>per-shot TOTAL across 1 main warhead(s).
raw warhead damages: 16000,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5" authorId="0" shapeId="0">
      <text>
        <t>fires when: rank-elite</t>
      </text>
    </comment>
    <comment ref="L38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6" authorId="0" shapeId="0">
      <text>
        <t>fires when: rank-elite</t>
      </text>
    </comment>
    <comment ref="L387" authorId="0" shapeId="0">
      <text>
        <t>per-shot TOTAL across 1 main warhead(s).
raw warhead damages: 16000,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7" authorId="0" shapeId="0">
      <text>
        <t>fires when: rank-elite</t>
      </text>
    </comment>
    <comment ref="L38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8" authorId="0" shapeId="0">
      <text>
        <t>fires when: rank-elite</t>
      </text>
    </comment>
    <comment ref="L390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1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3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3" authorId="0" shapeId="0">
      <text>
        <t>fires when: !rank-elite</t>
      </text>
    </comment>
    <comment ref="L39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4" authorId="0" shapeId="0">
      <text>
        <t>fires when: !rank-elite</t>
      </text>
    </comment>
    <comment ref="L39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5" authorId="0" shapeId="0">
      <text>
        <t>fires when: rank-elite</t>
      </text>
    </comment>
    <comment ref="L396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6" authorId="0" shapeId="0">
      <text>
        <t>fires when: rank-elite</t>
      </text>
    </comment>
    <comment ref="L398" authorId="0" shapeId="0">
      <text>
        <t>per-shot TOTAL across 1 main warhead(s).
raw warhead damages: 34000, 17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8" authorId="0" shapeId="0">
      <text>
        <t>fires when: !rank-elite &amp;&amp; !asianalliance_doctrine_modernizedinfantryequipment</t>
      </text>
    </comment>
    <comment ref="L399" authorId="0" shapeId="0">
      <text>
        <t>per-shot TOTAL across 1 main warhead(s).
raw warhead damages: 34000, 17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9" authorId="0" shapeId="0">
      <text>
        <t>fires when: !rank-elite &amp;&amp; asianalliance_doctrine_modernizedinfantryequipment</t>
      </text>
    </comment>
    <comment ref="L400" authorId="0" shapeId="0">
      <text>
        <t>per-shot TOTAL across 1 main warhead(s).
raw warhead damages: 68000, 34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0" authorId="0" shapeId="0">
      <text>
        <t>fires when: rank-elite &amp;&amp; !asianalliance_doctrine_modernizedinfantryequipment</t>
      </text>
    </comment>
    <comment ref="L401" authorId="0" shapeId="0">
      <text>
        <t>per-shot TOTAL across 1 main warhead(s).
raw warhead damages: 68000, 34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1" authorId="0" shapeId="0">
      <text>
        <t>fires when: rank-elite &amp;&amp; asianalliance_doctrine_modernizedinfantryequipment</t>
      </text>
    </comment>
    <comment ref="L402" authorId="0" shapeId="0">
      <text>
        <t>per-shot TOTAL across 1 main warhead(s).
raw warhead damages: 34000, 17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2" authorId="0" shapeId="0">
      <text>
        <t>fires when: !rank-elite &amp;&amp; !asianalliance_doctrine_modernizedinfantryequipment</t>
      </text>
    </comment>
    <comment ref="L403" authorId="0" shapeId="0">
      <text>
        <t>per-shot TOTAL across 1 main warhead(s).
raw warhead damages: 34000, 17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3" authorId="0" shapeId="0">
      <text>
        <t>fires when: !rank-elite &amp;&amp; asianalliance_doctrine_modernizedinfantryequipment</t>
      </text>
    </comment>
    <comment ref="L404" authorId="0" shapeId="0">
      <text>
        <t>per-shot TOTAL across 1 main warhead(s).
raw warhead damages: 68000, 34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4" authorId="0" shapeId="0">
      <text>
        <t>fires when: rank-elite &amp;&amp; !asianalliance_doctrine_modernizedinfantryequipment</t>
      </text>
    </comment>
    <comment ref="L405" authorId="0" shapeId="0">
      <text>
        <t>per-shot TOTAL across 1 main warhead(s).
raw warhead damages: 68000, 34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5" authorId="0" shapeId="0">
      <text>
        <t>fires when: rank-elite &amp;&amp; asianalliance_doctrine_modernizedinfantryequipment</t>
      </text>
    </comment>
    <comment ref="L407" authorId="0" shapeId="0">
      <text>
        <t>per-shot TOTAL across 6 main warhead(s).
raw warhead damages: 2000, 1, 2000, 1, 2000, 1000, 1, 2000, 1, 888,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7" authorId="0" shapeId="0">
      <text>
        <t>fires when: !rank-elite</t>
      </text>
    </comment>
    <comment ref="L408" authorId="0" shapeId="0">
      <text>
        <t>per-shot TOTAL across 6 main warhead(s).
raw warhead damages: 2000, 1, 2000, 1, 2000, 1000, 1, 2000, 1, 888,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8" authorId="0" shapeId="0">
      <text>
        <t>fires when: rank-elite</t>
      </text>
    </comment>
    <comment ref="L409" authorId="0" shapeId="0">
      <text>
        <t>per-shot TOTAL across 6 main warhead(s).
raw warhead damages: 2000, 1, 2000, 1, 2000, 1000, 1, 2000, 1, 888,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9" authorId="0" shapeId="0">
      <text>
        <t>fires when: !rank-elite</t>
      </text>
    </comment>
    <comment ref="L410" authorId="0" shapeId="0">
      <text>
        <t>per-shot TOTAL across 6 main warhead(s).
raw warhead damages: 2000, 1, 2000, 1, 2000, 1000, 1, 2000, 1, 888,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0" authorId="0" shapeId="0">
      <text>
        <t>fires when: rank-elite</t>
      </text>
    </comment>
    <comment ref="L41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2" authorId="0" shapeId="0">
      <text>
        <t>fires when: !rank-elite</t>
      </text>
    </comment>
    <comment ref="L413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3" authorId="0" shapeId="0">
      <text>
        <t>fires when: rank-elite</t>
      </text>
    </comment>
    <comment ref="L41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4" authorId="0" shapeId="0">
      <text>
        <t>fires when: !rank-elite</t>
      </text>
    </comment>
    <comment ref="L41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5" authorId="0" shapeId="0">
      <text>
        <t>fires when: rank-elite</t>
      </text>
    </comment>
    <comment ref="L41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6" authorId="0" shapeId="0">
      <text>
        <t>fires when: !rank-elite &amp;&amp; steelconsortium_upgrade_resonanceammo</t>
      </text>
    </comment>
    <comment ref="L417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7" authorId="0" shapeId="0">
      <text>
        <t>fires when: rank-elite &amp;&amp; steelconsortium_upgrade_resonanceammo</t>
      </text>
    </comment>
    <comment ref="L41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8" authorId="0" shapeId="0">
      <text>
        <t>fires when: !rank-elite &amp;&amp; steelconsortium_upgrade_resonanceammo</t>
      </text>
    </comment>
    <comment ref="L41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9" authorId="0" shapeId="0">
      <text>
        <t>fires when: rank-elite &amp;&amp; steelconsortium_upgrade_resonanceammo</t>
      </text>
    </comment>
    <comment ref="L421" authorId="0" shapeId="0">
      <text>
        <t>per-shot TOTAL across 1 main warhead(s).
raw warhead damages: 26000, 13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1" authorId="0" shapeId="0">
      <text>
        <t>fires when: !rank-elite</t>
      </text>
    </comment>
    <comment ref="L422" authorId="0" shapeId="0">
      <text>
        <t>per-shot TOTAL across 1 main warhead(s).
raw warhead damages: 26000, 13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2" authorId="0" shapeId="0">
      <text>
        <t>fires when: !rank-elite</t>
      </text>
    </comment>
    <comment ref="L423" authorId="0" shapeId="0">
      <text>
        <t>per-shot TOTAL across 1 main warhead(s).
raw warhead damages: 52000, 26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3" authorId="0" shapeId="0">
      <text>
        <t>fires when: rank-elite</t>
      </text>
    </comment>
    <comment ref="L424" authorId="0" shapeId="0">
      <text>
        <t>per-shot TOTAL across 1 main warhead(s).
raw warhead damages: 52000, 26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4" authorId="0" shapeId="0">
      <text>
        <t>fires when: rank-elite</t>
      </text>
    </comment>
    <comment ref="AB426" authorId="0" shapeId="0">
      <text>
        <t>fires when: !deployed</t>
      </text>
    </comment>
    <comment ref="L427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7" authorId="0" shapeId="0">
      <text>
        <t>fires when: (deployed || undeployed) &amp;&amp; !rank-elite</t>
      </text>
    </comment>
    <comment ref="L428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8" authorId="0" shapeId="0">
      <text>
        <t>fires when: (deployed || undeployed) &amp;&amp; rank-elite</t>
      </text>
    </comment>
    <comment ref="L429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9" authorId="0" shapeId="0">
      <text>
        <t>fires when: !rank-elite</t>
      </text>
    </comment>
    <comment ref="L430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0" authorId="0" shapeId="0">
      <text>
        <t>fires when: rank-elite</t>
      </text>
    </comment>
    <comment ref="L432" authorId="0" shapeId="0">
      <text>
        <t>per-shot TOTAL across 5 main warhead(s).
raw warhead damages: 2000, 1, 2000, 1,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2" authorId="0" shapeId="0">
      <text>
        <t>fires when: !rank-elite</t>
      </text>
    </comment>
    <comment ref="L433" authorId="0" shapeId="0">
      <text>
        <t>per-shot TOTAL across 5 main warhead(s).
raw warhead damages: 2000, 1, 2000, 1,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3" authorId="0" shapeId="0">
      <text>
        <t>fires when: rank-elite</t>
      </text>
    </comment>
    <comment ref="L434" authorId="0" shapeId="0">
      <text>
        <t>per-shot TOTAL across 5 main warhead(s).
raw warhead damages: 2000, 1, 2000, 1,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4" authorId="0" shapeId="0">
      <text>
        <t>fires when: !rank-elite</t>
      </text>
    </comment>
    <comment ref="L435" authorId="0" shapeId="0">
      <text>
        <t>per-shot TOTAL across 5 main warhead(s).
raw warhead damages: 2000, 1, 2000, 1,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5" authorId="0" shapeId="0">
      <text>
        <t>fires when: rank-elite</t>
      </text>
    </comment>
    <comment ref="L437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7" authorId="0" shapeId="0">
      <text>
        <t>fires when: !deployed &amp;&amp; !rank-elite</t>
      </text>
    </comment>
    <comment ref="L438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8" authorId="0" shapeId="0">
      <text>
        <t>fires when: deployed &amp;&amp; !rank-elite</t>
      </text>
    </comment>
    <comment ref="L439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9" authorId="0" shapeId="0">
      <text>
        <t>fires when: !rank-elite</t>
      </text>
    </comment>
    <comment ref="L440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0" authorId="0" shapeId="0">
      <text>
        <t>fires when: !deployed &amp;&amp; rank-elite</t>
      </text>
    </comment>
    <comment ref="L441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1" authorId="0" shapeId="0">
      <text>
        <t>fires when: deployed &amp;&amp; rank-elite</t>
      </text>
    </comment>
    <comment ref="L442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2" authorId="0" shapeId="0">
      <text>
        <t>fires when: rank-elite</t>
      </text>
    </comment>
    <comment ref="AB443" authorId="0" shapeId="0">
      <text>
        <t>fires when: botmicro</t>
      </text>
    </comment>
    <comment ref="L445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5" authorId="0" shapeId="0">
      <text>
        <t>fires when: !tkm_upgrade_cryorocketsupgrade &amp;&amp; !tkm_upgrade_twinrocketsupgrade &amp;&amp; !tkm_upgrade_incendiaryrocketsupgrade</t>
      </text>
    </comment>
    <comment ref="L44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6" authorId="0" shapeId="0">
      <text>
        <t>fires when: tkm_upgrade_cryorocketsupgrade</t>
      </text>
    </comment>
    <comment ref="L447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7" authorId="0" shapeId="0">
      <text>
        <t>fires when: tkm_upgrade_twinrocketsupgrade</t>
      </text>
    </comment>
    <comment ref="L448" authorId="0" shapeId="0">
      <text>
        <t>per-shot TOTAL across 2 main warhead(s).
raw warhead damages: 18000, 9,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8" authorId="0" shapeId="0">
      <text>
        <t>fires when: tkm_upgrade_incendiaryrocketsupgrade</t>
      </text>
    </comment>
    <comment ref="L449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9" authorId="0" shapeId="0">
      <text>
        <t>fires when: !tkm_upgrade_cryorocketsupgrade &amp;&amp; !tkm_upgrade_twinrocketsupgrade &amp;&amp; !tkm_upgrade_incendiaryrocketsupgrade</t>
      </text>
    </comment>
    <comment ref="L450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0" authorId="0" shapeId="0">
      <text>
        <t>fires when: tkm_upgrade_cryorocketsupgrade</t>
      </text>
    </comment>
    <comment ref="L451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1" authorId="0" shapeId="0">
      <text>
        <t>fires when: tkm_upgrade_twinrocketsupgrade</t>
      </text>
    </comment>
    <comment ref="L452" authorId="0" shapeId="0">
      <text>
        <t>per-shot TOTAL across 2 main warhead(s).
raw warhead damages: 18000, 9,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2" authorId="0" shapeId="0">
      <text>
        <t>fires when: tkm_upgrade_incendiaryrocketsupgrade</t>
      </text>
    </comment>
    <comment ref="L454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5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7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8" authorId="0" shapeId="0">
      <text>
        <t>per-shot TOTAL across 3 main warhead(s).
raw warhead damages: 10000, 5, 10000, 5, 1000,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9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0" authorId="0" shapeId="0">
      <text>
        <t>per-shot TOTAL across 3 main warhead(s).
raw warhead damages: 10000, 5, 10000, 5, 1000,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2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3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5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6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8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9" authorId="0" shapeId="0">
      <text>
        <t>per-shot TOTAL across 3 main warhead(s).
raw warhead damages: 8000, 4, 8000, 4, 1000,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0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1" authorId="0" shapeId="0">
      <text>
        <t>per-shot TOTAL across 3 main warhead(s).
raw warhead damages: 8000, 4, 8000, 4, 1000,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4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5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6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7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8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9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0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1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3" authorId="0" shapeId="0">
      <text>
        <t>per-shot TOTAL across 4 main warhead(s).
raw warhead damages: 18000, 1, 18000, 1, 18000, 1, 18000,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4" authorId="0" shapeId="0">
      <text>
        <t>per-shot TOTAL across 4 main warhead(s).
raw warhead damages: 18000, 1, 18000, 1, 18000, 1, 18000,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6" authorId="0" shapeId="0">
      <text>
        <t>per-shot TOTAL across 3 main warhead(s).
raw warhead damages: 12000, 1, 12000, 1, 12000,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7" authorId="0" shapeId="0">
      <text>
        <t>per-shot TOTAL across 3 main warhead(s).
raw warhead damages: 12000, 1, 12000, 1, 12000,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9" authorId="0" shapeId="0">
      <text>
        <t>per-shot TOTAL across 3 main warhead(s).
raw warhead damages: 12000, 1, 12000, 1, 12000,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0" authorId="0" shapeId="0">
      <text>
        <t>per-shot TOTAL across 3 main warhead(s).
raw warhead damages: 12000, 1, 12000, 1, 12000,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2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3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5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6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8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9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1" authorId="0" shapeId="0">
      <text>
        <t>per-shot TOTAL across 9 main warhead(s).
raw warhead damages: 1000, 2, 600, 4000, 2, 4000, 2,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2" authorId="0" shapeId="0">
      <text>
        <t>per-shot TOTAL across 9 main warhead(s).
raw warhead damages: 1000, 2, 600, 4000, 2, 4000, 2,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4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5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7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08" authorId="0" shapeId="0">
      <text>
        <t>per-shot TOTAL across 6 main warhead(s).
raw warhead damages: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0" authorId="0" shapeId="0">
      <text>
        <t>per-shot TOTAL across 9 main warhead(s).
raw warhead damages: 1000, 2, 600, 4000, 2, 4000, 2,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1" authorId="0" shapeId="0">
      <text>
        <t>per-shot TOTAL across 9 main warhead(s).
raw warhead damages: 1000, 2, 600, 4000, 2, 4000, 2, 4000, 2, 4000,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4" authorId="0" shapeId="0">
      <text>
        <t>per-shot TOTAL across 3 main warhead(s).
raw warhead damages: 48000, 4, 48000, 4, 48000, 4,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5" authorId="0" shapeId="0">
      <text>
        <t>per-shot TOTAL across 3 main warhead(s).
raw warhead damages: 48000, 4, 48000, 4, 48000, 4,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7" authorId="0" shapeId="0">
      <text>
        <t>per-shot TOTAL across 3 main warhead(s).
raw warhead damages: 4000, 1, 1000,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7" authorId="0" shapeId="0">
      <text>
        <t>fires when: !japan_upgrade_waveforcebullets</t>
      </text>
    </comment>
    <comment ref="L518" authorId="0" shapeId="0">
      <text>
        <t>per-shot TOTAL across 3 main warhead(s).
raw warhead damages: 4000, 1, 1000,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8" authorId="0" shapeId="0">
      <text>
        <t>fires when: !japan_upgrade_waveforcebullets</t>
      </text>
    </comment>
    <comment ref="L519" authorId="0" shapeId="0">
      <text>
        <t>per-shot TOTAL across 4 main warhead(s).
raw warhead damages: 2000, 1, 1000, 4000, 1, 1000,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9" authorId="0" shapeId="0">
      <text>
        <t>fires when: japan_upgrade_waveforcebullets</t>
      </text>
    </comment>
    <comment ref="L520" authorId="0" shapeId="0">
      <text>
        <t>per-shot TOTAL across 4 main warhead(s).
raw warhead damages: 2000, 1, 1000, 4000, 1, 1000,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0" authorId="0" shapeId="0">
      <text>
        <t>fires when: japan_upgrade_waveforcebullets</t>
      </text>
    </comment>
    <comment ref="L522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2" authorId="0" shapeId="0">
      <text>
        <t>fires when: !rank-elite &amp;&amp; !schwarzermond_upgrade_crystallens &amp;&amp; !schwarzermond_upgrade_amplifiedlens</t>
      </text>
    </comment>
    <comment ref="L523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3" authorId="0" shapeId="0">
      <text>
        <t>fires when: rank-elite &amp;&amp; !schwarzermond_upgrade_crystallens &amp;&amp; !schwarzermond_upgrade_amplifiedlens</t>
      </text>
    </comment>
    <comment ref="L524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4" authorId="0" shapeId="0">
      <text>
        <t>fires when: !rank-elite &amp;&amp; schwarzermond_upgrade_crystallens &amp;&amp; !schwarzermond_upgrade_amplifiedlens</t>
      </text>
    </comment>
    <comment ref="L525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5" authorId="0" shapeId="0">
      <text>
        <t>fires when: rank-elite &amp;&amp; schwarzermond_upgrade_crystallens &amp;&amp; !schwarzermond_upgrade_amplifiedlens</t>
      </text>
    </comment>
    <comment ref="L526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6" authorId="0" shapeId="0">
      <text>
        <t>fires when: !rank-elite &amp;&amp; schwarzermond_upgrade_amplifiedlens</t>
      </text>
    </comment>
    <comment ref="L527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7" authorId="0" shapeId="0">
      <text>
        <t>fires when: rank-elite &amp;&amp; schwarzermond_upgrade_amplifiedlens</t>
      </text>
    </comment>
    <comment ref="L528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8" authorId="0" shapeId="0">
      <text>
        <t>fires when: !rank-elite &amp;&amp; !schwarzermond_upgrade_crystallens &amp;&amp; !schwarzermond_upgrade_amplifiedlens</t>
      </text>
    </comment>
    <comment ref="L529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9" authorId="0" shapeId="0">
      <text>
        <t>fires when: rank-elite &amp;&amp; !schwarzermond_upgrade_crystallens &amp;&amp; !schwarzermond_upgrade_amplifiedlens</t>
      </text>
    </comment>
    <comment ref="L530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0" authorId="0" shapeId="0">
      <text>
        <t>fires when: !rank-elite &amp;&amp; schwarzermond_upgrade_crystallens &amp;&amp; !schwarzermond_upgrade_amplifiedlens</t>
      </text>
    </comment>
    <comment ref="L531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1" authorId="0" shapeId="0">
      <text>
        <t>fires when: rank-elite &amp;&amp; schwarzermond_upgrade_crystallens &amp;&amp; !schwarzermond_upgrade_amplifiedlens</t>
      </text>
    </comment>
    <comment ref="L532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2" authorId="0" shapeId="0">
      <text>
        <t>fires when: !rank-elite &amp;&amp; schwarzermond_upgrade_amplifiedlens</t>
      </text>
    </comment>
    <comment ref="L533" authorId="0" shapeId="0">
      <text>
        <t>per-shot TOTAL across 3 main warhead(s).
raw warhead damages: 8000, 2, 8000, 2, 8000,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3" authorId="0" shapeId="0">
      <text>
        <t>fires when: rank-elite &amp;&amp; schwarzermond_upgrade_amplifiedlens</t>
      </text>
    </comment>
    <comment ref="L53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3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37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7" authorId="0" shapeId="0">
      <text>
        <t>fires when: tkm_upgrade_gp25upgrade</t>
      </text>
    </comment>
    <comment ref="L538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8" authorId="0" shapeId="0">
      <text>
        <t>fires when: tkm_upgrade_gp25upgrade</t>
      </text>
    </comment>
    <comment ref="L541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1" authorId="0" shapeId="0">
      <text>
        <t>fires when: !td_gdi_upgrade_armorpiercingbullets</t>
      </text>
    </comment>
    <comment ref="L542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2" authorId="0" shapeId="0">
      <text>
        <t>fires when: !td_gdi_upgrade_armorpiercingbullets</t>
      </text>
    </comment>
    <comment ref="L54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3" authorId="0" shapeId="0">
      <text>
        <t>fires when: td_gdi_upgrade_armorpiercingbullets</t>
      </text>
    </comment>
    <comment ref="L54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4" authorId="0" shapeId="0">
      <text>
        <t>fires when: td_gdi_upgrade_armorpiercingbullets</t>
      </text>
    </comment>
    <comment ref="L546" authorId="0" shapeId="0">
      <text>
        <t>per-shot TOTAL across 5 main warhead(s).
raw warhead damages: 10000, 5, 10000, 5, 10000, 5000, 5, 10000, 5, 1000,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7" authorId="0" shapeId="0">
      <text>
        <t>per-shot TOTAL across 5 main warhead(s).
raw warhead damages: 10000, 5, 10000, 5, 10000, 5000, 5, 10000, 5, 1000,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2" authorId="0" shapeId="0">
      <text>
        <t>per-shot TOTAL across 5 main warhead(s).
raw warhead damages: 4000, 2000, 2, 4000, 2,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3" authorId="0" shapeId="0">
      <text>
        <t>per-shot TOTAL across 5 main warhead(s).
raw warhead damages: 4000, 2000, 2, 4000, 2,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5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5" authorId="0" shapeId="0">
      <text>
        <t>fires when: !japan_upgrade_advancedplasmaweapons</t>
      </text>
    </comment>
    <comment ref="L55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6" authorId="0" shapeId="0">
      <text>
        <t>fires when: !japan_upgrade_advancedplasmaweapons</t>
      </text>
    </comment>
    <comment ref="L55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7" authorId="0" shapeId="0">
      <text>
        <t>fires when: japan_upgrade_advancedplasmaweapons</t>
      </text>
    </comment>
    <comment ref="L55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8" authorId="0" shapeId="0">
      <text>
        <t>fires when: japan_upgrade_advancedplasmaweapons</t>
      </text>
    </comment>
    <comment ref="L560" authorId="0" shapeId="0">
      <text>
        <t>per-shot TOTAL across 3 main warhead(s).
raw warhead damages: 8000, 4,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1" authorId="0" shapeId="0">
      <text>
        <t>per-shot TOTAL across 3 main warhead(s).
raw warhead damages: 8000, 4,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2" authorId="0" shapeId="0">
      <text>
        <t>per-shot TOTAL across 1 main warhead(s).
raw warhead damages: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2" authorId="0" shapeId="0">
      <text>
        <t>fires when: japan_upgrade_advancedplasmaweapons</t>
      </text>
    </comment>
    <comment ref="L563" authorId="0" shapeId="0">
      <text>
        <t>per-shot TOTAL across 1 main warhead(s).
raw warhead damages: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3" authorId="0" shapeId="0">
      <text>
        <t>fires when: japan_upgrade_advancedplasmaweapons</t>
      </text>
    </comment>
    <comment ref="L565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5" authorId="0" shapeId="0">
      <text>
        <t>fires when: !ra1_soviets_upgrade_scorchedearth</t>
      </text>
    </comment>
    <comment ref="L56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6" authorId="0" shapeId="0">
      <text>
        <t>fires when: !ra1_soviets_upgrade_scorchedearth</t>
      </text>
    </comment>
    <comment ref="L567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7" authorId="0" shapeId="0">
      <text>
        <t>fires when: ra1_soviets_upgrade_scorchedearth</t>
      </text>
    </comment>
    <comment ref="L56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8" authorId="0" shapeId="0">
      <text>
        <t>fires when: ra1_soviets_upgrade_scorchedearth</t>
      </text>
    </comment>
    <comment ref="L570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0" authorId="0" shapeId="0">
      <text>
        <t>fires when: !ra1_soviets_doctrine_teslaandexperimentaltech &amp;&amp; !ra1_soviets_upgrade_teslaarcing</t>
      </text>
    </comment>
    <comment ref="L571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1" authorId="0" shapeId="0">
      <text>
        <t>fires when: ra1_soviets_doctrine_teslaandexperimentaltech &amp;&amp; !ra1_soviets_upgrade_teslaarcing</t>
      </text>
    </comment>
    <comment ref="L572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2" authorId="0" shapeId="0">
      <text>
        <t>fires when: ra1_soviets_upgrade_teslaarcing</t>
      </text>
    </comment>
    <comment ref="L573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3" authorId="0" shapeId="0">
      <text>
        <t>fires when: !ra1_soviets_doctrine_teslaandexperimentaltech &amp;&amp; !ra1_soviets_upgrade_teslaarcing</t>
      </text>
    </comment>
    <comment ref="L574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4" authorId="0" shapeId="0">
      <text>
        <t>fires when: ra1_soviets_doctrine_teslaandexperimentaltech &amp;&amp; !ra1_soviets_upgrade_teslaarcing</t>
      </text>
    </comment>
    <comment ref="L575" authorId="0" shapeId="0">
      <text>
        <t>per-shot TOTAL across 1 main warhead(s).
raw warhead damages: 20000, 10,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5" authorId="0" shapeId="0">
      <text>
        <t>fires when: ra1_soviets_upgrade_teslaarcing</t>
      </text>
    </comment>
    <comment ref="L577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7" authorId="0" shapeId="0">
      <text>
        <t>fires when: !ra1_soviets_upgrade_teslaarcing</t>
      </text>
    </comment>
    <comment ref="L578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8" authorId="0" shapeId="0">
      <text>
        <t>fires when: ra1_soviets_upgrade_teslaarcing</t>
      </text>
    </comment>
    <comment ref="L579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9" authorId="0" shapeId="0">
      <text>
        <t>fires when: !ra1_soviets_upgrade_teslaarcing</t>
      </text>
    </comment>
    <comment ref="L580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0" authorId="0" shapeId="0">
      <text>
        <t>fires when: ra1_soviets_upgrade_teslaarcing</t>
      </text>
    </comment>
    <comment ref="L582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83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85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5" authorId="0" shapeId="0">
      <text>
        <t>fires when: !cabal_upgrade_neutronnuclearcatalyst</t>
      </text>
    </comment>
    <comment ref="L586" authorId="0" shapeId="0">
      <text>
        <t>per-shot TOTAL across 6 main warhead(s).
raw warhead damages: 50000, 25, 50000, 25, 50000, 25, 50000, 1000, 25, 50000, 25, 888,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6" authorId="0" shapeId="0">
      <text>
        <t>fires when: cabal_upgrade_neutronnuclearcatalyst</t>
      </text>
    </comment>
    <comment ref="L587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7" authorId="0" shapeId="0">
      <text>
        <t>fires when: !cabal_upgrade_neutronnuclearcatalyst</t>
      </text>
    </comment>
    <comment ref="L588" authorId="0" shapeId="0">
      <text>
        <t>per-shot TOTAL across 6 main warhead(s).
raw warhead damages: 50000, 25, 50000, 25, 50000, 25, 50000, 1000, 25, 50000, 25, 888,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8" authorId="0" shapeId="0">
      <text>
        <t>fires when: cabal_upgrade_neutronnuclearcatalyst</t>
      </text>
    </comment>
    <comment ref="L590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0" authorId="0" shapeId="0">
      <text>
        <t>fires when: !cabal_upgrade_neutronnuclearcatalyst</t>
      </text>
    </comment>
    <comment ref="L591" authorId="0" shapeId="0">
      <text>
        <t>per-shot TOTAL across 6 main warhead(s).
raw warhead damages: 50000, 25, 50000, 25, 50000, 25, 50000, 1000, 25, 50000, 25, 888,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1" authorId="0" shapeId="0">
      <text>
        <t>fires when: cabal_upgrade_neutronnuclearcatalyst</t>
      </text>
    </comment>
    <comment ref="L592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2" authorId="0" shapeId="0">
      <text>
        <t>fires when: !cabal_upgrade_neutronnuclearcatalyst</t>
      </text>
    </comment>
    <comment ref="L593" authorId="0" shapeId="0">
      <text>
        <t>per-shot TOTAL across 6 main warhead(s).
raw warhead damages: 50000, 25, 50000, 25, 50000, 25, 50000, 1000, 25, 50000, 25, 888,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3" authorId="0" shapeId="0">
      <text>
        <t>fires when: cabal_upgrade_neutronnuclearcatalyst</t>
      </text>
    </comment>
    <comment ref="L595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96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98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99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3" authorId="0" shapeId="0">
      <text>
        <t>per-shot TOTAL across 1 main warhead(s).
raw warhead damages: 4000,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4" authorId="0" shapeId="0">
      <text>
        <t>per-shot TOTAL across 1 main warhead(s).
raw warhead damages: 4000,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6" authorId="0" shapeId="0">
      <text>
        <t>per-shot TOTAL across 4 main warhead(s).
raw warhead damages: 70000, 35, 70000, 35, 600, 70000, 35,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8" authorId="0" shapeId="0">
      <text>
        <t>per-shot TOTAL across 4 main warhead(s).
raw warhead damages: 70000, 35, 70000, 35, 600, 70000, 35,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0" authorId="0" shapeId="0">
      <text>
        <t>fires when: end_disable == 0</t>
      </text>
    </comment>
    <comment ref="L611" authorId="0" shapeId="0">
      <text>
        <t>per-shot TOTAL across 0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1" authorId="0" shapeId="0">
      <text>
        <t>fires when: end_disable &gt;= 1</t>
      </text>
    </comment>
    <comment ref="L614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7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7" authorId="0" shapeId="0">
      <text>
        <t>fires when: !ts_gdi_upgrade_railgunweaponry</t>
      </text>
    </comment>
    <comment ref="L618" authorId="0" shapeId="0">
      <text>
        <t>per-shot TOTAL across 1 main warhead(s).
raw warhead damages: 60000, 1, 1000,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8" authorId="0" shapeId="0">
      <text>
        <t>fires when: ts_gdi_upgrade_railgunweaponry</t>
      </text>
    </comment>
    <comment ref="L619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9" authorId="0" shapeId="0">
      <text>
        <t>fires when: !ts_gdi_upgrade_railgunweaponry</t>
      </text>
    </comment>
    <comment ref="L620" authorId="0" shapeId="0">
      <text>
        <t>per-shot TOTAL across 1 main warhead(s).
raw warhead damages: 60000, 1, 1000,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0" authorId="0" shapeId="0">
      <text>
        <t>fires when: ts_gdi_upgrade_railgunweaponry</t>
      </text>
    </comment>
    <comment ref="L622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23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25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5" authorId="0" shapeId="0">
      <text>
        <t>fires when: !forgotten_upgrade_chemicalweapons</t>
      </text>
    </comment>
    <comment ref="L626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6" authorId="0" shapeId="0">
      <text>
        <t>fires when: !forgotten_upgrade_chemicalweapons</t>
      </text>
    </comment>
    <comment ref="L627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7" authorId="0" shapeId="0">
      <text>
        <t>fires when: forgotten_upgrade_chemicalweapons</t>
      </text>
    </comment>
    <comment ref="L628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8" authorId="0" shapeId="0">
      <text>
        <t>fires when: forgotten_upgrade_chemicalweapons</t>
      </text>
    </comment>
    <comment ref="L630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0" authorId="0" shapeId="0">
      <text>
        <t>fires when: !forgotten_upgrade_chemicalweapons</t>
      </text>
    </comment>
    <comment ref="L631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1" authorId="0" shapeId="0">
      <text>
        <t>fires when: !forgotten_upgrade_chemicalweapons</t>
      </text>
    </comment>
    <comment ref="L632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2" authorId="0" shapeId="0">
      <text>
        <t>fires when: forgotten_upgrade_chemicalweapons</t>
      </text>
    </comment>
    <comment ref="L633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3" authorId="0" shapeId="0">
      <text>
        <t>fires when: forgotten_upgrade_chemicalweapons</t>
      </text>
    </comment>
    <comment ref="L635" authorId="0" shapeId="0">
      <text>
        <t>per-shot TOTAL across 4 main warhead(s).
raw warhead damages: 6000, 3000,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5" authorId="0" shapeId="0">
      <text>
        <t>fires when: !forgotten_upgrade_chemicalweapons</t>
      </text>
    </comment>
    <comment ref="L636" authorId="0" shapeId="0">
      <text>
        <t>per-shot TOTAL across 4 main warhead(s).
raw warhead damages: 6000, 3000,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6" authorId="0" shapeId="0">
      <text>
        <t>fires when: !forgotten_upgrade_chemicalweapons</t>
      </text>
    </comment>
    <comment ref="L637" authorId="0" shapeId="0">
      <text>
        <t>per-shot TOTAL across 6 main warhead(s).
raw warhead damages: 6000, 3000, 3, 6000, 3000,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7" authorId="0" shapeId="0">
      <text>
        <t>fires when: forgotten_upgrade_chemicalweapons</t>
      </text>
    </comment>
    <comment ref="L638" authorId="0" shapeId="0">
      <text>
        <t>per-shot TOTAL across 6 main warhead(s).
raw warhead damages: 6000, 3000, 3, 6000, 3000,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8" authorId="0" shapeId="0">
      <text>
        <t>fires when: forgotten_upgrade_chemicalweapons</t>
      </text>
    </comment>
    <comment ref="L642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2" authorId="0" shapeId="0">
      <text>
        <t>fires when: (!ra2_soviets_upgrade_teslaoverload &amp;&amp; !rank-elite)</t>
      </text>
    </comment>
    <comment ref="L643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3" authorId="0" shapeId="0">
      <text>
        <t>fires when: (ra2_soviets_upgrade_teslaoverload &amp;&amp; !rank-elite) || (!ra2_soviets_upgrade_teslaoverload &amp;&amp; rank-elite)</t>
      </text>
    </comment>
    <comment ref="L644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4" authorId="0" shapeId="0">
      <text>
        <t>fires when: (ra2_soviets_upgrade_teslaoverload &amp;&amp; rank-elite)</t>
      </text>
    </comment>
    <comment ref="L646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6" authorId="0" shapeId="0">
      <text>
        <t>fires when: (!ra2_soviets_upgrade_teslaoverload &amp;&amp; !rank-elite)</t>
      </text>
    </comment>
    <comment ref="L647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7" authorId="0" shapeId="0">
      <text>
        <t>fires when: (ra2_soviets_upgrade_teslaoverload &amp;&amp; !rank-elite) || (!ra2_soviets_upgrade_teslaoverload &amp;&amp; rank-elite)</t>
      </text>
    </comment>
    <comment ref="L648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8" authorId="0" shapeId="0">
      <text>
        <t>fires when: (ra2_soviets_upgrade_teslaoverload &amp;&amp; rank-elite)</t>
      </text>
    </comment>
    <comment ref="AB652" authorId="0" shapeId="0">
      <text>
        <t>fires when: !rank-elite</t>
      </text>
    </comment>
    <comment ref="AB653" authorId="0" shapeId="0">
      <text>
        <t>fires when: rank-elite</t>
      </text>
    </comment>
    <comment ref="AB654" authorId="0" shapeId="0">
      <text>
        <t>fires when: !rank-elite</t>
      </text>
    </comment>
    <comment ref="AB655" authorId="0" shapeId="0">
      <text>
        <t>fires when: rank-elite</t>
      </text>
    </comment>
    <comment ref="L657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7" authorId="0" shapeId="0">
      <text>
        <t>fires when: !rank-elite</t>
      </text>
    </comment>
    <comment ref="L658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8" authorId="0" shapeId="0">
      <text>
        <t>fires when: rank-elite</t>
      </text>
    </comment>
    <comment ref="L659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61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1" authorId="0" shapeId="0">
      <text>
        <t>fires when: (!ra2_soviets_upgrade_teslaoverload &amp;&amp; !rank-elite)</t>
      </text>
    </comment>
    <comment ref="L662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2" authorId="0" shapeId="0">
      <text>
        <t>fires when: (ra2_soviets_upgrade_teslaoverload &amp;&amp; !rank-elite) || (!ra2_soviets_upgrade_teslaoverload &amp;&amp; rank-elite)</t>
      </text>
    </comment>
    <comment ref="L663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3" authorId="0" shapeId="0">
      <text>
        <t>fires when: (ra2_soviets_upgrade_teslaoverload &amp;&amp; rank-elite)</t>
      </text>
    </comment>
    <comment ref="L665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5" authorId="0" shapeId="0">
      <text>
        <t>fires when: (!ra2_soviets_upgrade_teslaoverload &amp;&amp; !rank-elite)</t>
      </text>
    </comment>
    <comment ref="L666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6" authorId="0" shapeId="0">
      <text>
        <t>fires when: (ra2_soviets_upgrade_teslaoverload &amp;&amp; !rank-elite) || (!ra2_soviets_upgrade_teslaoverload &amp;&amp; rank-elite)</t>
      </text>
    </comment>
    <comment ref="L667" authorId="0" shapeId="0">
      <text>
        <t>per-shot TOTAL across 1 main warhead(s).
raw warhead damages: 24000, 12, 12000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7" authorId="0" shapeId="0">
      <text>
        <t>fires when: (ra2_soviets_upgrade_teslaoverload &amp;&amp; rank-elite)</t>
      </text>
    </comment>
    <comment ref="L66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9" authorId="0" shapeId="0">
      <text>
        <t>fires when: !rank-elite &amp;&amp; !yuri_upgrade_corrosiveammo</t>
      </text>
    </comment>
    <comment ref="L67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0" authorId="0" shapeId="0">
      <text>
        <t>fires when: !rank-elite &amp;&amp; yuri_upgrade_corrosiveammo</t>
      </text>
    </comment>
    <comment ref="L67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1" authorId="0" shapeId="0">
      <text>
        <t>fires when: rank-elite</t>
      </text>
    </comment>
    <comment ref="L67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2" authorId="0" shapeId="0">
      <text>
        <t>fires when: !rank-elite &amp;&amp; !yuri_upgrade_corrosiveammo</t>
      </text>
    </comment>
    <comment ref="L67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3" authorId="0" shapeId="0">
      <text>
        <t>fires when: !rank-elite &amp;&amp; yuri_upgrade_corrosiveammo</t>
      </text>
    </comment>
    <comment ref="L67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4" authorId="0" shapeId="0">
      <text>
        <t>fires when: rank-elite</t>
      </text>
    </comment>
    <comment ref="L676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6" authorId="0" shapeId="0">
      <text>
        <t>fires when: !rank-elite &amp;&amp; !asianalliance_doctrine_modernizedinfantryequipment</t>
      </text>
    </comment>
    <comment ref="L67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7" authorId="0" shapeId="0">
      <text>
        <t>fires when: (rank-elite &amp;&amp; !asianalliance_doctrine_modernizedinfantryequipment) || (!rank-elite &amp;&amp; asianalliance_doctrine_modernizedinfantryequipment)</t>
      </text>
    </comment>
    <comment ref="L67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8" authorId="0" shapeId="0">
      <text>
        <t>fires when: rank-elite &amp;&amp; asianalliance_doctrine_modernizedinfantryequipment</t>
      </text>
    </comment>
    <comment ref="L67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9" authorId="0" shapeId="0">
      <text>
        <t>fires when: !rank-elite &amp;&amp; !asianalliance_doctrine_modernizedinfantryequipment</t>
      </text>
    </comment>
    <comment ref="L68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0" authorId="0" shapeId="0">
      <text>
        <t>fires when: (rank-elite &amp;&amp; !asianalliance_doctrine_modernizedinfantryequipment) || (!rank-elite &amp;&amp; asianalliance_doctrine_modernizedinfantryequipment)</t>
      </text>
    </comment>
    <comment ref="L681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1" authorId="0" shapeId="0">
      <text>
        <t>fires when: rank-elite &amp;&amp; asianalliance_doctrine_modernizedinfantryequipment</t>
      </text>
    </comment>
    <comment ref="L683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3" authorId="0" shapeId="0">
      <text>
        <t>fires when: !rank-elite</t>
      </text>
    </comment>
    <comment ref="L684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4" authorId="0" shapeId="0">
      <text>
        <t>fires when: rank-elite</t>
      </text>
    </comment>
    <comment ref="L685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5" authorId="0" shapeId="0">
      <text>
        <t>fires when: !rank-elite</t>
      </text>
    </comment>
    <comment ref="L686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6" authorId="0" shapeId="0">
      <text>
        <t>fires when: rank-elite</t>
      </text>
    </comment>
    <comment ref="L688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8" authorId="0" shapeId="0">
      <text>
        <t>fires when: !deployed &amp;&amp; !rank-elite &amp;&amp; !steelconsortium_upgrade_quantumweaponpower</t>
      </text>
    </comment>
    <comment ref="L689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9" authorId="0" shapeId="0">
      <text>
        <t>fires when: !deployed &amp;&amp; rank-elite &amp;&amp; !steelconsortium_upgrade_quantumweaponpower</t>
      </text>
    </comment>
    <comment ref="L690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0" authorId="0" shapeId="0">
      <text>
        <t>fires when: !deployed &amp;&amp; !rank-elite &amp;&amp; steelconsortium_upgrade_quantumweaponpower</t>
      </text>
    </comment>
    <comment ref="L691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1" authorId="0" shapeId="0">
      <text>
        <t>fires when: !deployed &amp;&amp; rank-elite &amp;&amp; steelconsortium_upgrade_quantumweaponpower</t>
      </text>
    </comment>
    <comment ref="AB692" authorId="0" shapeId="0">
      <text>
        <t>fires when: botmicro</t>
      </text>
    </comment>
    <comment ref="L693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3" authorId="0" shapeId="0">
      <text>
        <t>fires when: deployed &amp;&amp; !rank-elite &amp;&amp; !steelconsortium_upgrade_quantumweaponpower</t>
      </text>
    </comment>
    <comment ref="L694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4" authorId="0" shapeId="0">
      <text>
        <t>fires when: deployed &amp;&amp; rank-elite &amp;&amp; !steelconsortium_upgrade_quantumweaponpower</t>
      </text>
    </comment>
    <comment ref="L695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5" authorId="0" shapeId="0">
      <text>
        <t>fires when: deployed &amp;&amp; !rank-elite &amp;&amp; steelconsortium_upgrade_quantumweaponpower</t>
      </text>
    </comment>
    <comment ref="L696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6" authorId="0" shapeId="0">
      <text>
        <t>fires when: deployed &amp;&amp; rank-elite &amp;&amp; steelconsortium_upgrade_quantumweaponpower</t>
      </text>
    </comment>
    <comment ref="L697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7" authorId="0" shapeId="0">
      <text>
        <t>fires when: !rank-elite &amp;&amp; !steelconsortium_upgrade_quantumweaponpower</t>
      </text>
    </comment>
    <comment ref="L698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8" authorId="0" shapeId="0">
      <text>
        <t>fires when: rank-elite &amp;&amp; !steelconsortium_upgrade_quantumweaponpower</t>
      </text>
    </comment>
    <comment ref="L699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9" authorId="0" shapeId="0">
      <text>
        <t>fires when: !rank-elite &amp;&amp; steelconsortium_upgrade_quantumweaponpower</t>
      </text>
    </comment>
    <comment ref="L700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0" authorId="0" shapeId="0">
      <text>
        <t>fires when: rank-elite &amp;&amp; steelconsortium_upgrade_quantumweaponpower</t>
      </text>
    </comment>
    <comment ref="L70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2" authorId="0" shapeId="0">
      <text>
        <t>fires when: !rank-elite</t>
      </text>
    </comment>
    <comment ref="L703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3" authorId="0" shapeId="0">
      <text>
        <t>fires when: rank-elite</t>
      </text>
    </comment>
    <comment ref="L70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4" authorId="0" shapeId="0">
      <text>
        <t>fires when: !rank-elite</t>
      </text>
    </comment>
    <comment ref="L70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5" authorId="0" shapeId="0">
      <text>
        <t>fires when: rank-elite</t>
      </text>
    </comment>
    <comment ref="L70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7" authorId="0" shapeId="0">
      <text>
        <t>fires when: !rank-elite</t>
      </text>
    </comment>
    <comment ref="L70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8" authorId="0" shapeId="0">
      <text>
        <t>fires when: rank-elite</t>
      </text>
    </comment>
    <comment ref="L70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9" authorId="0" shapeId="0">
      <text>
        <t>fires when: !rank-elite</t>
      </text>
    </comment>
    <comment ref="L71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0" authorId="0" shapeId="0">
      <text>
        <t>fires when: rank-elite</t>
      </text>
    </comment>
    <comment ref="AB712" authorId="0" shapeId="0">
      <text>
        <t>fires when: !deployed</t>
      </text>
    </comment>
    <comment ref="L71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3" authorId="0" shapeId="0">
      <text>
        <t>fires when: (deployed || undeployed) &amp;&amp; !rank-elite</t>
      </text>
    </comment>
    <comment ref="L71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4" authorId="0" shapeId="0">
      <text>
        <t>fires when: (deployed || undeployed) &amp;&amp; rank-elite</t>
      </text>
    </comment>
    <comment ref="L71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5" authorId="0" shapeId="0">
      <text>
        <t>fires when: !rank-elite</t>
      </text>
    </comment>
    <comment ref="L71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6" authorId="0" shapeId="0">
      <text>
        <t>fires when: rank-elite</t>
      </text>
    </comment>
    <comment ref="L718" authorId="0" shapeId="0">
      <text>
        <t>per-shot TOTAL across 6 main warhead(s).
raw warhead damages: 6000, 3, 6000,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8" authorId="0" shapeId="0">
      <text>
        <t>fires when: !rank-elite</t>
      </text>
    </comment>
    <comment ref="L719" authorId="0" shapeId="0">
      <text>
        <t>per-shot TOTAL across 6 main warhead(s).
raw warhead damages: 6000, 3, 6000,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9" authorId="0" shapeId="0">
      <text>
        <t>fires when: rank-elite</t>
      </text>
    </comment>
    <comment ref="L720" authorId="0" shapeId="0">
      <text>
        <t>per-shot TOTAL across 6 main warhead(s).
raw warhead damages: 6000, 3, 6000,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0" authorId="0" shapeId="0">
      <text>
        <t>fires when: !rank-elite</t>
      </text>
    </comment>
    <comment ref="L721" authorId="0" shapeId="0">
      <text>
        <t>per-shot TOTAL across 6 main warhead(s).
raw warhead damages: 6000, 3, 6000, 3,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1" authorId="0" shapeId="0">
      <text>
        <t>fires when: rank-elite</t>
      </text>
    </comment>
    <comment ref="L723" authorId="0" shapeId="0">
      <text>
        <t>per-shot TOTAL across 6 main warhead(s).
raw warhead damages: 8000, 4, 8000,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3" authorId="0" shapeId="0">
      <text>
        <t>fires when: !rank-elite</t>
      </text>
    </comment>
    <comment ref="L724" authorId="0" shapeId="0">
      <text>
        <t>per-shot TOTAL across 6 main warhead(s).
raw warhead damages: 8000, 4, 8000,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4" authorId="0" shapeId="0">
      <text>
        <t>fires when: rank-elite</t>
      </text>
    </comment>
    <comment ref="L725" authorId="0" shapeId="0">
      <text>
        <t>per-shot TOTAL across 6 main warhead(s).
raw warhead damages: 8000, 4, 8000,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5" authorId="0" shapeId="0">
      <text>
        <t>fires when: !rank-elite</t>
      </text>
    </comment>
    <comment ref="L726" authorId="0" shapeId="0">
      <text>
        <t>per-shot TOTAL across 6 main warhead(s).
raw warhead damages: 8000, 4, 8000,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6" authorId="0" shapeId="0">
      <text>
        <t>fires when: rank-elite</t>
      </text>
    </comment>
    <comment ref="L728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8" authorId="0" shapeId="0">
      <text>
        <t>fires when: !rank-elite &amp;&amp; !schwarzermond_upgrade_crystallens &amp;&amp; !schwarzermond_upgrade_amplifiedlens</t>
      </text>
    </comment>
    <comment ref="L729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9" authorId="0" shapeId="0">
      <text>
        <t>fires when: rank-elite &amp;&amp; !schwarzermond_upgrade_crystallens &amp;&amp; !schwarzermond_upgrade_amplifiedlens</t>
      </text>
    </comment>
    <comment ref="L730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0" authorId="0" shapeId="0">
      <text>
        <t>fires when: !rank-elite &amp;&amp; schwarzermond_upgrade_crystallens &amp;&amp; !schwarzermond_upgrade_amplifiedlens</t>
      </text>
    </comment>
    <comment ref="L731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1" authorId="0" shapeId="0">
      <text>
        <t>fires when: rank-elite &amp;&amp; schwarzermond_upgrade_crystallens &amp;&amp; !schwarzermond_upgrade_amplifiedlens</t>
      </text>
    </comment>
    <comment ref="L732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2" authorId="0" shapeId="0">
      <text>
        <t>fires when: !rank-elite &amp;&amp; schwarzermond_upgrade_amplifiedlens</t>
      </text>
    </comment>
    <comment ref="L733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3" authorId="0" shapeId="0">
      <text>
        <t>fires when: rank-elite &amp;&amp; schwarzermond_upgrade_amplifiedlens</t>
      </text>
    </comment>
    <comment ref="L735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5" authorId="0" shapeId="0">
      <text>
        <t>fires when: !rank-elite &amp;&amp; !schwarzermond_upgrade_crystallens &amp;&amp; !schwarzermond_upgrade_amplifiedlens</t>
      </text>
    </comment>
    <comment ref="L736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6" authorId="0" shapeId="0">
      <text>
        <t>fires when: rank-elite &amp;&amp; !schwarzermond_upgrade_crystallens &amp;&amp; !schwarzermond_upgrade_amplifiedlens</t>
      </text>
    </comment>
    <comment ref="L737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7" authorId="0" shapeId="0">
      <text>
        <t>fires when: !rank-elite &amp;&amp; !schwarzermond_upgrade_crystallens &amp;&amp; !schwarzermond_upgrade_amplifiedlens</t>
      </text>
    </comment>
    <comment ref="L738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8" authorId="0" shapeId="0">
      <text>
        <t>fires when: rank-elite &amp;&amp; !schwarzermond_upgrade_crystallens &amp;&amp; !schwarzermond_upgrade_amplifiedlens</t>
      </text>
    </comment>
    <comment ref="L739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9" authorId="0" shapeId="0">
      <text>
        <t>fires when: !rank-elite &amp;&amp; schwarzermond_upgrade_crystallens &amp;&amp; !schwarzermond_upgrade_amplifiedlens</t>
      </text>
    </comment>
    <comment ref="L740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0" authorId="0" shapeId="0">
      <text>
        <t>fires when: rank-elite &amp;&amp; schwarzermond_upgrade_crystallens &amp;&amp; !schwarzermond_upgrade_amplifiedlens</t>
      </text>
    </comment>
    <comment ref="L741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1" authorId="0" shapeId="0">
      <text>
        <t>fires when: !rank-elite &amp;&amp; schwarzermond_upgrade_crystallens &amp;&amp; !schwarzermond_upgrade_amplifiedlens</t>
      </text>
    </comment>
    <comment ref="L742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2" authorId="0" shapeId="0">
      <text>
        <t>fires when: rank-elite &amp;&amp; schwarzermond_upgrade_crystallens &amp;&amp; !schwarzermond_upgrade_amplifiedlens</t>
      </text>
    </comment>
    <comment ref="L743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3" authorId="0" shapeId="0">
      <text>
        <t>fires when: !rank-elite &amp;&amp; schwarzermond_upgrade_amplifiedlens</t>
      </text>
    </comment>
    <comment ref="L744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4" authorId="0" shapeId="0">
      <text>
        <t>fires when: rank-elite &amp;&amp; schwarzermond_upgrade_amplifiedlens</t>
      </text>
    </comment>
    <comment ref="L745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5" authorId="0" shapeId="0">
      <text>
        <t>fires when: !rank-elite &amp;&amp; schwarzermond_upgrade_amplifiedlens</t>
      </text>
    </comment>
    <comment ref="L746" authorId="0" shapeId="0">
      <text>
        <t>per-shot TOTAL across 3 main warhead(s).
raw warhead damages: 8000, 4, 2000,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6" authorId="0" shapeId="0">
      <text>
        <t>fires when: rank-elite &amp;&amp; schwarzermond_upgrade_amplifiedlens</t>
      </text>
    </comment>
    <comment ref="L74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8" authorId="0" shapeId="0">
      <text>
        <t>fires when: !tkm_upgrade_titanarmorpiercingbulletsupgrade</t>
      </text>
    </comment>
    <comment ref="L749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9" authorId="0" shapeId="0">
      <text>
        <t>fires when: tkm_upgrade_titanarmorpiercingbulletsupgrade</t>
      </text>
    </comment>
    <comment ref="L75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50" authorId="0" shapeId="0">
      <text>
        <t>fires when: !tkm_upgrade_titanarmorpiercingbulletsupgrade</t>
      </text>
    </comment>
    <comment ref="L751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51" authorId="0" shapeId="0">
      <text>
        <t>fires when: tkm_upgrade_titanarmorpiercingbulletsupgrade</t>
      </text>
    </comment>
    <comment ref="L753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7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9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0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2" authorId="0" shapeId="0">
      <text>
        <t>per-shot TOTAL across 2 main warhead(s).
raw warhead damages: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3" authorId="0" shapeId="0">
      <text>
        <t>per-shot TOTAL across 2 main warhead(s).
raw warhead damages: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5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6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8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9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2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3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5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8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78" authorId="0" shapeId="0">
      <text>
        <t>fires when: !japan_upgrade_advancedplasmaweapons</t>
      </text>
    </comment>
    <comment ref="L77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79" authorId="0" shapeId="0">
      <text>
        <t>fires when: !japan_upgrade_advancedplasmaweapons</t>
      </text>
    </comment>
    <comment ref="L780" authorId="0" shapeId="0">
      <text>
        <t>per-shot TOTAL across 2 main warhead(s).
raw warhead damages: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80" authorId="0" shapeId="0">
      <text>
        <t>fires when: japan_upgrade_advancedplasmaweapons</t>
      </text>
    </comment>
    <comment ref="L781" authorId="0" shapeId="0">
      <text>
        <t>per-shot TOTAL across 2 main warhead(s).
raw warhead damages: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81" authorId="0" shapeId="0">
      <text>
        <t>fires when: japan_upgrade_advancedplasmaweapons</t>
      </text>
    </comment>
    <comment ref="L783" authorId="0" shapeId="0">
      <text>
        <t>per-shot TOTAL across 1 main warhead(s).
raw warhead damages: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5" authorId="0" shapeId="0">
      <text>
        <t>per-shot TOTAL across 1 main warhead(s).
raw warhead damages: 7000,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6" authorId="0" shapeId="0">
      <text>
        <t>per-shot TOTAL across 1 main warhead(s).
raw warhead damages: 7000,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9" authorId="0" shapeId="0">
      <text>
        <t>per-shot TOTAL across 6 main warhead(s).
raw warhead damages: 4000, 2, 4000, 2000,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0" authorId="0" shapeId="0">
      <text>
        <t>per-shot TOTAL across 6 main warhead(s).
raw warhead damages: 4000, 2, 4000, 2000,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2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2" authorId="0" shapeId="0">
      <text>
        <t>fires when: !forgotten_upgrade_chemicalweapons</t>
      </text>
    </comment>
    <comment ref="L793" authorId="0" shapeId="0">
      <text>
        <t>per-shot TOTAL across 3 main warhead(s).
raw warhead damages: 32000, 16,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3" authorId="0" shapeId="0">
      <text>
        <t>fires when: forgotten_upgrade_chemicalweapons</t>
      </text>
    </comment>
    <comment ref="L794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4" authorId="0" shapeId="0">
      <text>
        <t>fires when: !forgotten_upgrade_chemicalweapons</t>
      </text>
    </comment>
    <comment ref="L795" authorId="0" shapeId="0">
      <text>
        <t>per-shot TOTAL across 3 main warhead(s).
raw warhead damages: 32000, 16,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5" authorId="0" shapeId="0">
      <text>
        <t>fires when: forgotten_upgrade_chemicalweapons</t>
      </text>
    </comment>
    <comment ref="L797" authorId="0" shapeId="0">
      <text>
        <t>per-shot TOTAL across 6 main warhead(s).
raw warhead damages: 4000, 2, 4000, 2000,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8" authorId="0" shapeId="0">
      <text>
        <t>per-shot TOTAL across 6 main warhead(s).
raw warhead damages: 4000, 2, 4000, 2000,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0" authorId="0" shapeId="0">
      <text>
        <t>fires when: !forgotten_upgrade_chemicalweapons</t>
      </text>
    </comment>
    <comment ref="L80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1" authorId="0" shapeId="0">
      <text>
        <t>fires when: !forgotten_upgrade_chemicalweapons</t>
      </text>
    </comment>
    <comment ref="L802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2" authorId="0" shapeId="0">
      <text>
        <t>fires when: forgotten_upgrade_chemicalweapons</t>
      </text>
    </comment>
    <comment ref="L803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3" authorId="0" shapeId="0">
      <text>
        <t>fires when: forgotten_upgrade_chemicalweapons</t>
      </text>
    </comment>
    <comment ref="L80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6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11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1" authorId="0" shapeId="0">
      <text>
        <t>fires when: !rank-elite</t>
      </text>
    </comment>
    <comment ref="L812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2" authorId="0" shapeId="0">
      <text>
        <t>fires when: rank-elite</t>
      </text>
    </comment>
    <comment ref="L813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3" authorId="0" shapeId="0">
      <text>
        <t>fires when: !rank-elite</t>
      </text>
    </comment>
    <comment ref="L814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4" authorId="0" shapeId="0">
      <text>
        <t>fires when: rank-elite</t>
      </text>
    </comment>
    <comment ref="L820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0" authorId="0" shapeId="0">
      <text>
        <t>fires when: !rank-elite</t>
      </text>
    </comment>
    <comment ref="L82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1" authorId="0" shapeId="0">
      <text>
        <t>fires when: rank-elite</t>
      </text>
    </comment>
    <comment ref="L823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3" authorId="0" shapeId="0">
      <text>
        <t>fires when: !rank-elite</t>
      </text>
    </comment>
    <comment ref="L824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4" authorId="0" shapeId="0">
      <text>
        <t>fires when: rank-elite</t>
      </text>
    </comment>
    <comment ref="L82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6" authorId="0" shapeId="0">
      <text>
        <t>fires when: !rank-elite &amp;&amp; !asianalliance_doctrine_modernizedinfantryequipment</t>
      </text>
    </comment>
    <comment ref="L827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7" authorId="0" shapeId="0">
      <text>
        <t>fires when: (rank-elite &amp;&amp; !asianalliance_doctrine_modernizedinfantryequipment) || (!rank-elite &amp;&amp; asianalliance_doctrine_modernizedinfantryequipment)</t>
      </text>
    </comment>
    <comment ref="L828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8" authorId="0" shapeId="0">
      <text>
        <t>fires when: rank-elite &amp;&amp; asianalliance_doctrine_modernizedinfantryequipment</t>
      </text>
    </comment>
    <comment ref="L832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2" authorId="0" shapeId="0">
      <text>
        <t>fires when: !rank-elite</t>
      </text>
    </comment>
    <comment ref="L833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3" authorId="0" shapeId="0">
      <text>
        <t>fires when: rank-elite</t>
      </text>
    </comment>
    <comment ref="L834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3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3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3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9" authorId="0" shapeId="0">
      <text>
        <t>fires when: !rank-elite</t>
      </text>
    </comment>
    <comment ref="L84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0" authorId="0" shapeId="0">
      <text>
        <t>fires when: rank-elite</t>
      </text>
    </comment>
    <comment ref="L84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1" authorId="0" shapeId="0">
      <text>
        <t>fires when: !rank-elite</t>
      </text>
    </comment>
    <comment ref="L84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2" authorId="0" shapeId="0">
      <text>
        <t>fires when: rank-elite</t>
      </text>
    </comment>
    <comment ref="L845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5" authorId="0" shapeId="0">
      <text>
        <t>fires when: !deployed &amp;&amp; !rank-elite</t>
      </text>
    </comment>
    <comment ref="L846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6" authorId="0" shapeId="0">
      <text>
        <t>fires when: deployed &amp;&amp; !rank-elite</t>
      </text>
    </comment>
    <comment ref="L847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7" authorId="0" shapeId="0">
      <text>
        <t>fires when: !rank-elite</t>
      </text>
    </comment>
    <comment ref="L848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8" authorId="0" shapeId="0">
      <text>
        <t>fires when: !deployed &amp;&amp; rank-elite</t>
      </text>
    </comment>
    <comment ref="L849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9" authorId="0" shapeId="0">
      <text>
        <t>fires when: deployed &amp;&amp; rank-elite</t>
      </text>
    </comment>
    <comment ref="L850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0" authorId="0" shapeId="0">
      <text>
        <t>fires when: rank-elite</t>
      </text>
    </comment>
    <comment ref="AB851" authorId="0" shapeId="0">
      <text>
        <t>fires when: botmicro</t>
      </text>
    </comment>
    <comment ref="L85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3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4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6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7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9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69" authorId="0" shapeId="0">
      <text>
        <t>fires when: !ixian_upgrade_tungstenneedleguns</t>
      </text>
    </comment>
    <comment ref="L870" authorId="0" shapeId="0">
      <text>
        <t>per-shot TOTAL across 8 main warhead(s).
raw warhead damages: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0" authorId="0" shapeId="0">
      <text>
        <t>fires when: ixian_upgrade_tungstenneedleguns</t>
      </text>
    </comment>
    <comment ref="L871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1" authorId="0" shapeId="0">
      <text>
        <t>fires when: !ixian_upgrade_tungstenneedleguns</t>
      </text>
    </comment>
    <comment ref="L872" authorId="0" shapeId="0">
      <text>
        <t>per-shot TOTAL across 8 main warhead(s).
raw warhead damages: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2" authorId="0" shapeId="0">
      <text>
        <t>fires when: ixian_upgrade_tungstenneedleguns</t>
      </text>
    </comment>
    <comment ref="L87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76" authorId="0" shapeId="0">
      <text>
        <t>per-shot TOTAL across 1 main warhead(s).
raw warhead damages: 20000,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78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0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8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0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2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4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8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9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1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1" authorId="0" shapeId="0">
      <text>
        <t>fires when: !japan_upgrade_energizedarrows</t>
      </text>
    </comment>
    <comment ref="L922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2" authorId="0" shapeId="0">
      <text>
        <t>fires when: !japan_upgrade_energizedarrows</t>
      </text>
    </comment>
    <comment ref="L923" authorId="0" shapeId="0">
      <text>
        <t>per-shot TOTAL across 7 main warhead(s).
raw warhead damages: 6000, 3, 6000, 3, 6000, 3000, 3, 6000,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3" authorId="0" shapeId="0">
      <text>
        <t>fires when: japan_upgrade_energizedarrows</t>
      </text>
    </comment>
    <comment ref="L924" authorId="0" shapeId="0">
      <text>
        <t>per-shot TOTAL across 7 main warhead(s).
raw warhead damages: 6000, 3, 6000, 3, 6000, 3000, 3, 6000,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4" authorId="0" shapeId="0">
      <text>
        <t>fires when: japan_upgrade_energizedarrows</t>
      </text>
    </comment>
    <comment ref="L92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7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9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9" authorId="0" shapeId="0">
      <text>
        <t>fires when: !ra1_allies_upgrade_cryomissiles</t>
      </text>
    </comment>
    <comment ref="L930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0" authorId="0" shapeId="0">
      <text>
        <t>fires when: !ra1_allies_upgrade_cryomissiles</t>
      </text>
    </comment>
    <comment ref="L931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1" authorId="0" shapeId="0">
      <text>
        <t>fires when: ra1_allies_upgrade_cryomissiles</t>
      </text>
    </comment>
    <comment ref="L932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2" authorId="0" shapeId="0">
      <text>
        <t>fires when: ra1_allies_upgrade_cryomissiles</t>
      </text>
    </comment>
    <comment ref="L93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7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2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7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3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8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8" authorId="0" shapeId="0">
      <text>
        <t>fires when: !rank-elite</t>
      </text>
    </comment>
    <comment ref="L959" authorId="0" shapeId="0">
      <text>
        <t>per-shot TOTAL across 1 main warhead(s).
raw warhead damages: 88000, 44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9" authorId="0" shapeId="0">
      <text>
        <t>fires when: rank-elite</t>
      </text>
    </comment>
    <comment ref="L960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0" authorId="0" shapeId="0">
      <text>
        <t>fires when: !rank-elite</t>
      </text>
    </comment>
    <comment ref="L961" authorId="0" shapeId="0">
      <text>
        <t>per-shot TOTAL across 1 main warhead(s).
raw warhead damages: 88000, 44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1" authorId="0" shapeId="0">
      <text>
        <t>fires when: rank-elite</t>
      </text>
    </comment>
    <comment ref="L963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3" authorId="0" shapeId="0">
      <text>
        <t>fires when: !rank-elite &amp;&amp; !yuri_upgrade_meltingvirus</t>
      </text>
    </comment>
    <comment ref="L964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4" authorId="0" shapeId="0">
      <text>
        <t>fires when: !rank-elite &amp;&amp; yuri_upgrade_meltingvirus &amp;&amp; !yuri_upgrade_corrosiveammo</t>
      </text>
    </comment>
    <comment ref="L965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5" authorId="0" shapeId="0">
      <text>
        <t>fires when: !rank-elite &amp;&amp; yuri_upgrade_corrosiveammo</t>
      </text>
    </comment>
    <comment ref="L966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6" authorId="0" shapeId="0">
      <text>
        <t>fires when: rank-elite</t>
      </text>
    </comment>
    <comment ref="L967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7" authorId="0" shapeId="0">
      <text>
        <t>fires when: !rank-elite &amp;&amp; !yuri_upgrade_meltingvirus</t>
      </text>
    </comment>
    <comment ref="L968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8" authorId="0" shapeId="0">
      <text>
        <t>fires when: !rank-elite &amp;&amp; yuri_upgrade_meltingvirus &amp;&amp; !yuri_upgrade_corrosiveammo</t>
      </text>
    </comment>
    <comment ref="L969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9" authorId="0" shapeId="0">
      <text>
        <t>fires when: !rank-elite &amp;&amp; yuri_upgrade_corrosiveammo</t>
      </text>
    </comment>
    <comment ref="L970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0" authorId="0" shapeId="0">
      <text>
        <t>fires when: rank-elite</t>
      </text>
    </comment>
    <comment ref="L97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2" authorId="0" shapeId="0">
      <text>
        <t>fires when: !asianalliance_doctrine_modernizedinfantryequipment</t>
      </text>
    </comment>
    <comment ref="L973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3" authorId="0" shapeId="0">
      <text>
        <t>fires when: asianalliance_doctrine_modernizedinfantryequipment</t>
      </text>
    </comment>
    <comment ref="AB974" authorId="0" shapeId="0">
      <text>
        <t>fires when: canflare</t>
      </text>
    </comment>
    <comment ref="L97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5" authorId="0" shapeId="0">
      <text>
        <t>fires when: !asianalliance_doctrine_modernizedinfantryequipment</t>
      </text>
    </comment>
    <comment ref="L976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6" authorId="0" shapeId="0">
      <text>
        <t>fires when: asianalliance_doctrine_modernizedinfantryequipment</t>
      </text>
    </comment>
    <comment ref="L978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8" authorId="0" shapeId="0">
      <text>
        <t>fires when: !rank-elite</t>
      </text>
    </comment>
    <comment ref="L97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9" authorId="0" shapeId="0">
      <text>
        <t>fires when: rank-elite</t>
      </text>
    </comment>
    <comment ref="L980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0" authorId="0" shapeId="0">
      <text>
        <t>fires when: !rank-elite</t>
      </text>
    </comment>
    <comment ref="L98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1" authorId="0" shapeId="0">
      <text>
        <t>fires when: rank-elite</t>
      </text>
    </comment>
    <comment ref="L983" authorId="0" shapeId="0">
      <text>
        <t>per-shot TOTAL across 1 main warhead(s).
raw warhead damages: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3" authorId="0" shapeId="0">
      <text>
        <t>fires when: !rank-elite</t>
      </text>
    </comment>
    <comment ref="L984" authorId="0" shapeId="0">
      <text>
        <t>per-shot TOTAL across 1 main warhead(s).
raw warhead damages: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4" authorId="0" shapeId="0">
      <text>
        <t>fires when: rank-elite</t>
      </text>
    </comment>
    <comment ref="L985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5" authorId="0" shapeId="0">
      <text>
        <t>fires when: !rank-elite</t>
      </text>
    </comment>
    <comment ref="L98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6" authorId="0" shapeId="0">
      <text>
        <t>fires when: rank-elite</t>
      </text>
    </comment>
    <comment ref="L987" authorId="0" shapeId="0">
      <text>
        <t>per-shot TOTAL across 1 main warhead(s).
raw warhead damages: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7" authorId="0" shapeId="0">
      <text>
        <t>fires when: !rank-elite</t>
      </text>
    </comment>
    <comment ref="L988" authorId="0" shapeId="0">
      <text>
        <t>per-shot TOTAL across 1 main warhead(s).
raw warhead damages: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8" authorId="0" shapeId="0">
      <text>
        <t>fires when: rank-elite</t>
      </text>
    </comment>
    <comment ref="L98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9" authorId="0" shapeId="0">
      <text>
        <t>fires when: !rank-elite</t>
      </text>
    </comment>
    <comment ref="L990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0" authorId="0" shapeId="0">
      <text>
        <t>fires when: rank-elite</t>
      </text>
    </comment>
    <comment ref="L992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2" authorId="0" shapeId="0">
      <text>
        <t>fires when: !rank-elite</t>
      </text>
    </comment>
    <comment ref="L993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3" authorId="0" shapeId="0">
      <text>
        <t>fires when: rank-elite</t>
      </text>
    </comment>
    <comment ref="L994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4" authorId="0" shapeId="0">
      <text>
        <t>fires when: !rank-elite</t>
      </text>
    </comment>
    <comment ref="L995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5" authorId="0" shapeId="0">
      <text>
        <t>fires when: rank-elite</t>
      </text>
    </comment>
    <comment ref="L997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98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0" authorId="0" shapeId="0">
      <text>
        <t>per-shot TOTAL across 8 main warhead(s).
raw warhead damages: 20000, 2, 20000, 20000, 2, 20000, 2, 2000, 1, 20000, 2, 2000, 1, 20000, 2, 20000,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1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2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5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6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9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1" authorId="0" shapeId="0">
      <text>
        <t>per-shot TOTAL across 8 main warhead(s).
raw warhead damages: 40000, 4, 40000, 40000, 4, 40000, 4, 4000, 2, 40000, 4, 4000, 2, 40000, 4, 40000,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2" authorId="0" shapeId="0">
      <text>
        <t>per-shot TOTAL across 5 main warhead(s).
raw warhead damages: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3" authorId="0" shapeId="0">
      <text>
        <t>per-shot TOTAL across 5 main warhead(s).
raw warhead damages: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5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5" authorId="0" shapeId="0">
      <text>
        <t>fires when: (FSD_cond_1 &amp;&amp; !wc2_cond_bot_owner) || (FSD_cond_1_AI &amp;&amp; wc2_cond_bot_owner) || (FSD_cond_2 &amp;&amp; !deathknighthaste_upg) || (FSD_cond_3 &amp;&amp; !deathknightdeathanddecay_upg) || (FSD_cond_4 &amp;&amp; !deathknightraisedead_upg)</t>
      </text>
    </comment>
    <comment ref="L1016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7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7" authorId="0" shapeId="0">
      <text>
        <t>fires when: (FSD_cond_1 &amp;&amp; !wc2_cond_bot_owner) || (FSD_cond_1_AI &amp;&amp; wc2_cond_bot_owner)</t>
      </text>
    </comment>
    <comment ref="L1018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8" authorId="0" shapeId="0">
      <text>
        <t>fires when: (FSD_cond_1 &amp;&amp; !wc2_cond_bot_owner) || (FSD_cond_1_AI &amp;&amp; wc2_cond_bot_owner)</t>
      </text>
    </comment>
    <comment ref="L1019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9" authorId="0" shapeId="0">
      <text>
        <t>fires when: (FSD_cond_1 &amp;&amp; !wc2_cond_bot_owner) || (FSD_cond_1_AI &amp;&amp; wc2_cond_bot_owner)</t>
      </text>
    </comment>
    <comment ref="AB1020" authorId="0" shapeId="0">
      <text>
        <t>fires when: FSD_cond_2 &amp;&amp; deathknighthaste_upg</t>
      </text>
    </comment>
    <comment ref="AB1021" authorId="0" shapeId="0">
      <text>
        <t>fires when: FSD_cond_3 &amp;&amp; deathknightdeathanddecay_upg</t>
      </text>
    </comment>
    <comment ref="AB1022" authorId="0" shapeId="0">
      <text>
        <t>fires when: FSD_cond_4 &amp;&amp; deathknightraisedead_upg</t>
      </text>
    </comment>
    <comment ref="L1024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4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1025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6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6" authorId="0" shapeId="0">
      <text>
        <t>fires when: (FSD_cond_1 &amp;&amp; !wc2_cond_bot_owner) || (FSD_cond_1_AI &amp;&amp; wc2_cond_bot_owner)</t>
      </text>
    </comment>
    <comment ref="L1027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7" authorId="0" shapeId="0">
      <text>
        <t>fires when: (FSD_cond_1 &amp;&amp; !wc2_cond_bot_owner) || (FSD_cond_1_AI &amp;&amp; wc2_cond_bot_owner)</t>
      </text>
    </comment>
    <comment ref="AB1028" authorId="0" shapeId="0">
      <text>
        <t>fires when: FSD_cond_2 &amp;&amp; mageslow_upg</t>
      </text>
    </comment>
    <comment ref="AB1029" authorId="0" shapeId="0">
      <text>
        <t>fires when: FSD_cond_3 &amp;&amp; magepolymorph_upg</t>
      </text>
    </comment>
    <comment ref="AB1030" authorId="0" shapeId="0">
      <text>
        <t>fires when: FSD_cond_4 &amp;&amp; mageblizzard_upg</t>
      </text>
    </comment>
    <comment ref="L1032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2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1033" authorId="0" shapeId="0">
      <text>
        <t>fires when: FSD_cond_3 &amp;&amp; paladinhealing_upg</t>
      </text>
    </comment>
    <comment ref="AB1034" authorId="0" shapeId="0">
      <text>
        <t>fires when: FSD_cond_4 &amp;&amp; paladinexorcism_upg</t>
      </text>
    </comment>
    <comment ref="L1036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6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1037" authorId="0" shapeId="0">
      <text>
        <t>fires when: FSD_cond_3 &amp;&amp; paladinhealing_upg</t>
      </text>
    </comment>
    <comment ref="AB1038" authorId="0" shapeId="0">
      <text>
        <t>fires when: FSD_cond_4 &amp;&amp; paladinexorcism_upg</t>
      </text>
    </comment>
    <comment ref="L1040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0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1041" authorId="0" shapeId="0">
      <text>
        <t>per-shot TOTAL across 1 main warhead(s).
raw warhead damages: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42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2" authorId="0" shapeId="0">
      <text>
        <t>fires when: (FSD_cond_1 &amp;&amp; !wc2_cond_bot_owner) || (FSD_cond_1_AI &amp;&amp; wc2_cond_bot_owner)</t>
      </text>
    </comment>
    <comment ref="L1043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3" authorId="0" shapeId="0">
      <text>
        <t>fires when: (FSD_cond_1 &amp;&amp; !wc2_cond_bot_owner) || (FSD_cond_1_AI &amp;&amp; wc2_cond_bot_owner)</t>
      </text>
    </comment>
    <comment ref="AB1044" authorId="0" shapeId="0">
      <text>
        <t>fires when: FSD_cond_2 &amp;&amp; mageslow_upg</t>
      </text>
    </comment>
    <comment ref="AB1045" authorId="0" shapeId="0">
      <text>
        <t>fires when: FSD_cond_3 &amp;&amp; magepolymorph_upg</t>
      </text>
    </comment>
    <comment ref="AB1046" authorId="0" shapeId="0">
      <text>
        <t>fires when: FSD_cond_4 &amp;&amp; mageblizzard_upg</t>
      </text>
    </comment>
    <comment ref="L1051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1" authorId="0" shapeId="0">
      <text>
        <t>fires when: !td_gdi_upgrade_armorpiercingbullets</t>
      </text>
    </comment>
    <comment ref="L1052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2" authorId="0" shapeId="0">
      <text>
        <t>fires when: !td_gdi_upgrade_armorpiercingbullets</t>
      </text>
    </comment>
    <comment ref="L1053" authorId="0" shapeId="0">
      <text>
        <t>per-shot TOTAL across 2 main warhead(s).
raw warhead damages: 20000, 10, 1000,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3" authorId="0" shapeId="0">
      <text>
        <t>fires when: td_gdi_upgrade_armorpiercingbullets</t>
      </text>
    </comment>
    <comment ref="L1054" authorId="0" shapeId="0">
      <text>
        <t>per-shot TOTAL across 2 main warhead(s).
raw warhead damages: 20000, 10, 1000,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4" authorId="0" shapeId="0">
      <text>
        <t>fires when: td_gdi_upgrade_armorpiercingbullets</t>
      </text>
    </comment>
    <comment ref="L1056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7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8" authorId="0" shapeId="0">
      <text>
        <t>per-shot TOTAL across 2 main warhead(s).
raw warhead damages: 20000, 10000, 10,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0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1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2" authorId="0" shapeId="0">
      <text>
        <t>per-shot TOTAL across 2 main warhead(s).
raw warhead damages: 20000, 10000, 10,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8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9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1" authorId="0" shapeId="0">
      <text>
        <t>per-shot TOTAL across 1 main warhead(s).
raw warhead damages: 2000, 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2" authorId="0" shapeId="0">
      <text>
        <t>per-shot TOTAL across 1 main warhead(s).
raw warhead damages: 2000, 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3" authorId="0" shapeId="0">
      <text>
        <t>per-shot TOTAL across 1 main warhead(s).
raw warhead damages: 2000, 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7" authorId="0" shapeId="0">
      <text>
        <t>per-shot TOTAL across 1 main warhead(s).
raw warhead damages: 240000, 120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8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9" authorId="0" shapeId="0">
      <text>
        <t>per-shot TOTAL across 1 main warhead(s).
raw warhead damages: 240000, 120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81" authorId="0" shapeId="0">
      <text>
        <t>per-shot TOTAL across 3 main warhead(s).
raw warhead damages: 10000, 5, 10000,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1" authorId="0" shapeId="0">
      <text>
        <t>fires when: !ra1_soviets_upgrade_incendiarybullets &amp;&amp; !ra1_soviets_upgrade_teslaarcing &amp;&amp; !ra1_soviets_upgrade_nucleartankshells</t>
      </text>
    </comment>
    <comment ref="L1082" authorId="0" shapeId="0">
      <text>
        <t>per-shot TOTAL across 4 main warhead(s).
raw warhead damages: 8000, 4, 8000, 4, 8000, 4000,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2" authorId="0" shapeId="0">
      <text>
        <t>fires when: !ra1_soviets_upgrade_incendiarybullets &amp;&amp; ra1_soviets_upgrade_teslaarcing</t>
      </text>
    </comment>
    <comment ref="L1083" authorId="0" shapeId="0">
      <text>
        <t>per-shot TOTAL across 4 main warhead(s).
raw warhead damages: 40000, 20, 40000, 20, 40000, 20, 40000, 20000,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3" authorId="0" shapeId="0">
      <text>
        <t>fires when: !ra1_soviets_upgrade_incendiarybullets &amp;&amp; ra1_soviets_upgrade_nucleartankshells</t>
      </text>
    </comment>
    <comment ref="L1084" authorId="0" shapeId="0">
      <text>
        <t>per-shot TOTAL across 4 main warhead(s).
raw warhead damages: 10000, 5, 10000, 5, 10000,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4" authorId="0" shapeId="0">
      <text>
        <t>fires when: ra1_soviets_upgrade_incendiarybullets &amp;&amp; !ra1_soviets_upgrade_teslaarcing &amp;&amp; !ra1_soviets_upgrade_nucleartankshells</t>
      </text>
    </comment>
    <comment ref="L1085" authorId="0" shapeId="0">
      <text>
        <t>per-shot TOTAL across 5 main warhead(s).
raw warhead damages: 8000, 4, 8000, 4, 8000, 4000, 4, 8000, 4, 8000, 4000,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5" authorId="0" shapeId="0">
      <text>
        <t>fires when: ra1_soviets_upgrade_incendiarybullets &amp;&amp; ra1_soviets_upgrade_teslaarcing</t>
      </text>
    </comment>
    <comment ref="L1086" authorId="0" shapeId="0">
      <text>
        <t>per-shot TOTAL across 5 main warhead(s).
raw warhead damages: 40000, 20, 40000, 20, 40000, 20, 40000, 20, 40000, 20000,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6" authorId="0" shapeId="0">
      <text>
        <t>fires when: ra1_soviets_upgrade_incendiarybullets &amp;&amp; ra1_soviets_upgrade_nucleartankshells</t>
      </text>
    </comment>
    <comment ref="L1087" authorId="0" shapeId="0">
      <text>
        <t>per-shot TOTAL across 3 main warhead(s).
raw warhead damages: 10000, 5, 10000,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7" authorId="0" shapeId="0">
      <text>
        <t>fires when: !ra1_soviets_upgrade_incendiarybullets &amp;&amp; !ra1_soviets_upgrade_teslaarcing &amp;&amp; !ra1_soviets_upgrade_nucleartankshells</t>
      </text>
    </comment>
    <comment ref="L1088" authorId="0" shapeId="0">
      <text>
        <t>per-shot TOTAL across 4 main warhead(s).
raw warhead damages: 8000, 4, 8000, 4, 8000, 4000,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8" authorId="0" shapeId="0">
      <text>
        <t>fires when: !ra1_soviets_upgrade_incendiarybullets &amp;&amp; ra1_soviets_upgrade_teslaarcing</t>
      </text>
    </comment>
    <comment ref="L1089" authorId="0" shapeId="0">
      <text>
        <t>per-shot TOTAL across 4 main warhead(s).
raw warhead damages: 40000, 20, 40000, 20, 40000, 20, 40000, 20000,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9" authorId="0" shapeId="0">
      <text>
        <t>fires when: !ra1_soviets_upgrade_incendiarybullets &amp;&amp; ra1_soviets_upgrade_nucleartankshells</t>
      </text>
    </comment>
    <comment ref="L1090" authorId="0" shapeId="0">
      <text>
        <t>per-shot TOTAL across 4 main warhead(s).
raw warhead damages: 10000, 5, 10000, 5, 10000,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90" authorId="0" shapeId="0">
      <text>
        <t>fires when: ra1_soviets_upgrade_incendiarybullets &amp;&amp; !ra1_soviets_upgrade_teslaarcing &amp;&amp; !ra1_soviets_upgrade_nucleartankshells</t>
      </text>
    </comment>
    <comment ref="L1091" authorId="0" shapeId="0">
      <text>
        <t>per-shot TOTAL across 5 main warhead(s).
raw warhead damages: 8000, 4, 8000, 4, 8000, 4000, 4, 8000, 4, 8000, 4000,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91" authorId="0" shapeId="0">
      <text>
        <t>fires when: ra1_soviets_upgrade_incendiarybullets &amp;&amp; ra1_soviets_upgrade_teslaarcing</t>
      </text>
    </comment>
    <comment ref="L1092" authorId="0" shapeId="0">
      <text>
        <t>per-shot TOTAL across 5 main warhead(s).
raw warhead damages: 40000, 20, 40000, 20, 40000, 20, 40000, 20, 40000, 20000,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92" authorId="0" shapeId="0">
      <text>
        <t>fires when: ra1_soviets_upgrade_incendiarybullets &amp;&amp; ra1_soviets_upgrade_nucleartankshells</t>
      </text>
    </comment>
    <comment ref="L1094" authorId="0" shapeId="0">
      <text>
        <t>per-shot TOTAL across 1 main warhead(s).
raw warhead damages: 7777,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95" authorId="0" shapeId="0">
      <text>
        <t>per-shot TOTAL across 1 main warhead(s).
raw warhead damages: 7777,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99" authorId="0" shapeId="0">
      <text>
        <t>per-shot TOTAL across 1 main warhead(s).
raw warhead damages: 74000, 37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01" authorId="0" shapeId="0">
      <text>
        <t>per-shot TOTAL across 6 main warhead(s).
raw warhead damages: 8000, 4, 8000, 4000,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02" authorId="0" shapeId="0">
      <text>
        <t>per-shot TOTAL across 6 main warhead(s).
raw warhead damages: 8000, 4, 8000, 4000, 4,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04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4" authorId="0" shapeId="0">
      <text>
        <t>fires when: !ts_gdi_upgrade_railgunweaponry</t>
      </text>
    </comment>
    <comment ref="L1105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5" authorId="0" shapeId="0">
      <text>
        <t>fires when: ts_gdi_upgrade_railgunweaponry</t>
      </text>
    </comment>
    <comment ref="L1106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6" authorId="0" shapeId="0">
      <text>
        <t>fires when: !ts_gdi_upgrade_railgunweaponry</t>
      </text>
    </comment>
    <comment ref="L1107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7" authorId="0" shapeId="0">
      <text>
        <t>fires when: ts_gdi_upgrade_railgunweaponry</t>
      </text>
    </comment>
    <comment ref="L110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9" authorId="0" shapeId="0">
      <text>
        <t>fires when: !forgotten_upgrade_chemicalweapons</t>
      </text>
    </comment>
    <comment ref="L1110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0" authorId="0" shapeId="0">
      <text>
        <t>fires when: forgotten_upgrade_chemicalweapons</t>
      </text>
    </comment>
    <comment ref="L1112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2" authorId="0" shapeId="0">
      <text>
        <t>fires when: !forgotten_upgrade_chemicalweapons</t>
      </text>
    </comment>
    <comment ref="L1113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3" authorId="0" shapeId="0">
      <text>
        <t>fires when: forgotten_upgrade_chemicalweapons</t>
      </text>
    </comment>
    <comment ref="L1115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5" authorId="0" shapeId="0">
      <text>
        <t>fires when: !forgotten_upgrade_chemicalweapons</t>
      </text>
    </comment>
    <comment ref="L111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6" authorId="0" shapeId="0">
      <text>
        <t>fires when: forgotten_upgrade_chemicalweapons</t>
      </text>
    </comment>
    <comment ref="L1118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8" authorId="0" shapeId="0">
      <text>
        <t>fires when: !forgotten_upgrade_chemicalweapons</t>
      </text>
    </comment>
    <comment ref="L111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9" authorId="0" shapeId="0">
      <text>
        <t>fires when: forgotten_upgrade_chemicalweapons</t>
      </text>
    </comment>
    <comment ref="L112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1" authorId="0" shapeId="0">
      <text>
        <t>fires when: !forgotten_upgrade_chemicalweapons</t>
      </text>
    </comment>
    <comment ref="L1122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2" authorId="0" shapeId="0">
      <text>
        <t>fires when: forgotten_upgrade_chemicalweapons</t>
      </text>
    </comment>
    <comment ref="L1123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3" authorId="0" shapeId="0">
      <text>
        <t>fires when: !forgotten_upgrade_chemicalweapons</t>
      </text>
    </comment>
    <comment ref="L1124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4" authorId="0" shapeId="0">
      <text>
        <t>fires when: forgotten_upgrade_chemicalweapons</t>
      </text>
    </comment>
    <comment ref="L1127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7" authorId="0" shapeId="0">
      <text>
        <t>fires when: !rank-elite</t>
      </text>
    </comment>
    <comment ref="L1128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8" authorId="0" shapeId="0">
      <text>
        <t>fires when: rank-elite</t>
      </text>
    </comment>
    <comment ref="L1131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1" authorId="0" shapeId="0">
      <text>
        <t>fires when: !rank-elite</t>
      </text>
    </comment>
    <comment ref="L1132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2" authorId="0" shapeId="0">
      <text>
        <t>fires when: rank-elite</t>
      </text>
    </comment>
    <comment ref="L113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4" authorId="0" shapeId="0">
      <text>
        <t>fires when: !rank-elite</t>
      </text>
    </comment>
    <comment ref="L113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5" authorId="0" shapeId="0">
      <text>
        <t>fires when: rank-elite</t>
      </text>
    </comment>
    <comment ref="L113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6" authorId="0" shapeId="0">
      <text>
        <t>fires when: !canflare</t>
      </text>
    </comment>
    <comment ref="AB1137" authorId="0" shapeId="0">
      <text>
        <t>fires when: canflare</t>
      </text>
    </comment>
    <comment ref="L113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8" authorId="0" shapeId="0">
      <text>
        <t>fires when: !rank-elite</t>
      </text>
    </comment>
    <comment ref="L113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9" authorId="0" shapeId="0">
      <text>
        <t>fires when: rank-elite</t>
      </text>
    </comment>
    <comment ref="AB1142" authorId="0" shapeId="0">
      <text>
        <t>fires when: !yuri_upgrade_domination</t>
      </text>
    </comment>
    <comment ref="AB1143" authorId="0" shapeId="0">
      <text>
        <t>fires when: yuri_upgrade_domination</t>
      </text>
    </comment>
    <comment ref="L1145" authorId="0" shapeId="0">
      <text>
        <t>per-shot TOTAL across 8 main warhead(s).
raw warhead damages: 32000, 16, 16000, 32000, 16, 32000, 16, 6000, 3, 32000, 16, 6000, 3,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46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6" authorId="0" shapeId="0">
      <text>
        <t>fires when: !asianalliance_doctrine_modernizedinfantryequipment</t>
      </text>
    </comment>
    <comment ref="L1147" authorId="0" shapeId="0">
      <text>
        <t>per-shot TOTAL across 7 main warhead(s).
raw warhead damages: 16000, 8, 16000, 8, 6000, 3, 16000, 8, 6000, 3,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7" authorId="0" shapeId="0">
      <text>
        <t>fires when: asianalliance_doctrine_modernizedinfantryequipment</t>
      </text>
    </comment>
    <comment ref="L1148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8" authorId="0" shapeId="0">
      <text>
        <t>fires when: !asianalliance_doctrine_modernizedinfantryequipment</t>
      </text>
    </comment>
    <comment ref="L1149" authorId="0" shapeId="0">
      <text>
        <t>per-shot TOTAL across 7 main warhead(s).
raw warhead damages: 16000, 8, 16000, 8, 6000, 3, 16000, 8, 6000, 3,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9" authorId="0" shapeId="0">
      <text>
        <t>fires when: asianalliance_doctrine_modernizedinfantryequipment</t>
      </text>
    </comment>
    <comment ref="L1151" authorId="0" shapeId="0">
      <text>
        <t>per-shot TOTAL across 2 main warhead(s).
raw warhead damages: 60000, 30, 600,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1" authorId="0" shapeId="0">
      <text>
        <t>fires when: !rank-elite &amp;&amp; !steelconsortium_upgrade_quantumweaponpower</t>
      </text>
    </comment>
    <comment ref="L1152" authorId="0" shapeId="0">
      <text>
        <t>per-shot TOTAL across 3 main warhead(s).
raw warhead damages: 40000, 20, 20000, 40000, 20, 600, 40000, 20,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2" authorId="0" shapeId="0">
      <text>
        <t>fires when: !rank-elite &amp;&amp; steelconsortium_upgrade_quantumweaponpower</t>
      </text>
    </comment>
    <comment ref="L1153" authorId="0" shapeId="0">
      <text>
        <t>per-shot TOTAL across 3 main warhead(s).
raw warhead damages: 60000, 30, 30000, 60000, 30, 600,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3" authorId="0" shapeId="0">
      <text>
        <t>fires when: rank-elite</t>
      </text>
    </comment>
    <comment ref="L1155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5" authorId="0" shapeId="0">
      <text>
        <t>fires when: !rank-elite</t>
      </text>
    </comment>
    <comment ref="L1156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6" authorId="0" shapeId="0">
      <text>
        <t>fires when: rank-elite</t>
      </text>
    </comment>
    <comment ref="L1157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7" authorId="0" shapeId="0">
      <text>
        <t>fires when: !rank-elite</t>
      </text>
    </comment>
    <comment ref="L1158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8" authorId="0" shapeId="0">
      <text>
        <t>fires when: rank-elite</t>
      </text>
    </comment>
    <comment ref="L1159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9" authorId="0" shapeId="0">
      <text>
        <t>fires when: !rank-elite &amp;&amp; steelconsortium_upgrade_resonanceammo</t>
      </text>
    </comment>
    <comment ref="L1160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0" authorId="0" shapeId="0">
      <text>
        <t>fires when: rank-elite &amp;&amp; steelconsortium_upgrade_resonanceammo</t>
      </text>
    </comment>
    <comment ref="L1161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1" authorId="0" shapeId="0">
      <text>
        <t>fires when: !rank-elite &amp;&amp; steelconsortium_upgrade_resonanceammo</t>
      </text>
    </comment>
    <comment ref="L1162" authorId="0" shapeId="0">
      <text>
        <t>per-shot TOTAL across 3 main warhead(s).
raw warhead damages: 4000, 2000, 2, 4000, 2, 600,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2" authorId="0" shapeId="0">
      <text>
        <t>fires when: rank-elite &amp;&amp; steelconsortium_upgrade_resonanceammo</t>
      </text>
    </comment>
    <comment ref="L1164" authorId="0" shapeId="0">
      <text>
        <t>per-shot TOTAL across 5 main warhead(s).
raw warhead damages: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66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6" authorId="0" shapeId="0">
      <text>
        <t>fires when: !rank-elite</t>
      </text>
    </comment>
    <comment ref="L1167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7" authorId="0" shapeId="0">
      <text>
        <t>fires when: rank-elite</t>
      </text>
    </comment>
    <comment ref="L1168" authorId="0" shapeId="0">
      <text>
        <t>per-shot TOTAL across 3 main warhead(s).
raw warhead damages: 60000, 30, 60000, 30000,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8" authorId="0" shapeId="0">
      <text>
        <t>fires when: !rank-elite</t>
      </text>
    </comment>
    <comment ref="L1169" authorId="0" shapeId="0">
      <text>
        <t>per-shot TOTAL across 3 main warhead(s).
raw warhead damages: 120000, 60, 120000, 60000, 60, 120000, 60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9" authorId="0" shapeId="0">
      <text>
        <t>fires when: rank-elite</t>
      </text>
    </comment>
    <comment ref="L1170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0" authorId="0" shapeId="0">
      <text>
        <t>fires when: !rank-elite</t>
      </text>
    </comment>
    <comment ref="L1171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1" authorId="0" shapeId="0">
      <text>
        <t>fires when: rank-elite</t>
      </text>
    </comment>
    <comment ref="L1172" authorId="0" shapeId="0">
      <text>
        <t>per-shot TOTAL across 3 main warhead(s).
raw warhead damages: 60000, 30, 60000, 30000,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2" authorId="0" shapeId="0">
      <text>
        <t>fires when: !rank-elite</t>
      </text>
    </comment>
    <comment ref="L1173" authorId="0" shapeId="0">
      <text>
        <t>per-shot TOTAL across 3 main warhead(s).
raw warhead damages: 120000, 60, 120000, 60000, 60, 120000, 60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3" authorId="0" shapeId="0">
      <text>
        <t>fires when: rank-elite</t>
      </text>
    </comment>
    <comment ref="L1175" authorId="0" shapeId="0">
      <text>
        <t>per-shot TOTAL across 1 main warhead(s).
raw warhead damages: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5" authorId="0" shapeId="0">
      <text>
        <t>fires when: !rank-elite</t>
      </text>
    </comment>
    <comment ref="L1176" authorId="0" shapeId="0">
      <text>
        <t>per-shot TOTAL across 1 main warhead(s).
raw warhead damages: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6" authorId="0" shapeId="0">
      <text>
        <t>fires when: rank-elite</t>
      </text>
    </comment>
    <comment ref="L1177" authorId="0" shapeId="0">
      <text>
        <t>per-shot TOTAL across 1 main warhead(s).
raw warhead damages: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7" authorId="0" shapeId="0">
      <text>
        <t>fires when: !rank-elite</t>
      </text>
    </comment>
    <comment ref="L1178" authorId="0" shapeId="0">
      <text>
        <t>per-shot TOTAL across 1 main warhead(s).
raw warhead damages: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8" authorId="0" shapeId="0">
      <text>
        <t>fires when: rank-elite</t>
      </text>
    </comment>
    <comment ref="L1180" authorId="0" shapeId="0">
      <text>
        <t>per-shot TOTAL across 6 main warhead(s).
raw warhead damages: 2000,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1" authorId="0" shapeId="0">
      <text>
        <t>per-shot TOTAL across 6 main warhead(s).
raw warhead damages: 2000,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3" authorId="0" shapeId="0">
      <text>
        <t>per-shot TOTAL across 8 main warhead(s).
raw warhead damages: 32000, 16, 16000, 32000, 16, 32000, 16, 6000, 3, 32000, 16, 6000, 3,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4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4" authorId="0" shapeId="0">
      <text>
        <t>fires when: !tkm_upgrade_titanarmorpiercingbulletsupgrade</t>
      </text>
    </comment>
    <comment ref="L1185" authorId="0" shapeId="0">
      <text>
        <t>per-shot TOTAL across 7 main warhead(s).
raw warhead damages: 16000, 8, 16000, 8, 6000, 3, 16000, 8, 6000, 3,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5" authorId="0" shapeId="0">
      <text>
        <t>fires when: tkm_upgrade_titanarmorpiercingbulletsupgrade</t>
      </text>
    </comment>
    <comment ref="L1186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6" authorId="0" shapeId="0">
      <text>
        <t>fires when: !tkm_upgrade_titanarmorpiercingbulletsupgrade</t>
      </text>
    </comment>
    <comment ref="L1187" authorId="0" shapeId="0">
      <text>
        <t>per-shot TOTAL across 7 main warhead(s).
raw warhead damages: 16000, 8, 16000, 8, 6000, 3, 16000, 8, 6000, 3,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7" authorId="0" shapeId="0">
      <text>
        <t>fires when: tkm_upgrade_titanarmorpiercingbulletsupgrade</t>
      </text>
    </comment>
    <comment ref="L1189" authorId="0" shapeId="0">
      <text>
        <t>per-shot TOTAL across 1 main warhead(s).
raw warhead damages: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0" authorId="0" shapeId="0">
      <text>
        <t>per-shot TOTAL across 1 main warhead(s).
raw warhead damages: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2" authorId="0" shapeId="0">
      <text>
        <t>per-shot TOTAL across 9 main warhead(s).
raw warhead damages: 20000, 10, 20000, 10, 20000, 10, 20000, 10, 20000, 10000, 10, 20000, 10000, 10,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3" authorId="0" shapeId="0">
      <text>
        <t>per-shot TOTAL across 9 main warhead(s).
raw warhead damages: 20000, 10, 20000, 10, 20000, 10, 20000, 10, 20000, 10000, 10, 20000, 10000, 10,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5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6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98" authorId="0" shapeId="0">
      <text>
        <t>per-shot TOTAL across 1 main warhead(s).
raw warhead damages: 64000, 32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0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6" authorId="0" shapeId="0">
      <text>
        <t>per-shot TOTAL across 6 main warhead(s).
raw warhead damages: 2000, 1000, 1,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8" authorId="0" shapeId="0">
      <text>
        <t>per-shot TOTAL across 1 main warhead(s).
raw warhead damages: 4000, 2, 1000, 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10" authorId="0" shapeId="0">
      <text>
        <t>per-shot TOTAL across 1 main warhead(s).
raw warhead damages: 4000, 2, 1000, 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12" authorId="0" shapeId="0">
      <text>
        <t>per-shot TOTAL across 1 main warhead(s).
raw warhead damages: 4000, 2, 1000, 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1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18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0" authorId="0" shapeId="0">
      <text>
        <t>per-shot TOTAL across 6 main warhead(s).
raw warhead damages: 2000, 1, 1000, 2000, 1, 600,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2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2" authorId="0" shapeId="0">
      <text>
        <t>fires when: !rank-elite</t>
      </text>
    </comment>
    <comment ref="L1223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3" authorId="0" shapeId="0">
      <text>
        <t>fires when: rank-elite</t>
      </text>
    </comment>
    <comment ref="L1224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4" authorId="0" shapeId="0">
      <text>
        <t>fires when: !rank-elite</t>
      </text>
    </comment>
    <comment ref="L1225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5" authorId="0" shapeId="0">
      <text>
        <t>fires when: rank-elite</t>
      </text>
    </comment>
    <comment ref="L122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9" authorId="0" shapeId="0">
      <text>
        <t>per-shot TOTAL across 8 main warhead(s).
raw warhead damages: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</commentList>
</comments>
</file>

<file path=xl/comments/comment2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" authorId="0" shapeId="0">
      <text>
        <t>fires when: !td_gdi_upgrade_highvelocitycannons</t>
      </text>
    </comment>
    <comment ref="L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" authorId="0" shapeId="0">
      <text>
        <t>fires when: td_gdi_upgrade_highvelocitycannons</t>
      </text>
    </comment>
    <comment ref="L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" authorId="0" shapeId="0">
      <text>
        <t>fires when: !td_gdi_upgrade_advancedmissiletargeting</t>
      </text>
    </comment>
    <comment ref="L7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" authorId="0" shapeId="0">
      <text>
        <t>fires when: td_gdi_upgrade_advancedmissiletargeting</t>
      </text>
    </comment>
    <comment ref="L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" authorId="0" shapeId="0">
      <text>
        <t>fires when: td_gdi_upgrade_armorpiercingbullets</t>
      </text>
    </comment>
    <comment ref="L10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" authorId="0" shapeId="0">
      <text>
        <t>fires when: !td_gdi_upgrade_highvelocitycannons</t>
      </text>
    </comment>
    <comment ref="L11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" authorId="0" shapeId="0">
      <text>
        <t>fires when: td_gdi_upgrade_highvelocitycannons</t>
      </text>
    </comment>
    <comment ref="L1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" authorId="0" shapeId="0">
      <text>
        <t>fires when: !td_gdi_upgrade_advancedmissiletargeting</t>
      </text>
    </comment>
    <comment ref="L13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" authorId="0" shapeId="0">
      <text>
        <t>fires when: td_gdi_upgrade_advancedmissiletargeting</t>
      </text>
    </comment>
    <comment ref="L1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" authorId="0" shapeId="0">
      <text>
        <t>fires when: td_gdi_upgrade_armorpiercingbullets</t>
      </text>
    </comment>
    <comment ref="L17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" authorId="0" shapeId="0">
      <text>
        <t>fires when: !japan_upgrade_advancedplasmaweapons</t>
      </text>
    </comment>
    <comment ref="L20" authorId="0" shapeId="0">
      <text>
        <t>per-shot TOTAL across 3 main warhead(s).
raw warhead damages: 4000, 2, 2000, 4000, 2, 1000,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" authorId="0" shapeId="0">
      <text>
        <t>fires when: japan_upgrade_advancedplasmaweapons</t>
      </text>
    </comment>
    <comment ref="L2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" authorId="0" shapeId="0">
      <text>
        <t>fires when: !japan_upgrade_advancedplasmaweapons</t>
      </text>
    </comment>
    <comment ref="L23" authorId="0" shapeId="0">
      <text>
        <t>per-shot TOTAL across 4 main warhead(s).
raw warhead damages: 4000, 2000, 2, 4000, 2, 1000, 1,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" authorId="0" shapeId="0">
      <text>
        <t>fires when: japan_upgrade_advancedplasmaweapons</t>
      </text>
    </comment>
    <comment ref="L2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" authorId="0" shapeId="0">
      <text>
        <t>fires when: !ra1_soviets_upgrade_nucleartankshells</t>
      </text>
    </comment>
    <comment ref="L26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" authorId="0" shapeId="0">
      <text>
        <t>fires when: ra1_soviets_upgrade_nucleartankshells</t>
      </text>
    </comment>
    <comment ref="L27" authorId="0" shapeId="0">
      <text>
        <t>per-shot TOTAL across 4 main warhead(s).
raw warhead damages: 2000, 1, 1000, 1, 2000, 1, 600,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" authorId="0" shapeId="0">
      <text>
        <t>fires when: ra1_soviets_upgrade_shtoradefensesystem</t>
      </text>
    </comment>
    <comment ref="L2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" authorId="0" shapeId="0">
      <text>
        <t>fires when: !ra1_soviets_upgrade_nucleartankshells</t>
      </text>
    </comment>
    <comment ref="L30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" authorId="0" shapeId="0">
      <text>
        <t>fires when: ra1_soviets_upgrade_nucleartankshells</t>
      </text>
    </comment>
    <comment ref="L32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" authorId="0" shapeId="0">
      <text>
        <t>fires when: !ra1_soviets_upgrade_nucleartankshells</t>
      </text>
    </comment>
    <comment ref="L33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" authorId="0" shapeId="0">
      <text>
        <t>fires when: ra1_soviets_upgrade_nucleartankshells</t>
      </text>
    </comment>
    <comment ref="L35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" authorId="0" shapeId="0">
      <text>
        <t>fires when: !cabal_upgrade_neutronnuclearcatalyst</t>
      </text>
    </comment>
    <comment ref="L40" authorId="0" shapeId="0">
      <text>
        <t>per-shot TOTAL across 1 main warhead(s).
raw warhead damages: 24000,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" authorId="0" shapeId="0">
      <text>
        <t>fires when: cabal_upgrade_neutronnuclearcatalyst</t>
      </text>
    </comment>
    <comment ref="L42" authorId="0" shapeId="0">
      <text>
        <t>per-shot TOTAL across 2 main warhead(s).
raw warhead damages: 60000, 30, 60000, 30,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" authorId="0" shapeId="0">
      <text>
        <t>fires when: undeployed &amp;&amp; !ts_nod_upgrade_tiberiumlenses</t>
      </text>
    </comment>
    <comment ref="L45" authorId="0" shapeId="0">
      <text>
        <t>per-shot TOTAL across 2 main warhead(s).
raw warhead damages: 6000, 3, 6000, 3,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" authorId="0" shapeId="0">
      <text>
        <t>fires when: undeployed &amp;&amp; ts_nod_upgrade_tiberiumlenses</t>
      </text>
    </comment>
    <comment ref="L46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" authorId="0" shapeId="0">
      <text>
        <t>fires when: deployed &amp;&amp; !ts_nod_upgrade_tiberiumlenses</t>
      </text>
    </comment>
    <comment ref="L47" authorId="0" shapeId="0">
      <text>
        <t>per-shot TOTAL across 2 main warhead(s).
raw warhead damages: 6000, 3, 6000, 3,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" authorId="0" shapeId="0">
      <text>
        <t>fires when: deployed &amp;&amp; ts_nod_upgrade_tiberiumlenses</t>
      </text>
    </comment>
    <comment ref="L4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" authorId="0" shapeId="0">
      <text>
        <t>fires when: deployed &amp;&amp; ts_nod_upgrade_auxiliaryweapon &amp;&amp; !ts_nod_upgrade_tiberiumlenses</t>
      </text>
    </comment>
    <comment ref="L49" authorId="0" shapeId="0">
      <text>
        <t>per-shot TOTAL across 2 main warhead(s).
raw warhead damages: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" authorId="0" shapeId="0">
      <text>
        <t>fires when: deployed &amp;&amp; ts_nod_upgrade_auxiliaryweapon &amp;&amp; ts_nod_upgrade_tiberiumlenses</t>
      </text>
    </comment>
    <comment ref="L51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" authorId="0" shapeId="0">
      <text>
        <t>fires when: !ts_gdi_upgrade_railgunweaponry</t>
      </text>
    </comment>
    <comment ref="L52" authorId="0" shapeId="0">
      <text>
        <t>per-shot TOTAL across 2 main warhead(s).
raw warhead damages: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" authorId="0" shapeId="0">
      <text>
        <t>fires when: ts_gdi_upgrade_railgunweaponry</t>
      </text>
    </comment>
    <comment ref="L54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" authorId="0" shapeId="0">
      <text>
        <t>fires when: !ts_gdi_upgrade_railgunweaponry</t>
      </text>
    </comment>
    <comment ref="L55" authorId="0" shapeId="0">
      <text>
        <t>per-shot TOTAL across 2 main warhead(s).
raw warhead damages: 18000, 9, 18000, 9,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" authorId="0" shapeId="0">
      <text>
        <t>fires when: ts_gdi_upgrade_railgunweaponry</t>
      </text>
    </comment>
    <comment ref="L5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" authorId="0" shapeId="0">
      <text>
        <t>fires when: !forgotten_upgrade_chemicalweapons</t>
      </text>
    </comment>
    <comment ref="L58" authorId="0" shapeId="0">
      <text>
        <t>per-shot TOTAL across 2 main warhead(s).
raw warhead damages: 4000,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" authorId="0" shapeId="0">
      <text>
        <t>fires when: forgotten_upgrade_chemicalweapons</t>
      </text>
    </comment>
    <comment ref="L6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0" authorId="0" shapeId="0">
      <text>
        <t>fires when: !rank-elite</t>
      </text>
    </comment>
    <comment ref="L6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" authorId="0" shapeId="0">
      <text>
        <t>fires when: rank-elite</t>
      </text>
    </comment>
    <comment ref="L6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" authorId="0" shapeId="0">
      <text>
        <t>fires when: !rank-elite</t>
      </text>
    </comment>
    <comment ref="L6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" authorId="0" shapeId="0">
      <text>
        <t>fires when: rank-elite</t>
      </text>
    </comment>
    <comment ref="L6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" authorId="0" shapeId="0">
      <text>
        <t>fires when: !rank-elite</t>
      </text>
    </comment>
    <comment ref="L67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" authorId="0" shapeId="0">
      <text>
        <t>fires when: rank-elite</t>
      </text>
    </comment>
    <comment ref="L6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" authorId="0" shapeId="0">
      <text>
        <t>fires when: !rank-elite</t>
      </text>
    </comment>
    <comment ref="L7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" authorId="0" shapeId="0">
      <text>
        <t>fires when: rank-elite</t>
      </text>
    </comment>
    <comment ref="L7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" authorId="0" shapeId="0">
      <text>
        <t>per-shot TOTAL across 3 main warhead(s).
raw warhead damages: 8000, 4, 4000, 8000, 4, 1000,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" authorId="0" shapeId="0">
      <text>
        <t>fires when: !rank-elite</t>
      </text>
    </comment>
    <comment ref="L74" authorId="0" shapeId="0">
      <text>
        <t>per-shot TOTAL across 3 main warhead(s).
raw warhead damages: 8000, 4, 4000, 8000, 4, 1000,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4" authorId="0" shapeId="0">
      <text>
        <t>fires when: rank-elite</t>
      </text>
    </comment>
    <comment ref="L7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6" authorId="0" shapeId="0">
      <text>
        <t>fires when: !rank-elite</t>
      </text>
    </comment>
    <comment ref="L77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7" authorId="0" shapeId="0">
      <text>
        <t>fires when: rank-elite</t>
      </text>
    </comment>
    <comment ref="L7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" authorId="0" shapeId="0">
      <text>
        <t>fires when: !rank-elite &amp;&amp; !ra2_soviets_doctrine_nuclearmunitions &amp;&amp; !ra2_soviets_doctrine_firemunitions &amp;&amp; !ra2_soviets_doctrine_teslamunitions</t>
      </text>
    </comment>
    <comment ref="L80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" authorId="0" shapeId="0">
      <text>
        <t>fires when: !rank-elite &amp;&amp; ra2_soviets_doctrine_nuclearmunitions</t>
      </text>
    </comment>
    <comment ref="L8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" authorId="0" shapeId="0">
      <text>
        <t>fires when: !rank-elite &amp;&amp; ra2_soviets_doctrine_firemunitions</t>
      </text>
    </comment>
    <comment ref="L8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" authorId="0" shapeId="0">
      <text>
        <t>fires when: !rank-elite &amp;&amp; ra2_soviets_doctrine_teslamunitions</t>
      </text>
    </comment>
    <comment ref="L83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" authorId="0" shapeId="0">
      <text>
        <t>fires when: rank-elite  &amp;&amp; !ra2_soviets_doctrine_nuclearmunitions &amp;&amp; !ra2_soviets_doctrine_firemunitions &amp;&amp; !ra2_soviets_doctrine_teslamunitions</t>
      </text>
    </comment>
    <comment ref="L84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" authorId="0" shapeId="0">
      <text>
        <t>fires when: rank-elite &amp;&amp; ra2_soviets_doctrine_nuclearmunitions</t>
      </text>
    </comment>
    <comment ref="L8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" authorId="0" shapeId="0">
      <text>
        <t>fires when: rank-elite &amp;&amp; ra2_soviets_doctrine_firemunitions</t>
      </text>
    </comment>
    <comment ref="L8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6" authorId="0" shapeId="0">
      <text>
        <t>fires when: rank-elite &amp;&amp; ra2_soviets_doctrine_teslamunitions</t>
      </text>
    </comment>
    <comment ref="L88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" authorId="0" shapeId="0">
      <text>
        <t>fires when: !rank-elite</t>
      </text>
    </comment>
    <comment ref="L89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" authorId="0" shapeId="0">
      <text>
        <t>fires when: rank-elite</t>
      </text>
    </comment>
    <comment ref="L9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" authorId="0" shapeId="0">
      <text>
        <t>fires when: asianalliance_doctrine_asianphalanx &amp;&amp; !rank-elite</t>
      </text>
    </comment>
    <comment ref="L9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" authorId="0" shapeId="0">
      <text>
        <t>fires when: asianalliance_doctrine_asianphalanx &amp;&amp; rank-elite</t>
      </text>
    </comment>
    <comment ref="L93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" authorId="0" shapeId="0">
      <text>
        <t>fires when: !rank-elite</t>
      </text>
    </comment>
    <comment ref="L94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" authorId="0" shapeId="0">
      <text>
        <t>fires when: rank-elite</t>
      </text>
    </comment>
    <comment ref="L96" authorId="0" shapeId="0">
      <text>
        <t>per-shot TOTAL across 5 main warhead(s).
raw warhead damages: 12000, 6, 6000, 12000, 6, 1000, 12000, 6, 1000,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8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" authorId="0" shapeId="0">
      <text>
        <t>fires when: !rank-elite &amp;&amp; !steelconsortium_upgrade_quantumweaponpower</t>
      </text>
    </comment>
    <comment ref="L99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" authorId="0" shapeId="0">
      <text>
        <t>fires when: rank-elite &amp;&amp; !steelconsortium_upgrade_quantumweaponpower</t>
      </text>
    </comment>
    <comment ref="L100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" authorId="0" shapeId="0">
      <text>
        <t>fires when: !rank-elite &amp;&amp; steelconsortium_upgrade_quantumweaponpower</t>
      </text>
    </comment>
    <comment ref="L101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" authorId="0" shapeId="0">
      <text>
        <t>fires when: rank-elite &amp;&amp; steelconsortium_upgrade_quantumweaponpower</t>
      </text>
    </comment>
    <comment ref="L103" authorId="0" shapeId="0">
      <text>
        <t>per-shot TOTAL across 2 main warhead(s).
raw warhead damages: 12000, 6, 1000, 12000, 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" authorId="0" shapeId="0">
      <text>
        <t>fires when: !rank-elite &amp;&amp; !steelconsortium_upgrade_quantumweaponpower</t>
      </text>
    </comment>
    <comment ref="L104" authorId="0" shapeId="0">
      <text>
        <t>per-shot TOTAL across 5 main warhead(s).
raw warhead damages: 8000, 4, 4000, 12000, 6, 1000, 12000, 6,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" authorId="0" shapeId="0">
      <text>
        <t>fires when: !rank-elite &amp;&amp; steelconsortium_upgrade_quantumweaponpower</t>
      </text>
    </comment>
    <comment ref="L105" authorId="0" shapeId="0">
      <text>
        <t>per-shot TOTAL across 5 main warhead(s).
raw warhead damages: 12000, 6, 6000, 12000, 6, 1000, 12000, 6, 1000,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" authorId="0" shapeId="0">
      <text>
        <t>fires when: rank-elite</t>
      </text>
    </comment>
    <comment ref="L107" authorId="0" shapeId="0">
      <text>
        <t>per-shot TOTAL across 6 main warhead(s).
raw warhead damages: 2000, 1, 1000,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7" authorId="0" shapeId="0">
      <text>
        <t>fires when: !rank-elite</t>
      </text>
    </comment>
    <comment ref="L108" authorId="0" shapeId="0">
      <text>
        <t>per-shot TOTAL across 6 main warhead(s).
raw warhead damages: 2000, 1, 1000,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" authorId="0" shapeId="0">
      <text>
        <t>fires when: rank-elite</t>
      </text>
    </comment>
    <comment ref="L10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9" authorId="0" shapeId="0">
      <text>
        <t>fires when: !rank-elite</t>
      </text>
    </comment>
    <comment ref="L11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" authorId="0" shapeId="0">
      <text>
        <t>fires when: rank-elite</t>
      </text>
    </comment>
    <comment ref="L111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" authorId="0" shapeId="0">
      <text>
        <t>fires when: latinsyndicate_doctrine_cartelrockets &amp;&amp; !rank-elite</t>
      </text>
    </comment>
    <comment ref="L112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2" authorId="0" shapeId="0">
      <text>
        <t>fires when: latinsyndicate_doctrine_cartelrockets &amp;&amp; rank-elite</t>
      </text>
    </comment>
    <comment ref="L114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" authorId="0" shapeId="0">
      <text>
        <t>fires when: !rank-elite</t>
      </text>
    </comment>
    <comment ref="L11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" authorId="0" shapeId="0">
      <text>
        <t>fires when: rank-elite</t>
      </text>
    </comment>
    <comment ref="L11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" authorId="0" shapeId="0">
      <text>
        <t>fires when: !rank-elite</t>
      </text>
    </comment>
    <comment ref="L11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9" authorId="0" shapeId="0">
      <text>
        <t>fires when: rank-elite</t>
      </text>
    </comment>
    <comment ref="L12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1" authorId="0" shapeId="0">
      <text>
        <t>fires when: !rank-elite</t>
      </text>
    </comment>
    <comment ref="L12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" authorId="0" shapeId="0">
      <text>
        <t>fires when: rank-elite</t>
      </text>
    </comment>
    <comment ref="L124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4" authorId="0" shapeId="0">
      <text>
        <t>fires when: !rank-elite &amp;&amp; !schwarzermond_upgrade_vrilpoweredweapons</t>
      </text>
    </comment>
    <comment ref="L125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5" authorId="0" shapeId="0">
      <text>
        <t>fires when: rank-elite &amp;&amp; !schwarzermond_upgrade_vrilpoweredweapons</t>
      </text>
    </comment>
    <comment ref="L126" authorId="0" shapeId="0">
      <text>
        <t>per-shot TOTAL across 5 main warhead(s).
raw warhead damages: 4000, 2, 2000,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6" authorId="0" shapeId="0">
      <text>
        <t>fires when: !rank-elite &amp;&amp; schwarzermond_upgrade_vrilpoweredweapons</t>
      </text>
    </comment>
    <comment ref="L127" authorId="0" shapeId="0">
      <text>
        <t>per-shot TOTAL across 5 main warhead(s).
raw warhead damages: 4000, 2, 2000,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7" authorId="0" shapeId="0">
      <text>
        <t>fires when: rank-elite &amp;&amp; schwarzermond_upgrade_vrilpoweredweapons</t>
      </text>
    </comment>
    <comment ref="L129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9" authorId="0" shapeId="0">
      <text>
        <t>fires when: !rank-elite</t>
      </text>
    </comment>
    <comment ref="L130" authorId="0" shapeId="0">
      <text>
        <t>per-shot TOTAL across 4 main warhead(s).
raw warhead damages: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0" authorId="0" shapeId="0">
      <text>
        <t>fires when: rank-elite</t>
      </text>
    </comment>
    <comment ref="L132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2" authorId="0" shapeId="0">
      <text>
        <t>fires when: !deployed &amp;&amp; !rank-elite</t>
      </text>
    </comment>
    <comment ref="L133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3" authorId="0" shapeId="0">
      <text>
        <t>fires when: !deployed &amp;&amp; rank-elite</t>
      </text>
    </comment>
    <comment ref="AB134" authorId="0" shapeId="0">
      <text>
        <t>fires when: deployed &amp;&amp; !rank-elite</t>
      </text>
    </comment>
    <comment ref="AB135" authorId="0" shapeId="0">
      <text>
        <t>fires when: deployed &amp;&amp; rank-elite</t>
      </text>
    </comment>
    <comment ref="L137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9" authorId="0" shapeId="0">
      <text>
        <t>fires when: tkm_upgrade_pointdefensesystem</t>
      </text>
    </comment>
    <comment ref="L14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3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4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4" authorId="0" shapeId="0">
      <text>
        <t>fires when: tkm_upgrade_twinrocketsupgrade</t>
      </text>
    </comment>
    <comment ref="L146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8" authorId="0" shapeId="0">
      <text>
        <t>per-shot TOTAL across 6 main warhead(s).
raw warhead damages: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1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1" authorId="0" shapeId="0">
      <text>
        <t>fires when: ordos_upgrade_heavycombattankrockets</t>
      </text>
    </comment>
    <comment ref="L153" authorId="0" shapeId="0">
      <text>
        <t>per-shot TOTAL across 3 main warhead(s).
raw warhead damages: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5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7" authorId="0" shapeId="0">
      <text>
        <t>per-shot TOTAL across 8 main warhead(s).
raw warhead damages: 4000, 2000, 2, 4000, 2000, 2, 4000, 2, 4000, 2, 4000, 2, 4000, 2, 1000,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9" authorId="0" shapeId="0">
      <text>
        <t>per-shot TOTAL across 1 main warhead(s).
raw warhead damages: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1" authorId="0" shapeId="0">
      <text>
        <t>per-shot TOTAL across 1 main warhead(s).
raw warhead damages: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3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5" authorId="0" shapeId="0">
      <text>
        <t>fires when: undeployed</t>
      </text>
    </comment>
    <comment ref="L166" authorId="0" shapeId="0">
      <text>
        <t>per-shot TOTAL across 1 main warhead(s).
raw warhead damages: 32000, 16,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6" authorId="0" shapeId="0">
      <text>
        <t>fires when: deployed</t>
      </text>
    </comment>
    <comment ref="L169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9" authorId="0" shapeId="0">
      <text>
        <t>fires when: !td_gdi_upgrade_highvelocitycannons</t>
      </text>
    </comment>
    <comment ref="L170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0" authorId="0" shapeId="0">
      <text>
        <t>fires when: td_gdi_upgrade_highvelocitycannons</t>
      </text>
    </comment>
    <comment ref="L171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1" authorId="0" shapeId="0">
      <text>
        <t>fires when: !td_gdi_upgrade_advancedmissiletargeting</t>
      </text>
    </comment>
    <comment ref="L17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2" authorId="0" shapeId="0">
      <text>
        <t>fires when: td_gdi_upgrade_advancedmissiletargeting</t>
      </text>
    </comment>
    <comment ref="L174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4" authorId="0" shapeId="0">
      <text>
        <t>fires when: !td_gdi_upgrade_highvelocitycannons</t>
      </text>
    </comment>
    <comment ref="L175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5" authorId="0" shapeId="0">
      <text>
        <t>fires when: td_gdi_upgrade_highvelocitycannons</t>
      </text>
    </comment>
    <comment ref="L176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6" authorId="0" shapeId="0">
      <text>
        <t>fires when: !td_gdi_upgrade_advancedmissiletargeting</t>
      </text>
    </comment>
    <comment ref="L177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7" authorId="0" shapeId="0">
      <text>
        <t>fires when: td_gdi_upgrade_advancedmissiletargeting</t>
      </text>
    </comment>
    <comment ref="L179" authorId="0" shapeId="0">
      <text>
        <t>per-shot TOTAL across 3 main warhead(s).
raw warhead damages: 10000, 5000,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1" authorId="0" shapeId="0">
      <text>
        <t>fires when: !japan_upgrade_advancedplasmaweapons</t>
      </text>
    </comment>
    <comment ref="L18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2" authorId="0" shapeId="0">
      <text>
        <t>fires when: japan_upgrade_advancedplasmaweapons</t>
      </text>
    </comment>
    <comment ref="L184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4" authorId="0" shapeId="0">
      <text>
        <t>fires when: !japan_upgrade_advancedplasmaweapons</t>
      </text>
    </comment>
    <comment ref="L185" authorId="0" shapeId="0">
      <text>
        <t>per-shot TOTAL across 3 main warhead(s).
raw warhead damages: 8000, 4, 4000, 8000, 4, 1000,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5" authorId="0" shapeId="0">
      <text>
        <t>fires when: japan_upgrade_advancedplasmaweapons</t>
      </text>
    </comment>
    <comment ref="L18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6" authorId="0" shapeId="0">
      <text>
        <t>fires when: !japan_upgrade_advancedplasmaweapons</t>
      </text>
    </comment>
    <comment ref="L187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7" authorId="0" shapeId="0">
      <text>
        <t>fires when: !japan_upgrade_advancedplasmaweapons</t>
      </text>
    </comment>
    <comment ref="L18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8" authorId="0" shapeId="0">
      <text>
        <t>fires when: !japan_upgrade_advancedplasmaweapons</t>
      </text>
    </comment>
    <comment ref="L189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9" authorId="0" shapeId="0">
      <text>
        <t>fires when: japan_upgrade_advancedplasmaweapons</t>
      </text>
    </comment>
    <comment ref="L190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0" authorId="0" shapeId="0">
      <text>
        <t>fires when: japan_upgrade_advancedplasmaweapons</t>
      </text>
    </comment>
    <comment ref="L191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1" authorId="0" shapeId="0">
      <text>
        <t>fires when: japan_upgrade_advancedplasmaweapons</t>
      </text>
    </comment>
    <comment ref="L192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2" authorId="0" shapeId="0">
      <text>
        <t>fires when: !japan_upgrade_advancedplasmaweapons</t>
      </text>
    </comment>
    <comment ref="L19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3" authorId="0" shapeId="0">
      <text>
        <t>fires when: !japan_upgrade_advancedplasmaweapons</t>
      </text>
    </comment>
    <comment ref="L19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4" authorId="0" shapeId="0">
      <text>
        <t>fires when: japan_upgrade_advancedplasmaweapons</t>
      </text>
    </comment>
    <comment ref="L19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5" authorId="0" shapeId="0">
      <text>
        <t>fires when: japan_upgrade_advancedplasmaweapons</t>
      </text>
    </comment>
    <comment ref="L197" authorId="0" shapeId="0">
      <text>
        <t>per-shot TOTAL across 1 main warhead(s).
raw warhead damages: 10000, 5, 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8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8" authorId="0" shapeId="0">
      <text>
        <t>fires when: !ra1_soviets_upgrade_teslaarcing</t>
      </text>
    </comment>
    <comment ref="L199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9" authorId="0" shapeId="0">
      <text>
        <t>fires when: ra1_soviets_upgrade_teslaarcing</t>
      </text>
    </comment>
    <comment ref="L201" authorId="0" shapeId="0">
      <text>
        <t>per-shot TOTAL across 4 main warhead(s).
raw warhead damages: 6000, 3, 6000, 3, 6000, 3000,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1" authorId="0" shapeId="0">
      <text>
        <t>fires when: !ra1_soviets_upgrade_nucleartankshells &amp;&amp; !ra1_soviets_promotion_mammothtanktargetingcomputer</t>
      </text>
    </comment>
    <comment ref="L202" authorId="0" shapeId="0">
      <text>
        <t>per-shot TOTAL across 4 main warhead(s).
raw warhead damages: 6000, 3, 6000, 3, 6000, 3000,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2" authorId="0" shapeId="0">
      <text>
        <t>fires when: !ra1_soviets_upgrade_nucleartankshells &amp;&amp; ra1_soviets_promotion_mammothtanktargetingcomputer</t>
      </text>
    </comment>
    <comment ref="L203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3" authorId="0" shapeId="0">
      <text>
        <t>fires when: ra1_soviets_upgrade_nucleartankshells &amp;&amp; !ra1_soviets_promotion_mammothtanktargetingcomputer</t>
      </text>
    </comment>
    <comment ref="L204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4" authorId="0" shapeId="0">
      <text>
        <t>fires when: ra1_soviets_upgrade_nucleartankshells &amp;&amp; ra1_soviets_promotion_mammothtanktargetingcomputer</t>
      </text>
    </comment>
    <comment ref="L205" authorId="0" shapeId="0">
      <text>
        <t>per-shot TOTAL across 4 main warhead(s).
raw warhead damages: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5" authorId="0" shapeId="0">
      <text>
        <t>fires when: !ra1_soviets_upgrade_teslarockets &amp;&amp; !ra1_soviets_upgrade_thermonuclearrockets &amp;&amp; !ra1_soviets_promotion_mammothtanktargetingcomputer</t>
      </text>
    </comment>
    <comment ref="L206" authorId="0" shapeId="0">
      <text>
        <t>per-shot TOTAL across 4 main warhead(s).
raw warhead damages: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6" authorId="0" shapeId="0">
      <text>
        <t>fires when: !ra1_soviets_upgrade_teslarockets &amp;&amp; !ra1_soviets_upgrade_thermonuclearrockets &amp;&amp; ra1_soviets_promotion_mammothtanktargetingcomputer</t>
      </text>
    </comment>
    <comment ref="L207" authorId="0" shapeId="0">
      <text>
        <t>per-shot TOTAL across 4 main warhead(s).
raw warhead damages: 8000, 4000, 4, 8000,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7" authorId="0" shapeId="0">
      <text>
        <t>fires when: ra1_soviets_upgrade_teslarockets &amp;&amp; !ra1_soviets_promotion_mammothtanktargetingcomputer</t>
      </text>
    </comment>
    <comment ref="L208" authorId="0" shapeId="0">
      <text>
        <t>per-shot TOTAL across 4 main warhead(s).
raw warhead damages: 8000, 4000, 4, 8000,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8" authorId="0" shapeId="0">
      <text>
        <t>fires when: ra1_soviets_upgrade_teslarockets &amp;&amp; ra1_soviets_promotion_mammothtanktargetingcomputer</t>
      </text>
    </comment>
    <comment ref="L209" authorId="0" shapeId="0">
      <text>
        <t>per-shot TOTAL across 8 main warhead(s).
raw warhead damages: 4000, 2, 4000, 2, 4000, 2, 4000, 2000,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9" authorId="0" shapeId="0">
      <text>
        <t>fires when: ra1_soviets_upgrade_thermonuclearrockets &amp;&amp; !ra1_soviets_promotion_mammothtanktargetingcomputer</t>
      </text>
    </comment>
    <comment ref="L210" authorId="0" shapeId="0">
      <text>
        <t>per-shot TOTAL across 8 main warhead(s).
raw warhead damages: 4000, 2, 4000, 2, 4000, 2, 4000, 2000, 2,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0" authorId="0" shapeId="0">
      <text>
        <t>fires when: ra1_soviets_upgrade_thermonuclearrockets &amp;&amp; ra1_soviets_promotion_mammothtanktargetingcomputer</t>
      </text>
    </comment>
    <comment ref="L212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2" authorId="0" shapeId="0">
      <text>
        <t>fires when: !ra1_soviets_upgrade_nucleartankshells &amp;&amp; !ra1_soviets_promotion_mammothtanktargetingcomputer</t>
      </text>
    </comment>
    <comment ref="L213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3" authorId="0" shapeId="0">
      <text>
        <t>fires when: !ra1_soviets_upgrade_nucleartankshells &amp;&amp; ra1_soviets_promotion_mammothtanktargetingcomputer</t>
      </text>
    </comment>
    <comment ref="L214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4" authorId="0" shapeId="0">
      <text>
        <t>fires when: ra1_soviets_upgrade_nucleartankshells &amp;&amp; !ra1_soviets_promotion_mammothtanktargetingcomputer</t>
      </text>
    </comment>
    <comment ref="L215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5" authorId="0" shapeId="0">
      <text>
        <t>fires when: ra1_soviets_upgrade_nucleartankshells &amp;&amp; ra1_soviets_promotion_mammothtanktargetingcomputer</t>
      </text>
    </comment>
    <comment ref="L216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6" authorId="0" shapeId="0">
      <text>
        <t>fires when: !ra1_soviets_upgrade_highexplosiverockets &amp;&amp; !ra1_soviets_promotion_mammothtanktargetingcomputer</t>
      </text>
    </comment>
    <comment ref="L217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7" authorId="0" shapeId="0">
      <text>
        <t>fires when: !ra1_soviets_upgrade_highexplosiverockets &amp;&amp; ra1_soviets_promotion_mammothtanktargetingcomputer</t>
      </text>
    </comment>
    <comment ref="L218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8" authorId="0" shapeId="0">
      <text>
        <t>fires when: ra1_soviets_upgrade_highexplosiverockets &amp;&amp; !ra1_soviets_promotion_mammothtanktargetingcomputer</t>
      </text>
    </comment>
    <comment ref="L219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9" authorId="0" shapeId="0">
      <text>
        <t>fires when: ra1_soviets_upgrade_highexplosiverockets &amp;&amp; ra1_soviets_promotion_mammothtanktargetingcomputer</t>
      </text>
    </comment>
    <comment ref="L221" authorId="0" shapeId="0">
      <text>
        <t>per-shot TOTAL across 1 main warhead(s).
raw warhead damages: 80000, 40,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2" authorId="0" shapeId="0">
      <text>
        <t>per-shot TOTAL across 1 main warhead(s).
raw warhead damages: 80000, 40,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4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4" authorId="0" shapeId="0">
      <text>
        <t>fires when: !ts_nod_upgrade_tiberiumcoremissiles</t>
      </text>
    </comment>
    <comment ref="L225" authorId="0" shapeId="0">
      <text>
        <t>per-shot TOTAL across 3 main warhead(s).
raw warhead damages: 10000, 5, 10000, 5, 10000, 5, 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5" authorId="0" shapeId="0">
      <text>
        <t>fires when: ts_nod_upgrade_tiberiumcoremissiles</t>
      </text>
    </comment>
    <comment ref="L227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7" authorId="0" shapeId="0">
      <text>
        <t>fires when: !forgotten_upgrade_chemicalweapons</t>
      </text>
    </comment>
    <comment ref="L228" authorId="0" shapeId="0">
      <text>
        <t>per-shot TOTAL across 2 main warhead(s).
raw warhead damages: 20000, 10,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8" authorId="0" shapeId="0">
      <text>
        <t>fires when: forgotten_upgrade_chemicalweapons</t>
      </text>
    </comment>
    <comment ref="L230" authorId="0" shapeId="0">
      <text>
        <t>per-shot TOTAL across 4 main warhead(s).
raw warhead damages: 8000, 4, 1000,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0" authorId="0" shapeId="0">
      <text>
        <t>fires when: !rank-elite</t>
      </text>
    </comment>
    <comment ref="L231" authorId="0" shapeId="0">
      <text>
        <t>per-shot TOTAL across 4 main warhead(s).
raw warhead damages: 8000, 4, 1000,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1" authorId="0" shapeId="0">
      <text>
        <t>fires when: rank-elite</t>
      </text>
    </comment>
    <comment ref="L233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3" authorId="0" shapeId="0">
      <text>
        <t>fires when: !rank-elite</t>
      </text>
    </comment>
    <comment ref="L234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4" authorId="0" shapeId="0">
      <text>
        <t>fires when: rank-elite</t>
      </text>
    </comment>
    <comment ref="L236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6" authorId="0" shapeId="0">
      <text>
        <t>fires when: !rank-elite &amp;&amp; !ra2_soviets_doctrine_nuclearmunitions &amp;&amp; !ra2_soviets_doctrine_firemunitions &amp;&amp; !ra2_soviets_doctrine_teslamunitions</t>
      </text>
    </comment>
    <comment ref="L237" authorId="0" shapeId="0">
      <text>
        <t>per-shot TOTAL across 7 main warhead(s).
raw warhead damages: 2000, 1, 2000, 1, 2000, 1, 4000, 2,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7" authorId="0" shapeId="0">
      <text>
        <t>fires when: !rank-elite &amp;&amp; ra2_soviets_doctrine_nuclearmunitions</t>
      </text>
    </comment>
    <comment ref="L238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8" authorId="0" shapeId="0">
      <text>
        <t>fires when: !rank-elite &amp;&amp; ra2_soviets_doctrine_firemunitions</t>
      </text>
    </comment>
    <comment ref="L239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9" authorId="0" shapeId="0">
      <text>
        <t>fires when: !rank-elite &amp;&amp; ra2_soviets_doctrine_teslamunitions</t>
      </text>
    </comment>
    <comment ref="L240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0" authorId="0" shapeId="0">
      <text>
        <t>fires when: !rank-elite</t>
      </text>
    </comment>
    <comment ref="L241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1" authorId="0" shapeId="0">
      <text>
        <t>fires when: rank-elite  &amp;&amp; !ra2_soviets_doctrine_nuclearmunitions &amp;&amp; !ra2_soviets_doctrine_firemunitions &amp;&amp; !ra2_soviets_doctrine_teslamunitions</t>
      </text>
    </comment>
    <comment ref="L242" authorId="0" shapeId="0">
      <text>
        <t>per-shot TOTAL across 7 main warhead(s).
raw warhead damages: 2000, 1, 2000, 1, 2000, 1, 4000, 2,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2" authorId="0" shapeId="0">
      <text>
        <t>fires when: rank-elite &amp;&amp; ra2_soviets_doctrine_nuclearmunitions</t>
      </text>
    </comment>
    <comment ref="L243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3" authorId="0" shapeId="0">
      <text>
        <t>fires when: rank-elite &amp;&amp; ra2_soviets_doctrine_firemunitions</t>
      </text>
    </comment>
    <comment ref="L244" authorId="0" shapeId="0">
      <text>
        <t>per-shot TOTAL across 3 main warhead(s).
raw warhead damages: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4" authorId="0" shapeId="0">
      <text>
        <t>fires when: rank-elite &amp;&amp; ra2_soviets_doctrine_teslamunitions</t>
      </text>
    </comment>
    <comment ref="L24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5" authorId="0" shapeId="0">
      <text>
        <t>fires when: rank-elite</t>
      </text>
    </comment>
    <comment ref="L249" authorId="0" shapeId="0">
      <text>
        <t>per-shot TOTAL across 2 main warhead(s).
raw warhead damages: 10000, 5,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9" authorId="0" shapeId="0">
      <text>
        <t>fires when: !rank-elite &amp;&amp; !steelconsortium_upgrade_quantumweaponpower</t>
      </text>
    </comment>
    <comment ref="L250" authorId="0" shapeId="0">
      <text>
        <t>per-shot TOTAL across 2 main warhead(s).
raw warhead damages: 10000, 5,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0" authorId="0" shapeId="0">
      <text>
        <t>fires when: rank-elite &amp;&amp; !steelconsortium_upgrade_quantumweaponpower</t>
      </text>
    </comment>
    <comment ref="L251" authorId="0" shapeId="0">
      <text>
        <t>per-shot TOTAL across 6 main warhead(s).
raw warhead damages: 10000, 5, 10000, 5000, 5, 10000, 5, 20000, 10,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1" authorId="0" shapeId="0">
      <text>
        <t>fires when: !rank-elite &amp;&amp; steelconsortium_upgrade_quantumweaponpower</t>
      </text>
    </comment>
    <comment ref="L252" authorId="0" shapeId="0">
      <text>
        <t>per-shot TOTAL across 6 main warhead(s).
raw warhead damages: 10000, 5, 10000, 5000, 5, 10000, 5, 20000, 10,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2" authorId="0" shapeId="0">
      <text>
        <t>fires when: rank-elite &amp;&amp; steelconsortium_upgrade_quantumweaponpower</t>
      </text>
    </comment>
    <comment ref="L254" authorId="0" shapeId="0">
      <text>
        <t>per-shot TOTAL across 6 main warhead(s).
raw warhead damages: 10000, 5, 10000, 5,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4" authorId="0" shapeId="0">
      <text>
        <t>fires when: !rank-elite</t>
      </text>
    </comment>
    <comment ref="L255" authorId="0" shapeId="0">
      <text>
        <t>per-shot TOTAL across 6 main warhead(s).
raw warhead damages: 10000, 5, 10000, 5,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5" authorId="0" shapeId="0">
      <text>
        <t>fires when: rank-elite</t>
      </text>
    </comment>
    <comment ref="L257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7" authorId="0" shapeId="0">
      <text>
        <t>fires when: !rank-elite</t>
      </text>
    </comment>
    <comment ref="L258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8" authorId="0" shapeId="0">
      <text>
        <t>fires when: rank-elite</t>
      </text>
    </comment>
    <comment ref="L259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0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2" authorId="0" shapeId="0">
      <text>
        <t>per-shot TOTAL across 2 main warhead(s).
raw warhead damages: 30000, 15, 1000,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2" authorId="0" shapeId="0">
      <text>
        <t>fires when: !rank-elite</t>
      </text>
    </comment>
    <comment ref="L263" authorId="0" shapeId="0">
      <text>
        <t>per-shot TOTAL across 3 main warhead(s).
raw warhead damages: 30000, 15, 1000,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3" authorId="0" shapeId="0">
      <text>
        <t>fires when: rank-elite</t>
      </text>
    </comment>
    <comment ref="L265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7" authorId="0" shapeId="0">
      <text>
        <t>per-shot TOTAL across 4 main warhead(s).
raw warhead damages: 10000, 5, 10000, 5, 10000, 5, 1000, 10000, 5,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9" authorId="0" shapeId="0">
      <text>
        <t>per-shot TOTAL across 6 main warhead(s).
raw warhead damages: 14000, 7, 14000, 7, 14000, 7000, 7, 14000, 7,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0" authorId="0" shapeId="0">
      <text>
        <t>per-shot TOTAL across 6 main warhead(s).
raw warhead damages: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0" authorId="0" shapeId="0">
      <text>
        <t>fires when: !ixian_upgrade_tungstenneedleguns</t>
      </text>
    </comment>
    <comment ref="L271" authorId="0" shapeId="0">
      <text>
        <t>per-shot TOTAL across 9 main warhead(s).
raw warhead damages: 2000, 1, 2000, 1, 600, 2000, 1,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1" authorId="0" shapeId="0">
      <text>
        <t>fires when: ixian_upgrade_tungstenneedleguns</t>
      </text>
    </comment>
    <comment ref="L273" authorId="0" shapeId="0">
      <text>
        <t>per-shot TOTAL across 5 main warhead(s).
raw warhead damages: 2000,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5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7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9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0" authorId="0" shapeId="0">
      <text>
        <t>per-shot TOTAL across 5 main warhead(s).
raw warhead damages: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2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3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4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5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8" authorId="0" shapeId="0">
      <text>
        <t>fires when: !td_gdi_upgrade_armorpiercingbullets</t>
      </text>
    </comment>
    <comment ref="L289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9" authorId="0" shapeId="0">
      <text>
        <t>fires when: !td_gdi_upgrade_armorpiercingbullets</t>
      </text>
    </comment>
    <comment ref="L290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0" authorId="0" shapeId="0">
      <text>
        <t>fires when: td_gdi_upgrade_armorpiercingbullets</t>
      </text>
    </comment>
    <comment ref="L29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1" authorId="0" shapeId="0">
      <text>
        <t>fires when: td_gdi_upgrade_armorpiercingbullets</t>
      </text>
    </comment>
    <comment ref="L29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5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7" authorId="0" shapeId="0">
      <text>
        <t>per-shot TOTAL across 4 main warhead(s).
raw warhead damages: 10000, 5, 10000, 5000, 5, 10000, 5, 1000, 10000, 5,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9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1" authorId="0" shapeId="0">
      <text>
        <t>per-shot TOTAL across 2 main warhead(s).
raw warhead damages: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1" authorId="0" shapeId="0">
      <text>
        <t>fires when: !ts_gdi_upgrade_sonicweaponry</t>
      </text>
    </comment>
    <comment ref="L30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2" authorId="0" shapeId="0">
      <text>
        <t>fires when: ts_gdi_upgrade_sonicweaponry</t>
      </text>
    </comment>
    <comment ref="L304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6" authorId="0" shapeId="0">
      <text>
        <t>per-shot TOTAL across 1 main warhead(s).
raw warhead damages: 28000, 14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6" authorId="0" shapeId="0">
      <text>
        <t>fires when: !forgotten_upgrade_chemicalweapons</t>
      </text>
    </comment>
    <comment ref="L307" authorId="0" shapeId="0">
      <text>
        <t>per-shot TOTAL across 2 main warhead(s).
raw warhead damages: 28000, 14,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7" authorId="0" shapeId="0">
      <text>
        <t>fires when: forgotten_upgrade_chemicalweapons</t>
      </text>
    </comment>
    <comment ref="L309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9" authorId="0" shapeId="0">
      <text>
        <t>fires when: !forgotten_upgrade_chemicalweapons</t>
      </text>
    </comment>
    <comment ref="L310" authorId="0" shapeId="0">
      <text>
        <t>per-shot TOTAL across 4 main warhead(s).
raw warhead damages: 20000, 10, 20000, 10,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0" authorId="0" shapeId="0">
      <text>
        <t>fires when: forgotten_upgrade_chemicalweapons</t>
      </text>
    </comment>
    <comment ref="L312" authorId="0" shapeId="0">
      <text>
        <t>per-shot TOTAL across 2 main warhead(s).
raw warhead damages: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2" authorId="0" shapeId="0">
      <text>
        <t>fires when: !forgotten_upgrade_chemicalweapons</t>
      </text>
    </comment>
    <comment ref="L313" authorId="0" shapeId="0">
      <text>
        <t>per-shot TOTAL across 4 main warhead(s).
raw warhead damages: 32000, 16000, 16, 32000, 16,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3" authorId="0" shapeId="0">
      <text>
        <t>fires when: forgotten_upgrade_chemicalweapons</t>
      </text>
    </comment>
    <comment ref="L31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7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1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1" authorId="0" shapeId="0">
      <text>
        <t>fires when: !rank-elite</t>
      </text>
    </comment>
    <comment ref="L32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2" authorId="0" shapeId="0">
      <text>
        <t>fires when: rank-elite</t>
      </text>
    </comment>
    <comment ref="L32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6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7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9" authorId="0" shapeId="0">
      <text>
        <t>per-shot TOTAL across 3 main warhead(s).
raw warhead damages: 20000, 10, 20000, 10, 600,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9" authorId="0" shapeId="0">
      <text>
        <t>fires when: !rank-elite</t>
      </text>
    </comment>
    <comment ref="L330" authorId="0" shapeId="0">
      <text>
        <t>per-shot TOTAL across 3 main warhead(s).
raw warhead damages: 30000, 15, 30000, 15, 600, 30000, 15000,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0" authorId="0" shapeId="0">
      <text>
        <t>fires when: !rank-elite &amp;&amp; steelconsortium_upgrade_quantumweaponpower</t>
      </text>
    </comment>
    <comment ref="L331" authorId="0" shapeId="0">
      <text>
        <t>per-shot TOTAL across 4 main warhead(s).
raw warhead damages: 30000, 15, 1000, 30000, 15, 30000, 15, 600, 30000, 15000,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1" authorId="0" shapeId="0">
      <text>
        <t>fires when: rank-elite</t>
      </text>
    </comment>
    <comment ref="L33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3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5" authorId="0" shapeId="0">
      <text>
        <t>fires when: !rank-elite</t>
      </text>
    </comment>
    <comment ref="L336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6" authorId="0" shapeId="0">
      <text>
        <t>fires when: rank-elite</t>
      </text>
    </comment>
    <comment ref="L33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8" authorId="0" shapeId="0">
      <text>
        <t>fires when: !rank-elite &amp;&amp; !latinsyndicate_upgrade_yuristolentechchainguns</t>
      </text>
    </comment>
    <comment ref="L33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9" authorId="0" shapeId="0">
      <text>
        <t>fires when: rank-elite &amp;&amp; !latinsyndicate_upgrade_yuristolentechchainguns</t>
      </text>
    </comment>
    <comment ref="L34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0" authorId="0" shapeId="0">
      <text>
        <t>fires when: !rank-elite &amp;&amp; latinsyndicate_upgrade_yuristolentechchainguns</t>
      </text>
    </comment>
    <comment ref="L341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1" authorId="0" shapeId="0">
      <text>
        <t>fires when: rank-elite &amp;&amp; latinsyndicate_upgrade_yuristolentechchainguns</t>
      </text>
    </comment>
    <comment ref="L343" authorId="0" shapeId="0">
      <text>
        <t>per-shot TOTAL across 2 main warhead(s).
raw warhead damages: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5" authorId="0" shapeId="0">
      <text>
        <t>per-shot TOTAL across 3 main warhead(s).
raw warhead damages: 10000, 5000,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5" authorId="0" shapeId="0">
      <text>
        <t>fires when: !rank-elite</t>
      </text>
    </comment>
    <comment ref="L346" authorId="0" shapeId="0">
      <text>
        <t>per-shot TOTAL across 3 main warhead(s).
raw warhead damages: 10000, 5000,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6" authorId="0" shapeId="0">
      <text>
        <t>fires when: rank-elite</t>
      </text>
    </comment>
    <comment ref="L348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8" authorId="0" shapeId="0">
      <text>
        <t>fires when: !rank-elite</t>
      </text>
    </comment>
    <comment ref="L349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9" authorId="0" shapeId="0">
      <text>
        <t>fires when: rank-elite</t>
      </text>
    </comment>
    <comment ref="L350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0" authorId="0" shapeId="0">
      <text>
        <t>fires when: !rank-elite</t>
      </text>
    </comment>
    <comment ref="L351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1" authorId="0" shapeId="0">
      <text>
        <t>fires when: rank-elite</t>
      </text>
    </comment>
    <comment ref="L35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5" authorId="0" shapeId="0">
      <text>
        <t>per-shot TOTAL across 6 main warhead(s).
raw warhead damages: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7" authorId="0" shapeId="0">
      <text>
        <t>per-shot TOTAL across 1 main warhead(s).
raw warhead damages: 30000, 15, 15000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9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1" authorId="0" shapeId="0">
      <text>
        <t>fires when: !cond_deployed</t>
      </text>
    </comment>
    <comment ref="L362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2" authorId="0" shapeId="0">
      <text>
        <t>fires when: cond_deployed</t>
      </text>
    </comment>
    <comment ref="L36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4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365" authorId="0" shapeId="0">
      <text>
        <t>fires when: FSD_cond_2</t>
      </text>
    </comment>
    <comment ref="AB366" authorId="0" shapeId="0">
      <text>
        <t>fires when: FSD_cond_3 &amp;&amp; ogremagebloodlust_upg</t>
      </text>
    </comment>
    <comment ref="AB367" authorId="0" shapeId="0">
      <text>
        <t>fires when: FSD_cond_4 &amp;&amp; ogremagerunes_upg</t>
      </text>
    </comment>
    <comment ref="L369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9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370" authorId="0" shapeId="0">
      <text>
        <t>fires when: FSD_cond_2</t>
      </text>
    </comment>
    <comment ref="AB371" authorId="0" shapeId="0">
      <text>
        <t>fires when: FSD_cond_3 &amp;&amp; ogremagebloodlust_upg</t>
      </text>
    </comment>
    <comment ref="AB372" authorId="0" shapeId="0">
      <text>
        <t>fires when: FSD_cond_4 &amp;&amp; ogremagerunes_upg</t>
      </text>
    </comment>
    <comment ref="AB374" authorId="0" shapeId="0">
      <text>
        <t>fires when: !cond_deployed</t>
      </text>
    </comment>
    <comment ref="L375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5" authorId="0" shapeId="0">
      <text>
        <t>fires when: cond_deployed</t>
      </text>
    </comment>
    <comment ref="L377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7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378" authorId="0" shapeId="0">
      <text>
        <t>fires when: FSD_cond_2</t>
      </text>
    </comment>
    <comment ref="AB379" authorId="0" shapeId="0">
      <text>
        <t>fires when: FSD_cond_3 &amp;&amp; paladinhealing_upg</t>
      </text>
    </comment>
    <comment ref="AB380" authorId="0" shapeId="0">
      <text>
        <t>fires when: FSD_cond_4 &amp;&amp; paladinexorcism_upg</t>
      </text>
    </comment>
    <comment ref="L382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2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383" authorId="0" shapeId="0">
      <text>
        <t>fires when: FSD_cond_2</t>
      </text>
    </comment>
    <comment ref="AB384" authorId="0" shapeId="0">
      <text>
        <t>fires when: FSD_cond_3 &amp;&amp; paladinhealing_upg</t>
      </text>
    </comment>
    <comment ref="AB385" authorId="0" shapeId="0">
      <text>
        <t>fires when: FSD_cond_4 &amp;&amp; paladinexorcism_upg</t>
      </text>
    </comment>
    <comment ref="L387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7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388" authorId="0" shapeId="0">
      <text>
        <t>fires when: FSD_cond_2</t>
      </text>
    </comment>
    <comment ref="AB389" authorId="0" shapeId="0">
      <text>
        <t>fires when: FSD_cond_3 &amp;&amp; paladinhealing_upg</t>
      </text>
    </comment>
    <comment ref="AB390" authorId="0" shapeId="0">
      <text>
        <t>fires when: FSD_cond_4 &amp;&amp; paladinexorcism_upg</t>
      </text>
    </comment>
    <comment ref="L393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4" authorId="0" shapeId="0">
      <text>
        <t>fires when: td_nod_upgrade_blackmarketupgrades</t>
      </text>
    </comment>
    <comment ref="L397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8" authorId="0" shapeId="0">
      <text>
        <t>fires when: td_nod_upgrade_blackmarketupgrades</t>
      </text>
    </comment>
    <comment ref="L400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2" authorId="0" shapeId="0">
      <text>
        <t>per-shot TOTAL across 6 main warhead(s).
raw warhead damages: 2000, 1, 2000, 1000,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4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5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5" authorId="0" shapeId="0">
      <text>
        <t>fires when: !ra1_allies_upgrade_cryomissiles</t>
      </text>
    </comment>
    <comment ref="L406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6" authorId="0" shapeId="0">
      <text>
        <t>fires when: ra1_allies_upgrade_cryomissiles</t>
      </text>
    </comment>
    <comment ref="L40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9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9" authorId="0" shapeId="0">
      <text>
        <t>fires when: !cabal_upgrade_neutronnuclearcatalyst</t>
      </text>
    </comment>
    <comment ref="L410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0" authorId="0" shapeId="0">
      <text>
        <t>fires when: cabal_upgrade_neutronnuclearcatalyst</t>
      </text>
    </comment>
    <comment ref="L412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2" authorId="0" shapeId="0">
      <text>
        <t>fires when: !yuri_doctrine_lashertoxicgasshells &amp;&amp; !yuri_doctrine_lasherlasercannon &amp;&amp; !rank-elite</t>
      </text>
    </comment>
    <comment ref="L413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3" authorId="0" shapeId="0">
      <text>
        <t>fires when: !yuri_doctrine_lashertoxicgasshells &amp;&amp; !yuri_doctrine_lasherlasercannon &amp;&amp; rank-elite</t>
      </text>
    </comment>
    <comment ref="L414" authorId="0" shapeId="0">
      <text>
        <t>per-shot TOTAL across 9 main warhead(s).
raw warhead damages: 2000, 1000, 1, 2000, 1000,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4" authorId="0" shapeId="0">
      <text>
        <t>fires when: yuri_doctrine_lashertoxicgasshells &amp;&amp; !rank-elite</t>
      </text>
    </comment>
    <comment ref="L415" authorId="0" shapeId="0">
      <text>
        <t>per-shot TOTAL across 12 main warhead(s).
raw warhead damages: 4000, 2000, 2, 4000, 2000, 2, 4000, 2, 4000, 2, 4000, 2, 4000, 2, 2000, 1, 2000, 1, 2000, 1,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5" authorId="0" shapeId="0">
      <text>
        <t>fires when: yuri_doctrine_lashertoxicgasshells &amp;&amp; rank-elite</t>
      </text>
    </comment>
    <comment ref="L416" authorId="0" shapeId="0">
      <text>
        <t>per-shot TOTAL across 2 main warhead(s).
raw warhead damages: 8000, 4,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6" authorId="0" shapeId="0">
      <text>
        <t>fires when: yuri_doctrine_lasherlasercannon &amp;&amp; !rank-elite</t>
      </text>
    </comment>
    <comment ref="L417" authorId="0" shapeId="0">
      <text>
        <t>per-shot TOTAL across 3 main warhead(s).
raw warhead damages: 16000, 8, 8000, 4, 1000,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7" authorId="0" shapeId="0">
      <text>
        <t>fires when: yuri_doctrine_lasherlasercannon &amp;&amp; rank-elite</t>
      </text>
    </comment>
    <comment ref="L419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9" authorId="0" shapeId="0">
      <text>
        <t>fires when: !asianalliance_upgrade_celestialpower</t>
      </text>
    </comment>
    <comment ref="L420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0" authorId="0" shapeId="0">
      <text>
        <t>fires when: asianalliance_upgrade_celestialpower</t>
      </text>
    </comment>
    <comment ref="L421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1" authorId="0" shapeId="0">
      <text>
        <t>fires when: !asianalliance_upgrade_celestialpower</t>
      </text>
    </comment>
    <comment ref="L422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2" authorId="0" shapeId="0">
      <text>
        <t>fires when: asianalliance_upgrade_celestialpower</t>
      </text>
    </comment>
    <comment ref="L42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6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7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8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8" authorId="0" shapeId="0">
      <text>
        <t>fires when: steelconsortium_upgrade_resonanceammo</t>
      </text>
    </comment>
    <comment ref="L429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9" authorId="0" shapeId="0">
      <text>
        <t>fires when: steelconsortium_upgrade_resonanceammo</t>
      </text>
    </comment>
    <comment ref="L43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0" authorId="0" shapeId="0">
      <text>
        <t>fires when: steelconsortium_upgrade_resonanceammo</t>
      </text>
    </comment>
    <comment ref="L431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1" authorId="0" shapeId="0">
      <text>
        <t>fires when: steelconsortium_upgrade_resonanceammo</t>
      </text>
    </comment>
    <comment ref="L433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3" authorId="0" shapeId="0">
      <text>
        <t>fires when: !rank-elite</t>
      </text>
    </comment>
    <comment ref="L43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4" authorId="0" shapeId="0">
      <text>
        <t>fires when: rank-elite</t>
      </text>
    </comment>
    <comment ref="L43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5" authorId="0" shapeId="0">
      <text>
        <t>fires when: latinsyndicate_doctrine_cartelrockets &amp;&amp; !rank-elite</t>
      </text>
    </comment>
    <comment ref="L436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6" authorId="0" shapeId="0">
      <text>
        <t>fires when: latinsyndicate_doctrine_cartelrockets &amp;&amp; rank-elite</t>
      </text>
    </comment>
    <comment ref="L43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8" authorId="0" shapeId="0">
      <text>
        <t>fires when: !rank-elite</t>
      </text>
    </comment>
    <comment ref="L439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9" authorId="0" shapeId="0">
      <text>
        <t>fires when: rank-elite</t>
      </text>
    </comment>
    <comment ref="L44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1" authorId="0" shapeId="0">
      <text>
        <t>fires when: !rank-elite &amp;&amp; !schwarzermond_upgrade_vrilpoweredweapons</t>
      </text>
    </comment>
    <comment ref="L44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2" authorId="0" shapeId="0">
      <text>
        <t>fires when: rank-elite &amp;&amp; !schwarzermond_upgrade_vrilpoweredweapons</t>
      </text>
    </comment>
    <comment ref="L443" authorId="0" shapeId="0">
      <text>
        <t>per-shot TOTAL across 2 main warhead(s).
raw warhead damages: 8000, 4, 4000,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3" authorId="0" shapeId="0">
      <text>
        <t>fires when: !rank-elite &amp;&amp; schwarzermond_upgrade_vrilpoweredweapons</t>
      </text>
    </comment>
    <comment ref="L444" authorId="0" shapeId="0">
      <text>
        <t>per-shot TOTAL across 2 main warhead(s).
raw warhead damages: 8000, 4, 4000,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4" authorId="0" shapeId="0">
      <text>
        <t>fires when: rank-elite &amp;&amp; schwarzermond_upgrade_vrilpoweredweapons</t>
      </text>
    </comment>
    <comment ref="L446" authorId="0" shapeId="0">
      <text>
        <t>per-shot TOTAL across 3 main warhead(s).
raw warhead damages: 8000, 4, 4000, 8000, 4, 1000,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6" authorId="0" shapeId="0">
      <text>
        <t>fires when: !rank-elite</t>
      </text>
    </comment>
    <comment ref="L447" authorId="0" shapeId="0">
      <text>
        <t>per-shot TOTAL across 3 main warhead(s).
raw warhead damages: 8000, 4, 4000, 8000, 4, 1000, 8000, 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7" authorId="0" shapeId="0">
      <text>
        <t>fires when: rank-elite</t>
      </text>
    </comment>
    <comment ref="L449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1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3" authorId="0" shapeId="0">
      <text>
        <t>per-shot TOTAL across 5 main warhead(s).
raw warhead damages: 4000, 2, 4000, 2,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6" authorId="0" shapeId="0">
      <text>
        <t>per-shot TOTAL across 5 main warhead(s).
raw warhead damages: 14000, 7, 14000, 7, 14000, 7, 14000, 7000,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0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0" authorId="0" shapeId="0">
      <text>
        <t>fires when: !(ra1_soviets_upgrade_highexplosiverockets || ra1_soviets_upgrade_scorchedearth)</t>
      </text>
    </comment>
    <comment ref="L461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1" authorId="0" shapeId="0">
      <text>
        <t>fires when: ra1_soviets_upgrade_highexplosiverockets || ra1_soviets_upgrade_scorchedearth</t>
      </text>
    </comment>
    <comment ref="AB463" authorId="0" shapeId="0">
      <text>
        <t>fires when: !deployed</t>
      </text>
    </comment>
    <comment ref="L464" authorId="0" shapeId="0">
      <text>
        <t>per-shot TOTAL across 2 main warhead(s).
raw warhead damages: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4" authorId="0" shapeId="0">
      <text>
        <t>fires when: (deployed || undeployed) &amp;&amp; !ts_nod_upgrade_auxiliaryweapon</t>
      </text>
    </comment>
    <comment ref="L465" authorId="0" shapeId="0">
      <text>
        <t>per-shot TOTAL across 2 main warhead(s).
raw warhead damages: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5" authorId="0" shapeId="0">
      <text>
        <t>fires when: (deployed || undeployed) &amp;&amp; ts_nod_upgrade_auxiliaryweapon</t>
      </text>
    </comment>
    <comment ref="AB467" authorId="0" shapeId="0">
      <text>
        <t>fires when: !deployed</t>
      </text>
    </comment>
    <comment ref="L468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8" authorId="0" shapeId="0">
      <text>
        <t>fires when: deployed || undeployed</t>
      </text>
    </comment>
    <comment ref="L470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0" authorId="0" shapeId="0">
      <text>
        <t>fires when: !forgotten_upgrade_chemicalweapons</t>
      </text>
    </comment>
    <comment ref="L471" authorId="0" shapeId="0">
      <text>
        <t>per-shot TOTAL across 2 main warhead(s).
raw warhead damages: 12000, 6, 24000, 12000,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1" authorId="0" shapeId="0">
      <text>
        <t>fires when: forgotten_upgrade_chemicalweapons</t>
      </text>
    </comment>
    <comment ref="L473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3" authorId="0" shapeId="0">
      <text>
        <t>fires when: !forgotten_upgrade_chemicalweapons</t>
      </text>
    </comment>
    <comment ref="L474" authorId="0" shapeId="0">
      <text>
        <t>per-shot TOTAL across 2 main warhead(s).
raw warhead damages: 12000, 6, 24000, 500,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4" authorId="0" shapeId="0">
      <text>
        <t>fires when: forgotten_upgrade_chemicalweapons</t>
      </text>
    </comment>
    <comment ref="L476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6" authorId="0" shapeId="0">
      <text>
        <t>fires when: !rank-elite</t>
      </text>
    </comment>
    <comment ref="L477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7" authorId="0" shapeId="0">
      <text>
        <t>fires when: rank-elite</t>
      </text>
    </comment>
    <comment ref="L479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9" authorId="0" shapeId="0">
      <text>
        <t>fires when: !rank-elite &amp;&amp; !schwarzermond_upgrade_vrilpoweredweapons</t>
      </text>
    </comment>
    <comment ref="L480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0" authorId="0" shapeId="0">
      <text>
        <t>fires when: rank-elite &amp;&amp; !schwarzermond_upgrade_vrilpoweredweapons</t>
      </text>
    </comment>
    <comment ref="L481" authorId="0" shapeId="0">
      <text>
        <t>per-shot TOTAL across 4 main warhead(s).
raw warhead damages: 16000, 8, 8000,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1" authorId="0" shapeId="0">
      <text>
        <t>fires when: !rank-elite &amp;&amp; schwarzermond_upgrade_vrilpoweredweapons</t>
      </text>
    </comment>
    <comment ref="L482" authorId="0" shapeId="0">
      <text>
        <t>per-shot TOTAL across 4 main warhead(s).
raw warhead damages: 16000, 8, 8000,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2" authorId="0" shapeId="0">
      <text>
        <t>fires when: rank-elite &amp;&amp; schwarzermond_upgrade_vrilpoweredweapons</t>
      </text>
    </comment>
    <comment ref="L486" authorId="0" shapeId="0">
      <text>
        <t>per-shot TOTAL across 4 main warhead(s).
raw warhead damages: 30000, 15,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6" authorId="0" shapeId="0">
      <text>
        <t>fires when: undeployed</t>
      </text>
    </comment>
    <comment ref="L487" authorId="0" shapeId="0">
      <text>
        <t>per-shot TOTAL across 4 main warhead(s).
raw warhead damages: 30000, 15,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7" authorId="0" shapeId="0">
      <text>
        <t>fires when: deployed</t>
      </text>
    </comment>
    <comment ref="L489" authorId="0" shapeId="0">
      <text>
        <t>per-shot TOTAL across 4 main warhead(s).
raw warhead damages: 30000, 15,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9" authorId="0" shapeId="0">
      <text>
        <t>fires when: undeployed</t>
      </text>
    </comment>
    <comment ref="L490" authorId="0" shapeId="0">
      <text>
        <t>per-shot TOTAL across 4 main warhead(s).
raw warhead damages: 30000, 15,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0" authorId="0" shapeId="0">
      <text>
        <t>fires when: deployed</t>
      </text>
    </comment>
    <comment ref="L492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4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4" authorId="0" shapeId="0">
      <text>
        <t>fires when: undeployed</t>
      </text>
    </comment>
    <comment ref="L495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5" authorId="0" shapeId="0">
      <text>
        <t>fires when: deployed</t>
      </text>
    </comment>
  </commentList>
</comments>
</file>

<file path=xl/comments/comment3.xml><?xml version="1.0" encoding="utf-8"?>
<comments xmlns="http://schemas.openxmlformats.org/spreadsheetml/2006/main">
  <authors>
    <author>balance-pipeline</author>
  </authors>
  <commentList>
    <comment ref="L12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" authorId="0" shapeId="0">
      <text>
        <t>per-shot TOTAL across 1 main warhead(s).
raw warhead damages: 80000,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" authorId="0" shapeId="0">
      <text>
        <t>fires when: !td_gdi_upgrade_armorpiercingbullets</t>
      </text>
    </comment>
    <comment ref="L39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" authorId="0" shapeId="0">
      <text>
        <t>fires when: td_gdi_upgrade_armorpiercingbullets</t>
      </text>
    </comment>
    <comment ref="L4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" authorId="0" shapeId="0">
      <text>
        <t>fires when: !td_gdi_upgrade_armorpiercingbullets</t>
      </text>
    </comment>
    <comment ref="L42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" authorId="0" shapeId="0">
      <text>
        <t>fires when: td_gdi_upgrade_armorpiercingbullets</t>
      </text>
    </comment>
    <comment ref="L4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" authorId="0" shapeId="0">
      <text>
        <t>fires when: !td_gdi_upgrade_armorpiercingbullets</t>
      </text>
    </comment>
    <comment ref="L4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" authorId="0" shapeId="0">
      <text>
        <t>fires when: td_gdi_upgrade_armorpiercingbullets</t>
      </text>
    </comment>
    <comment ref="L4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" authorId="0" shapeId="0">
      <text>
        <t>fires when: !td_gdi_upgrade_advancedmissiletargeting</t>
      </text>
    </comment>
    <comment ref="L46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" authorId="0" shapeId="0">
      <text>
        <t>fires when: !td_gdi_upgrade_advancedmissiletargeting</t>
      </text>
    </comment>
    <comment ref="L47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" authorId="0" shapeId="0">
      <text>
        <t>fires when: td_gdi_upgrade_advancedmissiletargeting</t>
      </text>
    </comment>
    <comment ref="L48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" authorId="0" shapeId="0">
      <text>
        <t>fires when: td_gdi_upgrade_advancedmissiletargeting</t>
      </text>
    </comment>
    <comment ref="L5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" authorId="0" shapeId="0">
      <text>
        <t>fires when: td_nod_upgrade_blackmarketupgrades</t>
      </text>
    </comment>
    <comment ref="L53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" authorId="0" shapeId="0">
      <text>
        <t>fires when: td_nod_upgrade_blackmarketupgrades</t>
      </text>
    </comment>
    <comment ref="L5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" authorId="0" shapeId="0">
      <text>
        <t>per-shot TOTAL across 1 main warhead(s).
raw warhead damages: 6000, 3,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" authorId="0" shapeId="0">
      <text>
        <t>fires when: td_nod_upgrade_blackmarketupgrades &amp;&amp; !td_nod_upgrade_elitecapacitors &amp;&amp; !td_nod_upgrade_burninglasers</t>
      </text>
    </comment>
    <comment ref="L57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" authorId="0" shapeId="0">
      <text>
        <t>fires when: td_nod_upgrade_blackmarketupgrades &amp;&amp; td_nod_upgrade_elitecapacitors &amp;&amp; !td_nod_upgrade_burninglasers</t>
      </text>
    </comment>
    <comment ref="L58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" authorId="0" shapeId="0">
      <text>
        <t>fires when: td_nod_upgrade_blackmarketupgrades &amp;&amp; td_nod_upgrade_burninglasers</t>
      </text>
    </comment>
    <comment ref="L59" authorId="0" shapeId="0">
      <text>
        <t>per-shot TOTAL across 1 main warhead(s).
raw warhead damages: 6000, 3,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" authorId="0" shapeId="0">
      <text>
        <t>fires when: td_nod_upgrade_blackmarketupgrades &amp;&amp; !td_nod_upgrade_elitecapacitors &amp;&amp; !td_nod_upgrade_burninglasers</t>
      </text>
    </comment>
    <comment ref="L60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0" authorId="0" shapeId="0">
      <text>
        <t>fires when: td_nod_upgrade_blackmarketupgrades &amp;&amp; td_nod_upgrade_elitecapacitors &amp;&amp; !td_nod_upgrade_burninglasers</t>
      </text>
    </comment>
    <comment ref="L61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" authorId="0" shapeId="0">
      <text>
        <t>fires when: td_nod_upgrade_blackmarketupgrades &amp;&amp; td_nod_upgrade_burninglasers</t>
      </text>
    </comment>
    <comment ref="L63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" authorId="0" shapeId="0">
      <text>
        <t>fires when: !japan_upgrade_advancedplasmaweapons</t>
      </text>
    </comment>
    <comment ref="L64" authorId="0" shapeId="0">
      <text>
        <t>per-shot TOTAL across 3 main warhead(s).
raw warhead damages: 20000, 10, 20000, 10000,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" authorId="0" shapeId="0">
      <text>
        <t>fires when: japan_upgrade_advancedplasmaweapons</t>
      </text>
    </comment>
    <comment ref="L66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" authorId="0" shapeId="0">
      <text>
        <t>fires when: !japan_upgrade_waveforcebullets</t>
      </text>
    </comment>
    <comment ref="L67" authorId="0" shapeId="0">
      <text>
        <t>per-shot TOTAL across 2 main warhead(s).
raw warhead damages: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" authorId="0" shapeId="0">
      <text>
        <t>fires when: japan_upgrade_waveforcebullets</t>
      </text>
    </comment>
    <comment ref="L6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1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1" authorId="0" shapeId="0">
      <text>
        <t>fires when: !ts_nod_upgrade_tiberiumlenses</t>
      </text>
    </comment>
    <comment ref="L72" authorId="0" shapeId="0">
      <text>
        <t>per-shot TOTAL across 2 main warhead(s).
raw warhead damages: 6000, 3, 6000, 3,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2" authorId="0" shapeId="0">
      <text>
        <t>fires when: ts_nod_upgrade_tiberiumlenses</t>
      </text>
    </comment>
    <comment ref="L73" authorId="0" shapeId="0">
      <text>
        <t>per-shot TOTAL across 1 main warhead(s).
raw warhead damages: 36000, 18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" authorId="0" shapeId="0">
      <text>
        <t>fires when: ts_nod_upgrade_auxiliaryweapon</t>
      </text>
    </comment>
    <comment ref="L75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1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" authorId="0" shapeId="0">
      <text>
        <t>fires when: !forgotten_upgrade_chemicalweapons</t>
      </text>
    </comment>
    <comment ref="L82" authorId="0" shapeId="0">
      <text>
        <t>per-shot TOTAL across 4 main warhead(s).
raw warhead damages: 10000, 5, 8000, 4, 18000, 9000,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" authorId="0" shapeId="0">
      <text>
        <t>fires when: forgotten_upgrade_chemicalweapons</t>
      </text>
    </comment>
    <comment ref="L8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" authorId="0" shapeId="0">
      <text>
        <t>fires when: !rank-elite</t>
      </text>
    </comment>
    <comment ref="L9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" authorId="0" shapeId="0">
      <text>
        <t>fires when: rank-elite</t>
      </text>
    </comment>
    <comment ref="L9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" authorId="0" shapeId="0">
      <text>
        <t>fires when: !rank-elite</t>
      </text>
    </comment>
    <comment ref="L9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" authorId="0" shapeId="0">
      <text>
        <t>fires when: rank-elite</t>
      </text>
    </comment>
    <comment ref="L9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8" authorId="0" shapeId="0">
      <text>
        <t>fires when: ifv-mg</t>
      </text>
    </comment>
    <comment ref="L12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9" authorId="0" shapeId="0">
      <text>
        <t>fires when: ifv-hmg</t>
      </text>
    </comment>
    <comment ref="L130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0" authorId="0" shapeId="0">
      <text>
        <t>fires when: ifv-archer</t>
      </text>
    </comment>
    <comment ref="L13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1" authorId="0" shapeId="0">
      <text>
        <t>fires when: ifv-repair</t>
      </text>
    </comment>
    <comment ref="L132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2" authorId="0" shapeId="0">
      <text>
        <t>fires when: ifv-lightsniper</t>
      </text>
    </comment>
    <comment ref="L13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3" authorId="0" shapeId="0">
      <text>
        <t>fires when: ifv-hero</t>
      </text>
    </comment>
    <comment ref="L134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4" authorId="0" shapeId="0">
      <text>
        <t>fires when: ifv-tesla</t>
      </text>
    </comment>
    <comment ref="L135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5" authorId="0" shapeId="0">
      <text>
        <t>fires when: ifv-flak</t>
      </text>
    </comment>
    <comment ref="L136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6" authorId="0" shapeId="0">
      <text>
        <t>fires when: ifv-cannon</t>
      </text>
    </comment>
    <comment ref="L137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7" authorId="0" shapeId="0">
      <text>
        <t>fires when: ifv-grenade</t>
      </text>
    </comment>
    <comment ref="L138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8" authorId="0" shapeId="0">
      <text>
        <t>fires when: ifv-plasma</t>
      </text>
    </comment>
    <comment ref="AB139" authorId="0" shapeId="0">
      <text>
        <t>fires when: ifv-litlaser</t>
      </text>
    </comment>
    <comment ref="L140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0" authorId="0" shapeId="0">
      <text>
        <t>fires when: ifv-medlaser</t>
      </text>
    </comment>
    <comment ref="L141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1" authorId="0" shapeId="0">
      <text>
        <t>fires when: ifv-greelaser</t>
      </text>
    </comment>
    <comment ref="L142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2" authorId="0" shapeId="0">
      <text>
        <t>fires when: ifv-misslaser</t>
      </text>
    </comment>
    <comment ref="L14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3" authorId="0" shapeId="0">
      <text>
        <t>fires when: ifv-fire</t>
      </text>
    </comment>
    <comment ref="L14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4" authorId="0" shapeId="0">
      <text>
        <t>fires when: ifv-chem</t>
      </text>
    </comment>
    <comment ref="L145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5" authorId="0" shapeId="0">
      <text>
        <t>fires when: ifv-thrax</t>
      </text>
    </comment>
    <comment ref="L14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6" authorId="0" shapeId="0">
      <text>
        <t>fires when: ifv-miss &amp;&amp; !rank-elite &amp;&amp; !ra2_allies_upgrade_thunderboltmissiles</t>
      </text>
    </comment>
    <comment ref="AB147" authorId="0" shapeId="0">
      <text>
        <t>fires when: ifv-chrono</t>
      </text>
    </comment>
    <comment ref="AB148" authorId="0" shapeId="0">
      <text>
        <t>fires when: ifv-chrono</t>
      </text>
    </comment>
    <comment ref="AB149" authorId="0" shapeId="0">
      <text>
        <t>fires when: ifv-demo</t>
      </text>
    </comment>
    <comment ref="AB150" authorId="0" shapeId="0">
      <text>
        <t>fires when: ifv-fremen</t>
      </text>
    </comment>
    <comment ref="L151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1" authorId="0" shapeId="0">
      <text>
        <t>fires when: ifv-sonic</t>
      </text>
    </comment>
    <comment ref="L152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2" authorId="0" shapeId="0">
      <text>
        <t>fires when: ifv-healer</t>
      </text>
    </comment>
    <comment ref="L153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54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5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56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5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5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5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6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6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1" authorId="0" shapeId="0">
      <text>
        <t>fires when: ifv-miss &amp;&amp; rank-elite &amp;&amp; !ra2_allies_upgrade_thunderboltmissiles</t>
      </text>
    </comment>
    <comment ref="L16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2" authorId="0" shapeId="0">
      <text>
        <t>fires when: ifv-miss &amp;&amp; !rank-elite &amp;&amp; !ra2_allies_upgrade_thunderboltmissiles</t>
      </text>
    </comment>
    <comment ref="L16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3" authorId="0" shapeId="0">
      <text>
        <t>fires when: ifv-miss &amp;&amp; rank-elite &amp;&amp; !ra2_allies_upgrade_thunderboltmissiles</t>
      </text>
    </comment>
    <comment ref="L16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4" authorId="0" shapeId="0">
      <text>
        <t>fires when: ifv-miss &amp;&amp; !rank-elite &amp;&amp; ra2_allies_upgrade_thunderboltmissiles</t>
      </text>
    </comment>
    <comment ref="L16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5" authorId="0" shapeId="0">
      <text>
        <t>fires when: ifv-miss &amp;&amp; rank-elite &amp;&amp; ra2_allies_upgrade_thunderboltmissiles</t>
      </text>
    </comment>
    <comment ref="L16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6" authorId="0" shapeId="0">
      <text>
        <t>fires when: ifv-miss &amp;&amp; !rank-elite &amp;&amp; ra2_allies_upgrade_thunderboltmissiles</t>
      </text>
    </comment>
    <comment ref="L16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7" authorId="0" shapeId="0">
      <text>
        <t>fires when: ifv-miss &amp;&amp; rank-elite &amp;&amp; ra2_allies_upgrade_thunderboltmissiles</t>
      </text>
    </comment>
    <comment ref="L168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8" authorId="0" shapeId="0">
      <text>
        <t>fires when: ifv-healer</t>
      </text>
    </comment>
    <comment ref="L169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9" authorId="0" shapeId="0">
      <text>
        <t>fires when: ifv-ra1_allies_alliedsniper</t>
      </text>
    </comment>
    <comment ref="L17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1" authorId="0" shapeId="0">
      <text>
        <t>fires when: ifv-mg</t>
      </text>
    </comment>
    <comment ref="L17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2" authorId="0" shapeId="0">
      <text>
        <t>fires when: ifv-hmg</t>
      </text>
    </comment>
    <comment ref="L173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3" authorId="0" shapeId="0">
      <text>
        <t>fires when: ifv-archer</t>
      </text>
    </comment>
    <comment ref="L174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4" authorId="0" shapeId="0">
      <text>
        <t>fires when: ifv-repair</t>
      </text>
    </comment>
    <comment ref="L175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5" authorId="0" shapeId="0">
      <text>
        <t>fires when: ifv-lightsniper</t>
      </text>
    </comment>
    <comment ref="L176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6" authorId="0" shapeId="0">
      <text>
        <t>fires when: ifv-hero</t>
      </text>
    </comment>
    <comment ref="L177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7" authorId="0" shapeId="0">
      <text>
        <t>fires when: ifv-tesla</t>
      </text>
    </comment>
    <comment ref="L178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8" authorId="0" shapeId="0">
      <text>
        <t>fires when: ifv-flak</t>
      </text>
    </comment>
    <comment ref="L179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9" authorId="0" shapeId="0">
      <text>
        <t>fires when: ifv-cannon</t>
      </text>
    </comment>
    <comment ref="L180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0" authorId="0" shapeId="0">
      <text>
        <t>fires when: ifv-grenade</t>
      </text>
    </comment>
    <comment ref="L181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1" authorId="0" shapeId="0">
      <text>
        <t>fires when: ifv-plasma</t>
      </text>
    </comment>
    <comment ref="AB182" authorId="0" shapeId="0">
      <text>
        <t>fires when: ifv-litlaser</t>
      </text>
    </comment>
    <comment ref="L183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3" authorId="0" shapeId="0">
      <text>
        <t>fires when: ifv-medlaser</t>
      </text>
    </comment>
    <comment ref="L184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4" authorId="0" shapeId="0">
      <text>
        <t>fires when: ifv-greelaser</t>
      </text>
    </comment>
    <comment ref="L185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5" authorId="0" shapeId="0">
      <text>
        <t>fires when: ifv-misslaser</t>
      </text>
    </comment>
    <comment ref="L186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6" authorId="0" shapeId="0">
      <text>
        <t>fires when: ifv-fire</t>
      </text>
    </comment>
    <comment ref="L187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7" authorId="0" shapeId="0">
      <text>
        <t>fires when: ifv-chem</t>
      </text>
    </comment>
    <comment ref="L188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8" authorId="0" shapeId="0">
      <text>
        <t>fires when: ifv-thrax</t>
      </text>
    </comment>
    <comment ref="L1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9" authorId="0" shapeId="0">
      <text>
        <t>fires when: ifv-miss &amp;&amp; !rank-elite &amp;&amp; !ra2_allies_upgrade_thunderboltmissiles</t>
      </text>
    </comment>
    <comment ref="AB190" authorId="0" shapeId="0">
      <text>
        <t>fires when: ifv-chrono</t>
      </text>
    </comment>
    <comment ref="AB191" authorId="0" shapeId="0">
      <text>
        <t>fires when: ifv-chrono</t>
      </text>
    </comment>
    <comment ref="AB192" authorId="0" shapeId="0">
      <text>
        <t>fires when: ifv-demo</t>
      </text>
    </comment>
    <comment ref="AB193" authorId="0" shapeId="0">
      <text>
        <t>fires when: ifv-fremen</t>
      </text>
    </comment>
    <comment ref="L194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4" authorId="0" shapeId="0">
      <text>
        <t>fires when: ifv-sonic</t>
      </text>
    </comment>
    <comment ref="L195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5" authorId="0" shapeId="0">
      <text>
        <t>fires when: ifv-healer</t>
      </text>
    </comment>
    <comment ref="L196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97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98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99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0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0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0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0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0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4" authorId="0" shapeId="0">
      <text>
        <t>fires when: ifv-miss &amp;&amp; rank-elite &amp;&amp; !ra2_allies_upgrade_thunderboltmissiles</t>
      </text>
    </comment>
    <comment ref="L20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5" authorId="0" shapeId="0">
      <text>
        <t>fires when: ifv-miss &amp;&amp; !rank-elite &amp;&amp; !ra2_allies_upgrade_thunderboltmissiles</t>
      </text>
    </comment>
    <comment ref="L20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6" authorId="0" shapeId="0">
      <text>
        <t>fires when: ifv-miss &amp;&amp; rank-elite &amp;&amp; !ra2_allies_upgrade_thunderboltmissiles</t>
      </text>
    </comment>
    <comment ref="L20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7" authorId="0" shapeId="0">
      <text>
        <t>fires when: ifv-miss &amp;&amp; !rank-elite &amp;&amp; ra2_allies_upgrade_thunderboltmissiles</t>
      </text>
    </comment>
    <comment ref="L20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8" authorId="0" shapeId="0">
      <text>
        <t>fires when: ifv-miss &amp;&amp; rank-elite &amp;&amp; ra2_allies_upgrade_thunderboltmissiles</t>
      </text>
    </comment>
    <comment ref="L20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9" authorId="0" shapeId="0">
      <text>
        <t>fires when: ifv-miss &amp;&amp; !rank-elite &amp;&amp; ra2_allies_upgrade_thunderboltmissiles</t>
      </text>
    </comment>
    <comment ref="L21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0" authorId="0" shapeId="0">
      <text>
        <t>fires when: ifv-miss &amp;&amp; rank-elite &amp;&amp; ra2_allies_upgrade_thunderboltmissiles</t>
      </text>
    </comment>
    <comment ref="L21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1" authorId="0" shapeId="0">
      <text>
        <t>fires when: ifv-healer</t>
      </text>
    </comment>
    <comment ref="L212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2" authorId="0" shapeId="0">
      <text>
        <t>fires when: ifv-ra1_allies_alliedsniper</t>
      </text>
    </comment>
    <comment ref="L21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4" authorId="0" shapeId="0">
      <text>
        <t>fires when: ifv-mg</t>
      </text>
    </comment>
    <comment ref="L21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5" authorId="0" shapeId="0">
      <text>
        <t>fires when: ifv-hmg</t>
      </text>
    </comment>
    <comment ref="L216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6" authorId="0" shapeId="0">
      <text>
        <t>fires when: ifv-archer</t>
      </text>
    </comment>
    <comment ref="L217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7" authorId="0" shapeId="0">
      <text>
        <t>fires when: ifv-repair</t>
      </text>
    </comment>
    <comment ref="L218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8" authorId="0" shapeId="0">
      <text>
        <t>fires when: ifv-lightsniper</t>
      </text>
    </comment>
    <comment ref="L219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9" authorId="0" shapeId="0">
      <text>
        <t>fires when: ifv-hero</t>
      </text>
    </comment>
    <comment ref="L220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0" authorId="0" shapeId="0">
      <text>
        <t>fires when: ifv-tesla</t>
      </text>
    </comment>
    <comment ref="L221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1" authorId="0" shapeId="0">
      <text>
        <t>fires when: ifv-flak</t>
      </text>
    </comment>
    <comment ref="L222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2" authorId="0" shapeId="0">
      <text>
        <t>fires when: ifv-cannon</t>
      </text>
    </comment>
    <comment ref="L223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3" authorId="0" shapeId="0">
      <text>
        <t>fires when: ifv-grenade</t>
      </text>
    </comment>
    <comment ref="L224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4" authorId="0" shapeId="0">
      <text>
        <t>fires when: ifv-plasma</t>
      </text>
    </comment>
    <comment ref="AB225" authorId="0" shapeId="0">
      <text>
        <t>fires when: ifv-litlaser</t>
      </text>
    </comment>
    <comment ref="L226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6" authorId="0" shapeId="0">
      <text>
        <t>fires when: ifv-medlaser</t>
      </text>
    </comment>
    <comment ref="L227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7" authorId="0" shapeId="0">
      <text>
        <t>fires when: ifv-greelaser</t>
      </text>
    </comment>
    <comment ref="L228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8" authorId="0" shapeId="0">
      <text>
        <t>fires when: ifv-misslaser</t>
      </text>
    </comment>
    <comment ref="L229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9" authorId="0" shapeId="0">
      <text>
        <t>fires when: ifv-fire</t>
      </text>
    </comment>
    <comment ref="L230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0" authorId="0" shapeId="0">
      <text>
        <t>fires when: ifv-chem</t>
      </text>
    </comment>
    <comment ref="L231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1" authorId="0" shapeId="0">
      <text>
        <t>fires when: ifv-thrax</t>
      </text>
    </comment>
    <comment ref="L23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2" authorId="0" shapeId="0">
      <text>
        <t>fires when: ifv-miss &amp;&amp; !rank-elite &amp;&amp; !ra2_allies_upgrade_thunderboltmissiles</t>
      </text>
    </comment>
    <comment ref="AB233" authorId="0" shapeId="0">
      <text>
        <t>fires when: ifv-chrono</t>
      </text>
    </comment>
    <comment ref="AB234" authorId="0" shapeId="0">
      <text>
        <t>fires when: ifv-chrono</t>
      </text>
    </comment>
    <comment ref="AB235" authorId="0" shapeId="0">
      <text>
        <t>fires when: ifv-demo</t>
      </text>
    </comment>
    <comment ref="AB236" authorId="0" shapeId="0">
      <text>
        <t>fires when: ifv-fremen</t>
      </text>
    </comment>
    <comment ref="L237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7" authorId="0" shapeId="0">
      <text>
        <t>fires when: ifv-sonic</t>
      </text>
    </comment>
    <comment ref="L238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8" authorId="0" shapeId="0">
      <text>
        <t>fires when: ifv-healer</t>
      </text>
    </comment>
    <comment ref="L239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40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41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42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4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4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4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4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4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7" authorId="0" shapeId="0">
      <text>
        <t>fires when: ifv-miss &amp;&amp; rank-elite &amp;&amp; !ra2_allies_upgrade_thunderboltmissiles</t>
      </text>
    </comment>
    <comment ref="L24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8" authorId="0" shapeId="0">
      <text>
        <t>fires when: ifv-miss &amp;&amp; !rank-elite &amp;&amp; !ra2_allies_upgrade_thunderboltmissiles</t>
      </text>
    </comment>
    <comment ref="L24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9" authorId="0" shapeId="0">
      <text>
        <t>fires when: ifv-miss &amp;&amp; rank-elite &amp;&amp; !ra2_allies_upgrade_thunderboltmissiles</t>
      </text>
    </comment>
    <comment ref="L25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0" authorId="0" shapeId="0">
      <text>
        <t>fires when: ifv-miss &amp;&amp; !rank-elite &amp;&amp; ra2_allies_upgrade_thunderboltmissiles</t>
      </text>
    </comment>
    <comment ref="L25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1" authorId="0" shapeId="0">
      <text>
        <t>fires when: ifv-miss &amp;&amp; rank-elite &amp;&amp; ra2_allies_upgrade_thunderboltmissiles</t>
      </text>
    </comment>
    <comment ref="L25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2" authorId="0" shapeId="0">
      <text>
        <t>fires when: ifv-miss &amp;&amp; !rank-elite &amp;&amp; ra2_allies_upgrade_thunderboltmissiles</t>
      </text>
    </comment>
    <comment ref="L25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3" authorId="0" shapeId="0">
      <text>
        <t>fires when: ifv-miss &amp;&amp; rank-elite &amp;&amp; ra2_allies_upgrade_thunderboltmissiles</t>
      </text>
    </comment>
    <comment ref="L254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4" authorId="0" shapeId="0">
      <text>
        <t>fires when: ifv-healer</t>
      </text>
    </comment>
    <comment ref="L255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5" authorId="0" shapeId="0">
      <text>
        <t>fires when: ifv-ra1_allies_alliedsniper</t>
      </text>
    </comment>
    <comment ref="L25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7" authorId="0" shapeId="0">
      <text>
        <t>fires when: ifv-mg</t>
      </text>
    </comment>
    <comment ref="L25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8" authorId="0" shapeId="0">
      <text>
        <t>fires when: ifv-hmg</t>
      </text>
    </comment>
    <comment ref="L259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9" authorId="0" shapeId="0">
      <text>
        <t>fires when: ifv-archer</t>
      </text>
    </comment>
    <comment ref="L260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0" authorId="0" shapeId="0">
      <text>
        <t>fires when: ifv-repair</t>
      </text>
    </comment>
    <comment ref="L261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1" authorId="0" shapeId="0">
      <text>
        <t>fires when: ifv-lightsniper</t>
      </text>
    </comment>
    <comment ref="L262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2" authorId="0" shapeId="0">
      <text>
        <t>fires when: ifv-hero</t>
      </text>
    </comment>
    <comment ref="L263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3" authorId="0" shapeId="0">
      <text>
        <t>fires when: ifv-tesla</t>
      </text>
    </comment>
    <comment ref="L264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4" authorId="0" shapeId="0">
      <text>
        <t>fires when: ifv-flak</t>
      </text>
    </comment>
    <comment ref="L265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5" authorId="0" shapeId="0">
      <text>
        <t>fires when: ifv-cannon</t>
      </text>
    </comment>
    <comment ref="L266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6" authorId="0" shapeId="0">
      <text>
        <t>fires when: ifv-grenade</t>
      </text>
    </comment>
    <comment ref="L267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7" authorId="0" shapeId="0">
      <text>
        <t>fires when: ifv-plasma</t>
      </text>
    </comment>
    <comment ref="AB268" authorId="0" shapeId="0">
      <text>
        <t>fires when: ifv-litlaser</t>
      </text>
    </comment>
    <comment ref="L269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9" authorId="0" shapeId="0">
      <text>
        <t>fires when: ifv-medlaser</t>
      </text>
    </comment>
    <comment ref="L270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0" authorId="0" shapeId="0">
      <text>
        <t>fires when: ifv-greelaser</t>
      </text>
    </comment>
    <comment ref="L271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1" authorId="0" shapeId="0">
      <text>
        <t>fires when: ifv-misslaser</t>
      </text>
    </comment>
    <comment ref="L272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2" authorId="0" shapeId="0">
      <text>
        <t>fires when: ifv-fire</t>
      </text>
    </comment>
    <comment ref="L273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3" authorId="0" shapeId="0">
      <text>
        <t>fires when: ifv-chem</t>
      </text>
    </comment>
    <comment ref="L27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4" authorId="0" shapeId="0">
      <text>
        <t>fires when: ifv-thrax</t>
      </text>
    </comment>
    <comment ref="L27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5" authorId="0" shapeId="0">
      <text>
        <t>fires when: ifv-miss &amp;&amp; !rank-elite &amp;&amp; !ra2_allies_upgrade_thunderboltmissiles</t>
      </text>
    </comment>
    <comment ref="AB276" authorId="0" shapeId="0">
      <text>
        <t>fires when: ifv-chrono</t>
      </text>
    </comment>
    <comment ref="AB277" authorId="0" shapeId="0">
      <text>
        <t>fires when: ifv-chrono</t>
      </text>
    </comment>
    <comment ref="AB278" authorId="0" shapeId="0">
      <text>
        <t>fires when: ifv-demo</t>
      </text>
    </comment>
    <comment ref="AB279" authorId="0" shapeId="0">
      <text>
        <t>fires when: ifv-fremen</t>
      </text>
    </comment>
    <comment ref="L280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0" authorId="0" shapeId="0">
      <text>
        <t>fires when: ifv-sonic</t>
      </text>
    </comment>
    <comment ref="L28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1" authorId="0" shapeId="0">
      <text>
        <t>fires when: ifv-healer</t>
      </text>
    </comment>
    <comment ref="L282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83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84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8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8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8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8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9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0" authorId="0" shapeId="0">
      <text>
        <t>fires when: ifv-miss &amp;&amp; rank-elite &amp;&amp; !ra2_allies_upgrade_thunderboltmissiles</t>
      </text>
    </comment>
    <comment ref="L29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1" authorId="0" shapeId="0">
      <text>
        <t>fires when: ifv-miss &amp;&amp; !rank-elite &amp;&amp; !ra2_allies_upgrade_thunderboltmissiles</t>
      </text>
    </comment>
    <comment ref="L29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2" authorId="0" shapeId="0">
      <text>
        <t>fires when: ifv-miss &amp;&amp; rank-elite &amp;&amp; !ra2_allies_upgrade_thunderboltmissiles</t>
      </text>
    </comment>
    <comment ref="L29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3" authorId="0" shapeId="0">
      <text>
        <t>fires when: ifv-miss &amp;&amp; !rank-elite &amp;&amp; ra2_allies_upgrade_thunderboltmissiles</t>
      </text>
    </comment>
    <comment ref="L29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4" authorId="0" shapeId="0">
      <text>
        <t>fires when: ifv-miss &amp;&amp; rank-elite &amp;&amp; ra2_allies_upgrade_thunderboltmissiles</t>
      </text>
    </comment>
    <comment ref="L29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5" authorId="0" shapeId="0">
      <text>
        <t>fires when: ifv-miss &amp;&amp; !rank-elite &amp;&amp; ra2_allies_upgrade_thunderboltmissiles</t>
      </text>
    </comment>
    <comment ref="L29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6" authorId="0" shapeId="0">
      <text>
        <t>fires when: ifv-miss &amp;&amp; rank-elite &amp;&amp; ra2_allies_upgrade_thunderboltmissiles</t>
      </text>
    </comment>
    <comment ref="L297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7" authorId="0" shapeId="0">
      <text>
        <t>fires when: ifv-healer</t>
      </text>
    </comment>
    <comment ref="L298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8" authorId="0" shapeId="0">
      <text>
        <t>fires when: ifv-ra1_allies_alliedsniper</t>
      </text>
    </comment>
    <comment ref="L30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0" authorId="0" shapeId="0">
      <text>
        <t>fires when: ifv-mg</t>
      </text>
    </comment>
    <comment ref="L301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1" authorId="0" shapeId="0">
      <text>
        <t>fires when: ifv-hmg</t>
      </text>
    </comment>
    <comment ref="L302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2" authorId="0" shapeId="0">
      <text>
        <t>fires when: ifv-archer</t>
      </text>
    </comment>
    <comment ref="L30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3" authorId="0" shapeId="0">
      <text>
        <t>fires when: ifv-repair</t>
      </text>
    </comment>
    <comment ref="L30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4" authorId="0" shapeId="0">
      <text>
        <t>fires when: ifv-lightsniper</t>
      </text>
    </comment>
    <comment ref="L305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5" authorId="0" shapeId="0">
      <text>
        <t>fires when: ifv-hero</t>
      </text>
    </comment>
    <comment ref="L306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6" authorId="0" shapeId="0">
      <text>
        <t>fires when: ifv-tesla</t>
      </text>
    </comment>
    <comment ref="L307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7" authorId="0" shapeId="0">
      <text>
        <t>fires when: ifv-flak</t>
      </text>
    </comment>
    <comment ref="L308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8" authorId="0" shapeId="0">
      <text>
        <t>fires when: ifv-cannon</t>
      </text>
    </comment>
    <comment ref="L309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9" authorId="0" shapeId="0">
      <text>
        <t>fires when: ifv-grenade</t>
      </text>
    </comment>
    <comment ref="L310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0" authorId="0" shapeId="0">
      <text>
        <t>fires when: ifv-plasma</t>
      </text>
    </comment>
    <comment ref="AB311" authorId="0" shapeId="0">
      <text>
        <t>fires when: ifv-litlaser</t>
      </text>
    </comment>
    <comment ref="L312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2" authorId="0" shapeId="0">
      <text>
        <t>fires when: ifv-medlaser</t>
      </text>
    </comment>
    <comment ref="L313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3" authorId="0" shapeId="0">
      <text>
        <t>fires when: ifv-greelaser</t>
      </text>
    </comment>
    <comment ref="L314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4" authorId="0" shapeId="0">
      <text>
        <t>fires when: ifv-misslaser</t>
      </text>
    </comment>
    <comment ref="L315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5" authorId="0" shapeId="0">
      <text>
        <t>fires when: ifv-fire</t>
      </text>
    </comment>
    <comment ref="L316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6" authorId="0" shapeId="0">
      <text>
        <t>fires when: ifv-chem</t>
      </text>
    </comment>
    <comment ref="L317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7" authorId="0" shapeId="0">
      <text>
        <t>fires when: ifv-thrax</t>
      </text>
    </comment>
    <comment ref="L31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8" authorId="0" shapeId="0">
      <text>
        <t>fires when: ifv-miss &amp;&amp; !rank-elite &amp;&amp; !ra2_allies_upgrade_thunderboltmissiles</t>
      </text>
    </comment>
    <comment ref="AB319" authorId="0" shapeId="0">
      <text>
        <t>fires when: ifv-chrono</t>
      </text>
    </comment>
    <comment ref="AB320" authorId="0" shapeId="0">
      <text>
        <t>fires when: ifv-chrono</t>
      </text>
    </comment>
    <comment ref="AB321" authorId="0" shapeId="0">
      <text>
        <t>fires when: ifv-demo</t>
      </text>
    </comment>
    <comment ref="AB322" authorId="0" shapeId="0">
      <text>
        <t>fires when: ifv-fremen</t>
      </text>
    </comment>
    <comment ref="L323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3" authorId="0" shapeId="0">
      <text>
        <t>fires when: ifv-sonic</t>
      </text>
    </comment>
    <comment ref="L324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4" authorId="0" shapeId="0">
      <text>
        <t>fires when: ifv-healer</t>
      </text>
    </comment>
    <comment ref="L32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26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27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28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2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3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3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3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3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3" authorId="0" shapeId="0">
      <text>
        <t>fires when: ifv-miss &amp;&amp; rank-elite &amp;&amp; !ra2_allies_upgrade_thunderboltmissiles</t>
      </text>
    </comment>
    <comment ref="L33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4" authorId="0" shapeId="0">
      <text>
        <t>fires when: ifv-miss &amp;&amp; !rank-elite &amp;&amp; !ra2_allies_upgrade_thunderboltmissiles</t>
      </text>
    </comment>
    <comment ref="L33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5" authorId="0" shapeId="0">
      <text>
        <t>fires when: ifv-miss &amp;&amp; rank-elite &amp;&amp; !ra2_allies_upgrade_thunderboltmissiles</t>
      </text>
    </comment>
    <comment ref="L33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6" authorId="0" shapeId="0">
      <text>
        <t>fires when: ifv-miss &amp;&amp; !rank-elite &amp;&amp; ra2_allies_upgrade_thunderboltmissiles</t>
      </text>
    </comment>
    <comment ref="L33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7" authorId="0" shapeId="0">
      <text>
        <t>fires when: ifv-miss &amp;&amp; rank-elite &amp;&amp; ra2_allies_upgrade_thunderboltmissiles</t>
      </text>
    </comment>
    <comment ref="L33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8" authorId="0" shapeId="0">
      <text>
        <t>fires when: ifv-miss &amp;&amp; !rank-elite &amp;&amp; ra2_allies_upgrade_thunderboltmissiles</t>
      </text>
    </comment>
    <comment ref="L33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9" authorId="0" shapeId="0">
      <text>
        <t>fires when: ifv-miss &amp;&amp; rank-elite &amp;&amp; ra2_allies_upgrade_thunderboltmissiles</t>
      </text>
    </comment>
    <comment ref="L340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0" authorId="0" shapeId="0">
      <text>
        <t>fires when: ifv-healer</t>
      </text>
    </comment>
    <comment ref="L341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1" authorId="0" shapeId="0">
      <text>
        <t>fires when: ifv-ra1_allies_alliedsniper</t>
      </text>
    </comment>
    <comment ref="L34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3" authorId="0" shapeId="0">
      <text>
        <t>fires when: ifv-mg</t>
      </text>
    </comment>
    <comment ref="L34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4" authorId="0" shapeId="0">
      <text>
        <t>fires when: ifv-hmg</t>
      </text>
    </comment>
    <comment ref="L345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5" authorId="0" shapeId="0">
      <text>
        <t>fires when: ifv-archer</t>
      </text>
    </comment>
    <comment ref="L346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6" authorId="0" shapeId="0">
      <text>
        <t>fires when: ifv-repair</t>
      </text>
    </comment>
    <comment ref="L347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7" authorId="0" shapeId="0">
      <text>
        <t>fires when: ifv-lightsniper</t>
      </text>
    </comment>
    <comment ref="L348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8" authorId="0" shapeId="0">
      <text>
        <t>fires when: ifv-hero</t>
      </text>
    </comment>
    <comment ref="L349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9" authorId="0" shapeId="0">
      <text>
        <t>fires when: ifv-tesla</t>
      </text>
    </comment>
    <comment ref="L350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0" authorId="0" shapeId="0">
      <text>
        <t>fires when: ifv-flak</t>
      </text>
    </comment>
    <comment ref="L351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1" authorId="0" shapeId="0">
      <text>
        <t>fires when: ifv-cannon</t>
      </text>
    </comment>
    <comment ref="L352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2" authorId="0" shapeId="0">
      <text>
        <t>fires when: ifv-grenade</t>
      </text>
    </comment>
    <comment ref="L353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3" authorId="0" shapeId="0">
      <text>
        <t>fires when: ifv-plasma</t>
      </text>
    </comment>
    <comment ref="AB354" authorId="0" shapeId="0">
      <text>
        <t>fires when: ifv-litlaser</t>
      </text>
    </comment>
    <comment ref="L355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5" authorId="0" shapeId="0">
      <text>
        <t>fires when: ifv-medlaser</t>
      </text>
    </comment>
    <comment ref="L356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6" authorId="0" shapeId="0">
      <text>
        <t>fires when: ifv-greelaser</t>
      </text>
    </comment>
    <comment ref="L357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7" authorId="0" shapeId="0">
      <text>
        <t>fires when: ifv-misslaser</t>
      </text>
    </comment>
    <comment ref="L358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8" authorId="0" shapeId="0">
      <text>
        <t>fires when: ifv-fire</t>
      </text>
    </comment>
    <comment ref="L359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9" authorId="0" shapeId="0">
      <text>
        <t>fires when: ifv-chem</t>
      </text>
    </comment>
    <comment ref="L360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0" authorId="0" shapeId="0">
      <text>
        <t>fires when: ifv-thrax</t>
      </text>
    </comment>
    <comment ref="L36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1" authorId="0" shapeId="0">
      <text>
        <t>fires when: ifv-miss &amp;&amp; !rank-elite &amp;&amp; !ra2_allies_upgrade_thunderboltmissiles</t>
      </text>
    </comment>
    <comment ref="AB362" authorId="0" shapeId="0">
      <text>
        <t>fires when: ifv-chrono</t>
      </text>
    </comment>
    <comment ref="AB363" authorId="0" shapeId="0">
      <text>
        <t>fires when: ifv-chrono</t>
      </text>
    </comment>
    <comment ref="AB364" authorId="0" shapeId="0">
      <text>
        <t>fires when: ifv-demo</t>
      </text>
    </comment>
    <comment ref="AB365" authorId="0" shapeId="0">
      <text>
        <t>fires when: ifv-fremen</t>
      </text>
    </comment>
    <comment ref="L366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6" authorId="0" shapeId="0">
      <text>
        <t>fires when: ifv-sonic</t>
      </text>
    </comment>
    <comment ref="L367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7" authorId="0" shapeId="0">
      <text>
        <t>fires when: ifv-healer</t>
      </text>
    </comment>
    <comment ref="L368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69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70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71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7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7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7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7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7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6" authorId="0" shapeId="0">
      <text>
        <t>fires when: ifv-miss &amp;&amp; rank-elite &amp;&amp; !ra2_allies_upgrade_thunderboltmissiles</t>
      </text>
    </comment>
    <comment ref="L37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7" authorId="0" shapeId="0">
      <text>
        <t>fires when: ifv-miss &amp;&amp; !rank-elite &amp;&amp; !ra2_allies_upgrade_thunderboltmissiles</t>
      </text>
    </comment>
    <comment ref="L37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8" authorId="0" shapeId="0">
      <text>
        <t>fires when: ifv-miss &amp;&amp; rank-elite &amp;&amp; !ra2_allies_upgrade_thunderboltmissiles</t>
      </text>
    </comment>
    <comment ref="L37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9" authorId="0" shapeId="0">
      <text>
        <t>fires when: ifv-miss &amp;&amp; !rank-elite &amp;&amp; ra2_allies_upgrade_thunderboltmissiles</t>
      </text>
    </comment>
    <comment ref="L38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0" authorId="0" shapeId="0">
      <text>
        <t>fires when: ifv-miss &amp;&amp; rank-elite &amp;&amp; ra2_allies_upgrade_thunderboltmissiles</t>
      </text>
    </comment>
    <comment ref="L38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1" authorId="0" shapeId="0">
      <text>
        <t>fires when: ifv-miss &amp;&amp; !rank-elite &amp;&amp; ra2_allies_upgrade_thunderboltmissiles</t>
      </text>
    </comment>
    <comment ref="L38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2" authorId="0" shapeId="0">
      <text>
        <t>fires when: ifv-miss &amp;&amp; rank-elite &amp;&amp; ra2_allies_upgrade_thunderboltmissiles</t>
      </text>
    </comment>
    <comment ref="L38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3" authorId="0" shapeId="0">
      <text>
        <t>fires when: ifv-healer</t>
      </text>
    </comment>
    <comment ref="L384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4" authorId="0" shapeId="0">
      <text>
        <t>fires when: ifv-ra1_allies_alliedsniper</t>
      </text>
    </comment>
    <comment ref="AB386" authorId="0" shapeId="0">
      <text>
        <t>fires when: !rank-elite</t>
      </text>
    </comment>
    <comment ref="AB387" authorId="0" shapeId="0">
      <text>
        <t>fires when: rank-elite</t>
      </text>
    </comment>
    <comment ref="L38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8" authorId="0" shapeId="0">
      <text>
        <t>fires when: ifv-mg</t>
      </text>
    </comment>
    <comment ref="L39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9" authorId="0" shapeId="0">
      <text>
        <t>fires when: ifv-hmg</t>
      </text>
    </comment>
    <comment ref="L400" authorId="0" shapeId="0">
      <text>
        <t>per-shot TOTAL across 1 main warhead(s).
raw warhead damages: 2500,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0" authorId="0" shapeId="0">
      <text>
        <t>fires when: ifv-archer</t>
      </text>
    </comment>
    <comment ref="L40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1" authorId="0" shapeId="0">
      <text>
        <t>fires when: ifv-repair</t>
      </text>
    </comment>
    <comment ref="L402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2" authorId="0" shapeId="0">
      <text>
        <t>fires when: ifv-lightsniper</t>
      </text>
    </comment>
    <comment ref="L40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3" authorId="0" shapeId="0">
      <text>
        <t>fires when: ifv-hero</t>
      </text>
    </comment>
    <comment ref="L404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4" authorId="0" shapeId="0">
      <text>
        <t>fires when: ifv-tesla</t>
      </text>
    </comment>
    <comment ref="L405" authorId="0" shapeId="0">
      <text>
        <t>per-shot TOTAL across 5 main warhead(s).
raw warhead damages: 80000, 4, 80000, 4, 1000, 80000, 4, 80000, 4, 80000,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5" authorId="0" shapeId="0">
      <text>
        <t>fires when: ifv-flak</t>
      </text>
    </comment>
    <comment ref="L406" authorId="0" shapeId="0">
      <text>
        <t>per-shot TOTAL across 3 main warhead(s).
raw warhead damages: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6" authorId="0" shapeId="0">
      <text>
        <t>fires when: ifv-cannon</t>
      </text>
    </comment>
    <comment ref="L407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7" authorId="0" shapeId="0">
      <text>
        <t>fires when: ifv-grenade</t>
      </text>
    </comment>
    <comment ref="L408" authorId="0" shapeId="0">
      <text>
        <t>per-shot TOTAL across 2 main warhead(s).
raw warhead damages: 3750,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8" authorId="0" shapeId="0">
      <text>
        <t>fires when: ifv-plasma</t>
      </text>
    </comment>
    <comment ref="AB409" authorId="0" shapeId="0">
      <text>
        <t>fires when: ifv-litlaser</t>
      </text>
    </comment>
    <comment ref="L410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0" authorId="0" shapeId="0">
      <text>
        <t>fires when: ifv-medlaser</t>
      </text>
    </comment>
    <comment ref="L411" authorId="0" shapeId="0">
      <text>
        <t>per-shot TOTAL across 1 main warhead(s).
raw warhead damages: 5000,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1" authorId="0" shapeId="0">
      <text>
        <t>fires when: ifv-greelaser</t>
      </text>
    </comment>
    <comment ref="L412" authorId="0" shapeId="0">
      <text>
        <t>per-shot TOTAL across 1 main warhead(s).
raw warhead damages: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2" authorId="0" shapeId="0">
      <text>
        <t>fires when: ifv-misslaser</t>
      </text>
    </comment>
    <comment ref="L413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3" authorId="0" shapeId="0">
      <text>
        <t>fires when: ifv-fire</t>
      </text>
    </comment>
    <comment ref="L41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4" authorId="0" shapeId="0">
      <text>
        <t>fires when: ifv-chem</t>
      </text>
    </comment>
    <comment ref="L415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5" authorId="0" shapeId="0">
      <text>
        <t>fires when: ifv-thrax</t>
      </text>
    </comment>
    <comment ref="L41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6" authorId="0" shapeId="0">
      <text>
        <t>fires when: ifv-miss &amp;&amp; !rank-elite &amp;&amp; !ra2_allies_upgrade_thunderboltmissiles</t>
      </text>
    </comment>
    <comment ref="AB417" authorId="0" shapeId="0">
      <text>
        <t>fires when: ifv-chrono</t>
      </text>
    </comment>
    <comment ref="AB418" authorId="0" shapeId="0">
      <text>
        <t>fires when: ifv-chrono</t>
      </text>
    </comment>
    <comment ref="AB419" authorId="0" shapeId="0">
      <text>
        <t>fires when: ifv-demo</t>
      </text>
    </comment>
    <comment ref="AB420" authorId="0" shapeId="0">
      <text>
        <t>fires when: ifv-fremen</t>
      </text>
    </comment>
    <comment ref="L421" authorId="0" shapeId="0">
      <text>
        <t>per-shot TOTAL across 2 main warhead(s).
raw warhead damages: 4000,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1" authorId="0" shapeId="0">
      <text>
        <t>fires when: ifv-sonic</t>
      </text>
    </comment>
    <comment ref="L422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2" authorId="0" shapeId="0">
      <text>
        <t>fires when: ifv-healer</t>
      </text>
    </comment>
    <comment ref="L423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424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42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426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42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42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42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43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43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1" authorId="0" shapeId="0">
      <text>
        <t>fires when: ifv-miss &amp;&amp; rank-elite &amp;&amp; !ra2_allies_upgrade_thunderboltmissiles</t>
      </text>
    </comment>
    <comment ref="L43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2" authorId="0" shapeId="0">
      <text>
        <t>fires when: ifv-miss &amp;&amp; !rank-elite &amp;&amp; !ra2_allies_upgrade_thunderboltmissiles</t>
      </text>
    </comment>
    <comment ref="L43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3" authorId="0" shapeId="0">
      <text>
        <t>fires when: ifv-miss &amp;&amp; rank-elite &amp;&amp; !ra2_allies_upgrade_thunderboltmissiles</t>
      </text>
    </comment>
    <comment ref="L43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4" authorId="0" shapeId="0">
      <text>
        <t>fires when: ifv-miss &amp;&amp; !rank-elite &amp;&amp; ra2_allies_upgrade_thunderboltmissiles</t>
      </text>
    </comment>
    <comment ref="L43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5" authorId="0" shapeId="0">
      <text>
        <t>fires when: ifv-miss &amp;&amp; rank-elite &amp;&amp; ra2_allies_upgrade_thunderboltmissiles</t>
      </text>
    </comment>
    <comment ref="L43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6" authorId="0" shapeId="0">
      <text>
        <t>fires when: ifv-miss &amp;&amp; !rank-elite &amp;&amp; ra2_allies_upgrade_thunderboltmissiles</t>
      </text>
    </comment>
    <comment ref="L43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7" authorId="0" shapeId="0">
      <text>
        <t>fires when: ifv-miss &amp;&amp; rank-elite &amp;&amp; ra2_allies_upgrade_thunderboltmissiles</t>
      </text>
    </comment>
    <comment ref="L438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8" authorId="0" shapeId="0">
      <text>
        <t>fires when: ifv-healer</t>
      </text>
    </comment>
    <comment ref="L439" authorId="0" shapeId="0">
      <text>
        <t>per-shot TOTAL across 1 main warhead(s).
raw warhead damages: 44000, 22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9" authorId="0" shapeId="0">
      <text>
        <t>fires when: ifv-ra1_allies_alliedsniper</t>
      </text>
    </comment>
    <comment ref="L44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1" authorId="0" shapeId="0">
      <text>
        <t>fires when: !rank-elite</t>
      </text>
    </comment>
    <comment ref="L44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2" authorId="0" shapeId="0">
      <text>
        <t>fires when: rank-elite</t>
      </text>
    </comment>
    <comment ref="L444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4" authorId="0" shapeId="0">
      <text>
        <t>fires when: !tkm_upgrade_cryorocketsupgrade &amp;&amp; !tkm_upgrade_twinrocketsupgrade &amp;&amp; !tkm_upgrade_incendiaryrocketsupgrade</t>
      </text>
    </comment>
    <comment ref="L445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5" authorId="0" shapeId="0">
      <text>
        <t>fires when: tkm_upgrade_cryorocketsupgrade</t>
      </text>
    </comment>
    <comment ref="L44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6" authorId="0" shapeId="0">
      <text>
        <t>fires when: tkm_upgrade_twinrocketsupgrade</t>
      </text>
    </comment>
    <comment ref="L447" authorId="0" shapeId="0">
      <text>
        <t>per-shot TOTAL across 2 main warhead(s).
raw warhead damages: 18000, 9,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7" authorId="0" shapeId="0">
      <text>
        <t>fires when: tkm_upgrade_incendiaryrocketsupgrade</t>
      </text>
    </comment>
    <comment ref="L44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9" authorId="0" shapeId="0">
      <text>
        <t>fires when: !tkm_upgrade_titanarmorpiercingbulletsupgrade</t>
      </text>
    </comment>
    <comment ref="L450" authorId="0" shapeId="0">
      <text>
        <t>per-shot TOTAL across 2 main warhead(s).
raw warhead damages: 6000, 3,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0" authorId="0" shapeId="0">
      <text>
        <t>fires when: tkm_upgrade_titanarmorpiercingbulletsupgrade</t>
      </text>
    </comment>
    <comment ref="L454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4" authorId="0" shapeId="0">
      <text>
        <t>fires when: !ordos_upgrade_lasercartridges</t>
      </text>
    </comment>
    <comment ref="L455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5" authorId="0" shapeId="0">
      <text>
        <t>fires when: ordos_upgrade_lasercartridges</t>
      </text>
    </comment>
    <comment ref="L45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7" authorId="0" shapeId="0">
      <text>
        <t>fires when: !ordos_upgrade_lasercartridges</t>
      </text>
    </comment>
    <comment ref="L458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8" authorId="0" shapeId="0">
      <text>
        <t>fires when: ordos_upgrade_lasercartridges</t>
      </text>
    </comment>
    <comment ref="L460" authorId="0" shapeId="0">
      <text>
        <t>per-shot TOTAL across 5 main warhead(s).
raw warhead damages: 8000, 1, 8000, 1, 8000, 1, 8000, 4000,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3" authorId="0" shapeId="0">
      <text>
        <t>per-shot TOTAL across 1 main warhead(s).
raw warhead damages: 20000, 10,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5" authorId="0" shapeId="0">
      <text>
        <t>per-shot TOTAL across 1 main warhead(s).
raw warhead damages: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7" authorId="0" shapeId="0">
      <text>
        <t>per-shot TOTAL across 3 main warhead(s).
raw warhead damages: 7777, 7, 7777, 7777, 7, 7777, 7777,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9" authorId="0" shapeId="0">
      <text>
        <t>per-shot TOTAL across 2 main warhead(s).
raw warhead damages: 10000, 5,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9" authorId="0" shapeId="0">
      <text>
        <t>fires when: !japan_upgrade_advancedplasmaweapons</t>
      </text>
    </comment>
    <comment ref="L470" authorId="0" shapeId="0">
      <text>
        <t>per-shot TOTAL across 2 main warhead(s).
raw warhead damages: 10000, 5,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0" authorId="0" shapeId="0">
      <text>
        <t>fires when: japan_upgrade_advancedplasmaweapons</t>
      </text>
    </comment>
    <comment ref="L471" authorId="0" shapeId="0">
      <text>
        <t>per-shot TOTAL across 2 main warhead(s).
raw warhead damages: 10000, 5000,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1" authorId="0" shapeId="0">
      <text>
        <t>fires when: japan_upgrade_advancedplasmaweapons</t>
      </text>
    </comment>
    <comment ref="L472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2" authorId="0" shapeId="0">
      <text>
        <t>fires when: japan_upgrade_advancedplasmaweapons</t>
      </text>
    </comment>
    <comment ref="L474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5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6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7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9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9" authorId="0" shapeId="0">
      <text>
        <t>fires when: !ra1_soviets_doctrine_teslaandexperimentaltech &amp;&amp; !ra1_soviets_upgrade_teslaarcing</t>
      </text>
    </comment>
    <comment ref="L480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0" authorId="0" shapeId="0">
      <text>
        <t>fires when: ra1_soviets_doctrine_teslaandexperimentaltech &amp;&amp; !ra1_soviets_upgrade_teslaarcing</t>
      </text>
    </comment>
    <comment ref="L481" authorId="0" shapeId="0">
      <text>
        <t>per-shot TOTAL across 1 main warhead(s).
raw warhead damages: 40000, 20, 20000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1" authorId="0" shapeId="0">
      <text>
        <t>fires when: ra1_soviets_upgrade_teslaarcing</t>
      </text>
    </comment>
    <comment ref="L483" authorId="0" shapeId="0">
      <text>
        <t>per-shot TOTAL across 1 main warhead(s).
raw warhead damages: 44000, 22,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5" authorId="0" shapeId="0">
      <text>
        <t>per-shot TOTAL across 2 main warhead(s).
raw warhead damages: 6000, 3, 6000, 3,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7" authorId="0" shapeId="0">
      <text>
        <t>per-shot TOTAL across 1 main warhead(s).
raw warhead damages: 44000, 22,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9" authorId="0" shapeId="0">
      <text>
        <t>fires when: !ts_gdi_upgrade_sonicweaponry</t>
      </text>
    </comment>
    <comment ref="L490" authorId="0" shapeId="0">
      <text>
        <t>per-shot TOTAL across 2 main warhead(s).
raw warhead damages: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0" authorId="0" shapeId="0">
      <text>
        <t>fires when: ts_gdi_upgrade_sonicweaponry</t>
      </text>
    </comment>
    <comment ref="L49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2" authorId="0" shapeId="0">
      <text>
        <t>fires when: !ts_gdi_upgrade_sonicweaponry</t>
      </text>
    </comment>
    <comment ref="L493" authorId="0" shapeId="0">
      <text>
        <t>per-shot TOTAL across 2 main warhead(s).
raw warhead damages: 8000, 4,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3" authorId="0" shapeId="0">
      <text>
        <t>fires when: ts_gdi_upgrade_sonicweaponry</t>
      </text>
    </comment>
    <comment ref="L495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5" authorId="0" shapeId="0">
      <text>
        <t>fires when: !forgotten_upgrade_chemicalweapons</t>
      </text>
    </comment>
    <comment ref="L496" authorId="0" shapeId="0">
      <text>
        <t>per-shot TOTAL across 2 main warhead(s).
raw warhead damages: 15000, 7,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6" authorId="0" shapeId="0">
      <text>
        <t>fires when: forgotten_upgrade_chemicalweapons</t>
      </text>
    </comment>
    <comment ref="L498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8" authorId="0" shapeId="0">
      <text>
        <t>fires when: !forgotten_upgrade_chemicalweapons</t>
      </text>
    </comment>
    <comment ref="L499" authorId="0" shapeId="0">
      <text>
        <t>per-shot TOTAL across 2 main warhead(s).
raw warhead damages: 20000, 1, 40000, 20,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9" authorId="0" shapeId="0">
      <text>
        <t>fires when: forgotten_upgrade_chemicalweapons</t>
      </text>
    </comment>
    <comment ref="AB501" authorId="0" shapeId="0">
      <text>
        <t>fires when: !rank-elite</t>
      </text>
    </comment>
    <comment ref="AB502" authorId="0" shapeId="0">
      <text>
        <t>fires when: rank-elite</t>
      </text>
    </comment>
    <comment ref="L503" authorId="0" shapeId="0">
      <text>
        <t>per-shot TOTAL across 3 main warhead(s).
raw warhead damages: 20000, 10, 20000, 10, 20000, 10,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3" authorId="0" shapeId="0">
      <text>
        <t>fires when: !rank-elite</t>
      </text>
    </comment>
    <comment ref="L504" authorId="0" shapeId="0">
      <text>
        <t>per-shot TOTAL across 3 main warhead(s).
raw warhead damages: 20000, 10, 20000, 10, 20000, 10,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4" authorId="0" shapeId="0">
      <text>
        <t>fires when: rank-elite</t>
      </text>
    </comment>
    <comment ref="L506" authorId="0" shapeId="0">
      <text>
        <t>per-shot TOTAL across 1 main warhead(s).
raw warhead damages: 12000, 6, 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6" authorId="0" shapeId="0">
      <text>
        <t>fires when: (!ra2_soviets_upgrade_teslaoverload &amp;&amp; !rank-elite)</t>
      </text>
    </comment>
    <comment ref="L507" authorId="0" shapeId="0">
      <text>
        <t>per-shot TOTAL across 1 main warhead(s).
raw warhead damages: 12000, 6, 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7" authorId="0" shapeId="0">
      <text>
        <t>fires when: (ra2_soviets_upgrade_teslaoverload &amp;&amp; !rank-elite) || (!ra2_soviets_upgrade_teslaoverload &amp;&amp; rank-elite)</t>
      </text>
    </comment>
    <comment ref="L508" authorId="0" shapeId="0">
      <text>
        <t>per-shot TOTAL across 1 main warhead(s).
raw warhead damages: 12000, 6, 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8" authorId="0" shapeId="0">
      <text>
        <t>fires when: (ra2_soviets_upgrade_teslaoverload &amp;&amp; rank-elite)</t>
      </text>
    </comment>
    <comment ref="L510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0" authorId="0" shapeId="0">
      <text>
        <t>fires when: !rank-elite &amp;&amp; !yuri_upgrade_supermagnets</t>
      </text>
    </comment>
    <comment ref="L511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1" authorId="0" shapeId="0">
      <text>
        <t>fires when: !rank-elite &amp;&amp; yuri_upgrade_supermagnets</t>
      </text>
    </comment>
    <comment ref="L512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2" authorId="0" shapeId="0">
      <text>
        <t>fires when: rank-elite &amp;&amp; !yuri_upgrade_supermagnets</t>
      </text>
    </comment>
    <comment ref="L513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3" authorId="0" shapeId="0">
      <text>
        <t>fires when: rank-elite &amp;&amp; yuri_upgrade_supermagnets</t>
      </text>
    </comment>
    <comment ref="L515" authorId="0" shapeId="0">
      <text>
        <t>per-shot TOTAL across 1 main warhead(s).
raw warhead damages: 36000, 18,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5" authorId="0" shapeId="0">
      <text>
        <t>fires when: !rank-elite</t>
      </text>
    </comment>
    <comment ref="L516" authorId="0" shapeId="0">
      <text>
        <t>per-shot TOTAL across 1 main warhead(s).
raw warhead damages: 48000, 24,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6" authorId="0" shapeId="0">
      <text>
        <t>fires when: rank-elite</t>
      </text>
    </comment>
    <comment ref="L518" authorId="0" shapeId="0">
      <text>
        <t>per-shot TOTAL across 1 main warhead(s).
raw warhead damages: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8" authorId="0" shapeId="0">
      <text>
        <t>fires when: !rank-elite</t>
      </text>
    </comment>
    <comment ref="L519" authorId="0" shapeId="0">
      <text>
        <t>per-shot TOTAL across 1 main warhead(s).
raw warhead damages: 36000, 18,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9" authorId="0" shapeId="0">
      <text>
        <t>fires when: rank-elite</t>
      </text>
    </comment>
    <comment ref="L521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2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2" authorId="0" shapeId="0">
      <text>
        <t>fires when: rank-elite</t>
      </text>
    </comment>
    <comment ref="L524" authorId="0" shapeId="0">
      <text>
        <t>per-shot TOTAL across 2 main warhead(s).
raw warhead damages: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4" authorId="0" shapeId="0">
      <text>
        <t>fires when: !rank-elite</t>
      </text>
    </comment>
    <comment ref="L525" authorId="0" shapeId="0">
      <text>
        <t>per-shot TOTAL across 2 main warhead(s).
raw warhead damages: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5" authorId="0" shapeId="0">
      <text>
        <t>fires when: rank-elite</t>
      </text>
    </comment>
    <comment ref="L527" authorId="0" shapeId="0">
      <text>
        <t>per-shot TOTAL across 3 main warhead(s).
raw warhead damages: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28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8" authorId="0" shapeId="0">
      <text>
        <t>fires when: !rank-elite</t>
      </text>
    </comment>
    <comment ref="L52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9" authorId="0" shapeId="0">
      <text>
        <t>fires when: rank-elite</t>
      </text>
    </comment>
    <comment ref="L533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3" authorId="0" shapeId="0">
      <text>
        <t>fires when: !rank-elite</t>
      </text>
    </comment>
    <comment ref="L534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4" authorId="0" shapeId="0">
      <text>
        <t>fires when: rank-elite</t>
      </text>
    </comment>
    <comment ref="L53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6" authorId="0" shapeId="0">
      <text>
        <t>fires when: !rank-elite</t>
      </text>
    </comment>
    <comment ref="L537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7" authorId="0" shapeId="0">
      <text>
        <t>fires when: rank-elite</t>
      </text>
    </comment>
    <comment ref="L541" authorId="0" shapeId="0">
      <text>
        <t>per-shot TOTAL across 1 main warhead(s).
raw warhead damages: 50000, 25, 25000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46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6" authorId="0" shapeId="0">
      <text>
        <t>fires when: !rank-elite</t>
      </text>
    </comment>
    <comment ref="L547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7" authorId="0" shapeId="0">
      <text>
        <t>fires when: rank-elite</t>
      </text>
    </comment>
    <comment ref="L549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0" authorId="0" shapeId="0">
      <text>
        <t>per-shot TOTAL across 1 main warhead(s).
raw warhead damages: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2" authorId="0" shapeId="0">
      <text>
        <t>per-shot TOTAL across 4 main warhead(s).
raw warhead damages: 50000, 25, 50000, 25, 50000, 25000,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3" authorId="0" shapeId="0">
      <text>
        <t>fires when: !protoss_upgrade_reavercapacity</t>
      </text>
    </comment>
    <comment ref="AB555" authorId="0" shapeId="0">
      <text>
        <t>fires when: !deployed</t>
      </text>
    </comment>
    <comment ref="AB556" authorId="0" shapeId="0">
      <text>
        <t>fires when: deployed || undeployed</t>
      </text>
    </comment>
    <comment ref="L558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9" authorId="0" shapeId="0">
      <text>
        <t>per-shot TOTAL across 9 main warhead(s).
raw warhead damages: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5" authorId="0" shapeId="0">
      <text>
        <t>per-shot TOTAL across 6 main warhead(s).
raw warhead damages: 2000, 1, 2000,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66" authorId="0" shapeId="0">
      <text>
        <t>per-shot TOTAL across 6 main warhead(s).
raw warhead damages: 2000, 1, 2000, 1, 2000,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7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7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73" authorId="0" shapeId="0">
      <text>
        <t>per-shot TOTAL across 6 main warhead(s).
raw warhead damages: 2000, 1,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3" authorId="0" shapeId="0">
      <text>
        <t>fires when: !japan_upgrade_advancedplasmaweapons</t>
      </text>
    </comment>
    <comment ref="L574" authorId="0" shapeId="0">
      <text>
        <t>per-shot TOTAL across 13 main warhead(s).
raw warhead damages: 2000, 1000, 1, 2000, 1, 2000, 1, 2000, 1, 2000, 1, 2000, 1000, 1, 2000, 1000,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4" authorId="0" shapeId="0">
      <text>
        <t>fires when: japan_upgrade_advancedplasmaweapons</t>
      </text>
    </comment>
    <comment ref="L57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5" authorId="0" shapeId="0">
      <text>
        <t>fires when: !japan_upgrade_waveforcebullets</t>
      </text>
    </comment>
    <comment ref="L576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6" authorId="0" shapeId="0">
      <text>
        <t>fires when: japan_upgrade_waveforcebullets</t>
      </text>
    </comment>
    <comment ref="L57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7" authorId="0" shapeId="0">
      <text>
        <t>fires when: !japan_upgrade_waveforcebullets</t>
      </text>
    </comment>
    <comment ref="L578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78" authorId="0" shapeId="0">
      <text>
        <t>fires when: japan_upgrade_waveforcebullets</t>
      </text>
    </comment>
    <comment ref="L58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8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83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3" authorId="0" shapeId="0">
      <text>
        <t>fires when: ra1_soviets_doctrine_teslaandexperimentaltech &amp;&amp; !ra1_soviets_upgrade_teslaarcing</t>
      </text>
    </comment>
    <comment ref="L584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4" authorId="0" shapeId="0">
      <text>
        <t>fires when: ra1_soviets_upgrade_teslaarcing</t>
      </text>
    </comment>
    <comment ref="L585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5" authorId="0" shapeId="0">
      <text>
        <t>fires when: ra1_soviets_doctrine_teslaandexperimentaltech &amp;&amp; !ra1_soviets_upgrade_teslaarcing</t>
      </text>
    </comment>
    <comment ref="L586" authorId="0" shapeId="0">
      <text>
        <t>per-shot TOTAL across 2 main warhead(s).
raw warhead damages: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6" authorId="0" shapeId="0">
      <text>
        <t>fires when: ra1_soviets_upgrade_teslaarcing</t>
      </text>
    </comment>
    <comment ref="L591" authorId="0" shapeId="0">
      <text>
        <t>per-shot TOTAL across 4 main warhead(s).
raw warhead damages: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1" authorId="0" shapeId="0">
      <text>
        <t>fires when: !ra1_allies_upgrade_cryomissiles</t>
      </text>
    </comment>
    <comment ref="L592" authorId="0" shapeId="0">
      <text>
        <t>per-shot TOTAL across 4 main warhead(s).
raw warhead damages: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2" authorId="0" shapeId="0">
      <text>
        <t>fires when: ra1_allies_upgrade_cryomissiles</t>
      </text>
    </comment>
    <comment ref="L594" authorId="0" shapeId="0">
      <text>
        <t>per-shot TOTAL across 8 main warhead(s).
raw warhead damages: 4000, 2000, 2, 4000, 2000, 2, 4000, 2, 4000, 2, 4000, 2, 4000, 2, 1000,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4" authorId="0" shapeId="0">
      <text>
        <t>fires when: !ra1_allies_upgrade_cryomissiles</t>
      </text>
    </comment>
    <comment ref="L595" authorId="0" shapeId="0">
      <text>
        <t>per-shot TOTAL across 8 main warhead(s).
raw warhead damages: 4000, 2000, 2, 4000, 2000, 2, 4000, 2, 4000, 2, 4000, 2, 4000, 2, 1000,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5" authorId="0" shapeId="0">
      <text>
        <t>fires when: ra1_allies_upgrade_cryomissiles</t>
      </text>
    </comment>
    <comment ref="L598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99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3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4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7" authorId="0" shapeId="0">
      <text>
        <t>per-shot TOTAL across 1 main warhead(s).
raw warhead damages: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08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3" authorId="0" shapeId="0">
      <text>
        <t>per-shot TOTAL across 2 main warhead(s).
raw warhead damages: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3" authorId="0" shapeId="0">
      <text>
        <t>fires when: !ts_nod_upgrade_tiberiumcoremissiles</t>
      </text>
    </comment>
    <comment ref="L614" authorId="0" shapeId="0">
      <text>
        <t>per-shot TOTAL across 3 main warhead(s).
raw warhead damages: 8000,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4" authorId="0" shapeId="0">
      <text>
        <t>fires when: ts_nod_upgrade_tiberiumcoremissiles</t>
      </text>
    </comment>
    <comment ref="L61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22" authorId="0" shapeId="0">
      <text>
        <t>per-shot TOTAL across 2 main warhead(s).
raw warhead damages: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23" authorId="0" shapeId="0">
      <text>
        <t>per-shot TOTAL across 3 main warhead(s).
raw warhead damages: 8000,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3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3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5" authorId="0" shapeId="0">
      <text>
        <t>fires when: !rank-elite</t>
      </text>
    </comment>
    <comment ref="L636" authorId="0" shapeId="0">
      <text>
        <t>per-shot TOTAL across 2 main warhead(s).
raw warhead damages: 8000, 2, 8000,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6" authorId="0" shapeId="0">
      <text>
        <t>fires when: rank-elite</t>
      </text>
    </comment>
    <comment ref="L639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39" authorId="0" shapeId="0">
      <text>
        <t>fires when: !rank-elite &amp;&amp; !steelconsortium_upgrade_quantumweaponpower</t>
      </text>
    </comment>
    <comment ref="L640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0" authorId="0" shapeId="0">
      <text>
        <t>fires when: rank-elite &amp;&amp; !steelconsortium_upgrade_quantumweaponpower</t>
      </text>
    </comment>
    <comment ref="L641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1" authorId="0" shapeId="0">
      <text>
        <t>fires when: !rank-elite &amp;&amp; steelconsortium_upgrade_quantumweaponpower</t>
      </text>
    </comment>
    <comment ref="L642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2" authorId="0" shapeId="0">
      <text>
        <t>fires when: rank-elite &amp;&amp; steelconsortium_upgrade_quantumweaponpower</t>
      </text>
    </comment>
    <comment ref="L646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6" authorId="0" shapeId="0">
      <text>
        <t>fires when: !rank-elite</t>
      </text>
    </comment>
    <comment ref="L647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7" authorId="0" shapeId="0">
      <text>
        <t>fires when: rank-elite</t>
      </text>
    </comment>
    <comment ref="L648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8" authorId="0" shapeId="0">
      <text>
        <t>fires when: !rank-elite</t>
      </text>
    </comment>
    <comment ref="L649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9" authorId="0" shapeId="0">
      <text>
        <t>fires when: rank-elite</t>
      </text>
    </comment>
    <comment ref="L650" authorId="0" shapeId="0">
      <text>
        <t>per-shot TOTAL across 2 main warhead(s).
raw warhead damages: 2000,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0" authorId="0" shapeId="0">
      <text>
        <t>fires when: latinsyndicate_upgrade_yuristolentechchainguns &amp;&amp; !rank-elite</t>
      </text>
    </comment>
    <comment ref="L651" authorId="0" shapeId="0">
      <text>
        <t>per-shot TOTAL across 2 main warhead(s).
raw warhead damages: 2000,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1" authorId="0" shapeId="0">
      <text>
        <t>fires when: latinsyndicate_upgrade_yuristolentechchainguns &amp;&amp; rank-elite</t>
      </text>
    </comment>
    <comment ref="L652" authorId="0" shapeId="0">
      <text>
        <t>per-shot TOTAL across 2 main warhead(s).
raw warhead damages: 2000,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2" authorId="0" shapeId="0">
      <text>
        <t>fires when: latinsyndicate_upgrade_yuristolentechchainguns &amp;&amp; !rank-elite</t>
      </text>
    </comment>
    <comment ref="L653" authorId="0" shapeId="0">
      <text>
        <t>per-shot TOTAL across 2 main warhead(s).
raw warhead damages: 2000,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3" authorId="0" shapeId="0">
      <text>
        <t>fires when: latinsyndicate_upgrade_yuristolentechchainguns &amp;&amp; rank-elite</t>
      </text>
    </comment>
    <comment ref="L65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4" authorId="0" shapeId="0">
      <text>
        <t>fires when: latinsyndicate_doctrine_cartelrockets &amp;&amp; !rank-elite</t>
      </text>
    </comment>
    <comment ref="L65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5" authorId="0" shapeId="0">
      <text>
        <t>fires when: latinsyndicate_doctrine_cartelrockets &amp;&amp; rank-elite</t>
      </text>
    </comment>
    <comment ref="L656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6" authorId="0" shapeId="0">
      <text>
        <t>fires when: latinsyndicate_doctrine_cartelrockets &amp;&amp; !rank-elite</t>
      </text>
    </comment>
    <comment ref="L657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7" authorId="0" shapeId="0">
      <text>
        <t>fires when: latinsyndicate_doctrine_cartelrockets &amp;&amp; rank-elite</t>
      </text>
    </comment>
    <comment ref="L65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9" authorId="0" shapeId="0">
      <text>
        <t>fires when: !rank-elite</t>
      </text>
    </comment>
    <comment ref="L66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0" authorId="0" shapeId="0">
      <text>
        <t>fires when: rank-elite</t>
      </text>
    </comment>
    <comment ref="L66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2" authorId="0" shapeId="0">
      <text>
        <t>fires when: !rank-elite &amp;&amp; !latinsyndicate_upgrade_yuristolentechchainguns</t>
      </text>
    </comment>
    <comment ref="L66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3" authorId="0" shapeId="0">
      <text>
        <t>fires when: rank-elite &amp;&amp; !latinsyndicate_upgrade_yuristolentechchainguns</t>
      </text>
    </comment>
    <comment ref="L66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4" authorId="0" shapeId="0">
      <text>
        <t>fires when: !rank-elite &amp;&amp; latinsyndicate_upgrade_yuristolentechchainguns</t>
      </text>
    </comment>
    <comment ref="L66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5" authorId="0" shapeId="0">
      <text>
        <t>fires when: rank-elite &amp;&amp; latinsyndicate_upgrade_yuristolentechchainguns</t>
      </text>
    </comment>
    <comment ref="L666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6" authorId="0" shapeId="0">
      <text>
        <t>fires when: !rank-elite</t>
      </text>
    </comment>
    <comment ref="L667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7" authorId="0" shapeId="0">
      <text>
        <t>fires when: rank-elite</t>
      </text>
    </comment>
    <comment ref="L67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0" authorId="0" shapeId="0">
      <text>
        <t>fires when: !rank-elite</t>
      </text>
    </comment>
    <comment ref="L67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1" authorId="0" shapeId="0">
      <text>
        <t>fires when: !rank-elite</t>
      </text>
    </comment>
    <comment ref="L67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7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7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79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83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84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86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6" authorId="0" shapeId="0">
      <text>
        <t>fires when: !schwarzermond_upgrade_crystallens &amp;&amp; !schwarzermond_upgrade_amplifiedlens</t>
      </text>
    </comment>
    <comment ref="L687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7" authorId="0" shapeId="0">
      <text>
        <t>fires when: !schwarzermond_upgrade_crystallens &amp;&amp; !schwarzermond_upgrade_amplifiedlens</t>
      </text>
    </comment>
    <comment ref="L688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8" authorId="0" shapeId="0">
      <text>
        <t>fires when: schwarzermond_upgrade_crystallens &amp;&amp; !schwarzermond_upgrade_amplifiedlens</t>
      </text>
    </comment>
    <comment ref="L689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89" authorId="0" shapeId="0">
      <text>
        <t>fires when: schwarzermond_upgrade_crystallens &amp;&amp; !schwarzermond_upgrade_amplifiedlens</t>
      </text>
    </comment>
    <comment ref="L690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0" authorId="0" shapeId="0">
      <text>
        <t>fires when: schwarzermond_upgrade_amplifiedlens</t>
      </text>
    </comment>
    <comment ref="L691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1" authorId="0" shapeId="0">
      <text>
        <t>fires when: schwarzermond_upgrade_amplifiedlens</t>
      </text>
    </comment>
    <comment ref="L693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3" authorId="0" shapeId="0">
      <text>
        <t>fires when: !schwarzermond_upgrade_crystallens &amp;&amp; !schwarzermond_upgrade_amplifiedlens</t>
      </text>
    </comment>
    <comment ref="L694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4" authorId="0" shapeId="0">
      <text>
        <t>fires when: !schwarzermond_upgrade_crystallens &amp;&amp; !schwarzermond_upgrade_amplifiedlens</t>
      </text>
    </comment>
    <comment ref="L695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5" authorId="0" shapeId="0">
      <text>
        <t>fires when: schwarzermond_upgrade_crystallens &amp;&amp; !schwarzermond_upgrade_amplifiedlens</t>
      </text>
    </comment>
    <comment ref="L696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6" authorId="0" shapeId="0">
      <text>
        <t>fires when: schwarzermond_upgrade_crystallens &amp;&amp; !schwarzermond_upgrade_amplifiedlens</t>
      </text>
    </comment>
    <comment ref="L697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7" authorId="0" shapeId="0">
      <text>
        <t>fires when: schwarzermond_upgrade_amplifiedlens</t>
      </text>
    </comment>
    <comment ref="L698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8" authorId="0" shapeId="0">
      <text>
        <t>fires when: schwarzermond_upgrade_amplifiedlens</t>
      </text>
    </comment>
    <comment ref="L70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03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3" authorId="0" shapeId="0">
      <text>
        <t>fires when: rank-elite</t>
      </text>
    </comment>
    <comment ref="L704" authorId="0" shapeId="0">
      <text>
        <t>per-shot TOTAL across 2 main warhead(s).
raw warhead damages: 6000, 6, 6000,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06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0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09" authorId="0" shapeId="0">
      <text>
        <t>per-shot TOTAL across 2 main warhead(s).
raw warhead damages: 6000, 6, 6000,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09" authorId="0" shapeId="0">
      <text>
        <t>fires when: inwater</t>
      </text>
    </comment>
    <comment ref="L71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1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1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19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5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7" authorId="0" shapeId="0">
      <text>
        <t>per-shot TOTAL across 5 main warhead(s).
raw warhead damages: 10000, 5, 10000, 6, 10000, 6, 10000, 5, 10000,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8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9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2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3" authorId="0" shapeId="0">
      <text>
        <t>fires when: !ixian_upgrade_tungstenneedleguns</t>
      </text>
    </comment>
    <comment ref="L73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34" authorId="0" shapeId="0">
      <text>
        <t>fires when: ixian_upgrade_tungstenneedleguns</t>
      </text>
    </comment>
    <comment ref="L737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1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2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70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70" authorId="0" shapeId="0">
      <text>
        <t>fires when: !rank-elite</t>
      </text>
    </comment>
    <comment ref="L771" authorId="0" shapeId="0">
      <text>
        <t>per-shot TOTAL across 6 main warhead(s).
raw warhead damages: 2000, 1, 2000, 1, 2000, 1, 2000, 1, 2000, 1, 1000,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71" authorId="0" shapeId="0">
      <text>
        <t>fires when: rank-elite</t>
      </text>
    </comment>
    <comment ref="L778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5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7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0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0" authorId="0" shapeId="0">
      <text>
        <t>fires when: !td_nod_upgrade_blackmarketupgrades</t>
      </text>
    </comment>
    <comment ref="L791" authorId="0" shapeId="0">
      <text>
        <t>per-shot TOTAL across 6 main warhead(s).
raw warhead damages: 6000, 3000, 3, 6000, 3000,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1" authorId="0" shapeId="0">
      <text>
        <t>fires when: td_nod_upgrade_blackmarketupgrades</t>
      </text>
    </comment>
    <comment ref="L793" authorId="0" shapeId="0">
      <text>
        <t>per-shot TOTAL across 4 main warhead(s).
raw warhead damages: 30000, 15,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5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5" authorId="0" shapeId="0">
      <text>
        <t>fires when: !td_nod_upgrade_blackmarketupgrades</t>
      </text>
    </comment>
    <comment ref="L796" authorId="0" shapeId="0">
      <text>
        <t>per-shot TOTAL across 8 main warhead(s).
raw warhead damages: 4000, 2, 4000, 2, 4000, 2,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6" authorId="0" shapeId="0">
      <text>
        <t>fires when: td_nod_upgrade_blackmarketupgrades</t>
      </text>
    </comment>
    <comment ref="L798" authorId="0" shapeId="0">
      <text>
        <t>per-shot TOTAL across 4 main warhead(s).
raw warhead damages: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99" authorId="0" shapeId="0">
      <text>
        <t>per-shot TOTAL across 4 main warhead(s).
raw warhead damages: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9" authorId="0" shapeId="0">
      <text>
        <t>fires when: japan_upgrade_energizedarrows</t>
      </text>
    </comment>
    <comment ref="L801" authorId="0" shapeId="0">
      <text>
        <t>per-shot TOTAL across 15 main warhead(s).
raw warhead damages: 20000, 10, 20000, 10, 20000, 10, 20000, 10, 20000, 10000, 10, 20000, 10000, 10, 20000, 10, 20000, 10, 20000, 10, 20000, 10, 20000, 10, 20000, 10,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1" authorId="0" shapeId="0">
      <text>
        <t>fires when: !ra1_soviets_upgrade_thermonuclearrockets</t>
      </text>
    </comment>
    <comment ref="L802" authorId="0" shapeId="0">
      <text>
        <t>per-shot TOTAL across 15 main warhead(s).
raw warhead damages: 20000, 10, 20000, 10, 20000, 10, 20000, 10, 20000, 10000, 10, 20000, 10000, 10, 20000, 10, 20000, 10, 20000, 10, 20000, 10, 20000, 10, 20000, 10,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2" authorId="0" shapeId="0">
      <text>
        <t>fires when: ra1_soviets_upgrade_thermonuclearrockets</t>
      </text>
    </comment>
    <comment ref="L804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4" authorId="0" shapeId="0">
      <text>
        <t>fires when: !ra1_soviets_upgrade_scorchedearth</t>
      </text>
    </comment>
    <comment ref="L805" authorId="0" shapeId="0">
      <text>
        <t>per-shot TOTAL across 3 main warhead(s).
raw warhead damages: 8000,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5" authorId="0" shapeId="0">
      <text>
        <t>fires when: ra1_soviets_upgrade_scorchedearth</t>
      </text>
    </comment>
    <comment ref="L807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7" authorId="0" shapeId="0">
      <text>
        <t>fires when: !ra1_soviets_upgrade_highexplosiverockets &amp;&amp; !ra1_soviets_upgrade_teslarockets</t>
      </text>
    </comment>
    <comment ref="L808" authorId="0" shapeId="0">
      <text>
        <t>per-shot TOTAL across 5 main warhead(s).
raw warhead damages: 40000, 20, 60000, 30, 60000, 30,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8" authorId="0" shapeId="0">
      <text>
        <t>fires when: ra1_soviets_upgrade_highexplosiverockets</t>
      </text>
    </comment>
    <comment ref="L809" authorId="0" shapeId="0">
      <text>
        <t>per-shot TOTAL across 5 main warhead(s).
raw warhead damages: 30000, 15, 15000, 60000, 30, 60000, 30,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9" authorId="0" shapeId="0">
      <text>
        <t>fires when: ra1_soviets_upgrade_teslarockets</t>
      </text>
    </comment>
    <comment ref="L811" authorId="0" shapeId="0">
      <text>
        <t>per-shot TOTAL across 3 main warhead(s).
raw warhead damages: 10000, 5,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1" authorId="0" shapeId="0">
      <text>
        <t>fires when: !ra1_allies_upgrade_cryomissiles</t>
      </text>
    </comment>
    <comment ref="L812" authorId="0" shapeId="0">
      <text>
        <t>per-shot TOTAL across 3 main warhead(s).
raw warhead damages: 10000, 5,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2" authorId="0" shapeId="0">
      <text>
        <t>fires when: ra1_allies_upgrade_cryomissiles</t>
      </text>
    </comment>
    <comment ref="L814" authorId="0" shapeId="0">
      <text>
        <t>per-shot TOTAL across 4 main warhead(s).
raw warhead damages: 42000, 21000, 21, 42000, 21000, 21, 42000, 21, 42000, 21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4" authorId="0" shapeId="0">
      <text>
        <t>fires when: !cabal_upgrade_neutronnuclearcatalyst</t>
      </text>
    </comment>
    <comment ref="L815" authorId="0" shapeId="0">
      <text>
        <t>per-shot TOTAL across 8 main warhead(s).
raw warhead damages: 42000, 21000, 21, 42000, 21000, 21, 42000, 21, 42000, 21, 42000, 21, 42000, 1000, 21, 42000, 21, 888, 42000, 21,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5" authorId="0" shapeId="0">
      <text>
        <t>fires when: cabal_upgrade_neutronnuclearcatalyst</t>
      </text>
    </comment>
    <comment ref="L817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9" authorId="0" shapeId="0">
      <text>
        <t>fires when: !rank-elite</t>
      </text>
    </comment>
    <comment ref="AB820" authorId="0" shapeId="0">
      <text>
        <t>fires when: rank-elite</t>
      </text>
    </comment>
    <comment ref="L822" authorId="0" shapeId="0">
      <text>
        <t>per-shot TOTAL across 6 main warhead(s).
raw warhead damages: 4000, 2, 4000, 2, 4000, 2,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2" authorId="0" shapeId="0">
      <text>
        <t>fires when: !rank-elite</t>
      </text>
    </comment>
    <comment ref="L823" authorId="0" shapeId="0">
      <text>
        <t>per-shot TOTAL across 6 main warhead(s).
raw warhead damages: 4000, 2, 4000, 2, 4000, 2, 4000, 2, 4000, 2000,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3" authorId="0" shapeId="0">
      <text>
        <t>fires when: rank-elite</t>
      </text>
    </comment>
    <comment ref="L825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5" authorId="0" shapeId="0">
      <text>
        <t>fires when: !rank-elite</t>
      </text>
    </comment>
    <comment ref="L826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6" authorId="0" shapeId="0">
      <text>
        <t>fires when: rank-elite</t>
      </text>
    </comment>
    <comment ref="L828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8" authorId="0" shapeId="0">
      <text>
        <t>fires when: undeployed</t>
      </text>
    </comment>
    <comment ref="L829" authorId="0" shapeId="0">
      <text>
        <t>per-shot TOTAL across 3 main warhead(s).
raw warhead damages: 11111, 11, 11111, 11, 11111, 11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29" authorId="0" shapeId="0">
      <text>
        <t>fires when: deployed</t>
      </text>
    </comment>
    <comment ref="AB830" authorId="0" shapeId="0">
      <text>
        <t>fires when: botmicro</t>
      </text>
    </comment>
    <comment ref="L832" authorId="0" shapeId="0">
      <text>
        <t>per-shot TOTAL across 5 main warhead(s).
raw warhead damages: 4000,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33" authorId="0" shapeId="0">
      <text>
        <t>per-shot TOTAL across 5 main warhead(s).
raw warhead damages: 4000, 2,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3" authorId="0" shapeId="0">
      <text>
        <t>fires when: rank-elite</t>
      </text>
    </comment>
    <comment ref="L835" authorId="0" shapeId="0">
      <text>
        <t>per-shot TOTAL across 3 main warhead(s).
raw warhead damages: 14000, 7,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5" authorId="0" shapeId="0">
      <text>
        <t>fires when: !rank-elite</t>
      </text>
    </comment>
    <comment ref="L836" authorId="0" shapeId="0">
      <text>
        <t>per-shot TOTAL across 3 main warhead(s).
raw warhead damages: 14000, 7,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36" authorId="0" shapeId="0">
      <text>
        <t>fires when: rank-elite</t>
      </text>
    </comment>
    <comment ref="AB838" authorId="0" shapeId="0">
      <text>
        <t>fires when: athena-charged == 1</t>
      </text>
    </comment>
    <comment ref="L841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1" authorId="0" shapeId="0">
      <text>
        <t>fires when: !rank-elite</t>
      </text>
    </comment>
    <comment ref="L842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2" authorId="0" shapeId="0">
      <text>
        <t>fires when: rank-elite</t>
      </text>
    </comment>
    <comment ref="L844" authorId="0" shapeId="0">
      <text>
        <t>per-shot TOTAL across 6 main warhead(s).
raw warhead damages: 32000, 16, 32000, 16, 32000, 16, 32000, 16, 32000, 1000, 16, 32000, 16,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4" authorId="0" shapeId="0">
      <text>
        <t>fires when: athena-charged == 1</t>
      </text>
    </comment>
    <comment ref="L84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49" authorId="0" shapeId="0">
      <text>
        <t>fires when: !tkm_upgrade_cryorocketsupgrade &amp;&amp; !tkm_upgrade_twinrocketsupgrade &amp;&amp; !tkm_upgrade_incendiaryrocketsupgrade</t>
      </text>
    </comment>
    <comment ref="L850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0" authorId="0" shapeId="0">
      <text>
        <t>fires when: tkm_upgrade_cryorocketsupgrade</t>
      </text>
    </comment>
    <comment ref="L85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1" authorId="0" shapeId="0">
      <text>
        <t>fires when: tkm_upgrade_twinrocketsupgrade</t>
      </text>
    </comment>
    <comment ref="L852" authorId="0" shapeId="0">
      <text>
        <t>per-shot TOTAL across 3 main warhead(s).
raw warhead damages: 2000, 1, 6000, 2,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2" authorId="0" shapeId="0">
      <text>
        <t>fires when: tkm_upgrade_incendiaryrocketsupgrade</t>
      </text>
    </comment>
    <comment ref="L854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6" authorId="0" shapeId="0">
      <text>
        <t>per-shot TOTAL across 6 main warhead(s).
raw warhead damages: 10000, 5000, 5, 10000,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8" authorId="0" shapeId="0">
      <text>
        <t>per-shot TOTAL across 4 main warhead(s).
raw warhead damages: 12000, 6000, 6, 12000, 6, 12000, 6000,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0" authorId="0" shapeId="0">
      <text>
        <t>per-shot TOTAL across 4 main warhead(s).
raw warhead damages: 30000, 15000, 15, 30000, 15, 30000, 15000,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2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4" authorId="0" shapeId="0">
      <text>
        <t>per-shot TOTAL across 3 main warhead(s).
raw warhead damages: 30000, 15, 30000, 15,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6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9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69" authorId="0" shapeId="0">
      <text>
        <t>fires when: undeployed</t>
      </text>
    </comment>
    <comment ref="L870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0" authorId="0" shapeId="0">
      <text>
        <t>fires when: deployed</t>
      </text>
    </comment>
    <comment ref="L871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1" authorId="0" shapeId="0">
      <text>
        <t>fires when: undeployed</t>
      </text>
    </comment>
    <comment ref="L872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2" authorId="0" shapeId="0">
      <text>
        <t>fires when: deployed</t>
      </text>
    </comment>
    <comment ref="L873" authorId="0" shapeId="0">
      <text>
        <t>per-shot TOTAL across 6 main warhead(s).
raw warhead damages: 4000, 2, 4000, 2, 4000, 1000,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3" authorId="0" shapeId="0">
      <text>
        <t>fires when: undeployed</t>
      </text>
    </comment>
    <comment ref="L874" authorId="0" shapeId="0">
      <text>
        <t>per-shot TOTAL across 6 main warhead(s).
raw warhead damages: 4000, 2, 4000, 2, 4000, 1000,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4" authorId="0" shapeId="0">
      <text>
        <t>fires when: deployed</t>
      </text>
    </comment>
    <comment ref="L875" authorId="0" shapeId="0">
      <text>
        <t>per-shot TOTAL across 1 main warhead(s).
raw warhead damages: 160000, 80,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5" authorId="0" shapeId="0">
      <text>
        <t>fires when: deployed</t>
      </text>
    </comment>
    <comment ref="L876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6" authorId="0" shapeId="0">
      <text>
        <t>fires when: !td_gdi_upgrade_advancedmissiletargeting &amp;&amp; deployed</t>
      </text>
    </comment>
    <comment ref="L877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77" authorId="0" shapeId="0">
      <text>
        <t>fires when: td_gdi_upgrade_advancedmissiletargeting &amp;&amp; deployed</t>
      </text>
    </comment>
    <comment ref="L879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0" authorId="0" shapeId="0">
      <text>
        <t>per-shot TOTAL across 1 main warhead(s).
raw warhead damages: 240000, 120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1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1" authorId="0" shapeId="0">
      <text>
        <t>fires when: !japan_upgrade_advancedplasmaweapons</t>
      </text>
    </comment>
    <comment ref="L882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2" authorId="0" shapeId="0">
      <text>
        <t>fires when: !japan_upgrade_advancedplasmaweapons</t>
      </text>
    </comment>
    <comment ref="L883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3" authorId="0" shapeId="0">
      <text>
        <t>fires when: !japan_upgrade_advancedplasmaweapons</t>
      </text>
    </comment>
    <comment ref="L884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4" authorId="0" shapeId="0">
      <text>
        <t>fires when: japan_upgrade_advancedplasmaweapons</t>
      </text>
    </comment>
    <comment ref="L885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5" authorId="0" shapeId="0">
      <text>
        <t>fires when: japan_upgrade_advancedplasmaweapons</t>
      </text>
    </comment>
    <comment ref="L886" authorId="0" shapeId="0">
      <text>
        <t>per-shot TOTAL across 4 main warhead(s).
raw warhead damages: 2000, 1, 2000, 1000,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6" authorId="0" shapeId="0">
      <text>
        <t>fires when: japan_upgrade_advancedplasmaweapons</t>
      </text>
    </comment>
    <comment ref="L88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7" authorId="0" shapeId="0">
      <text>
        <t>fires when: !japan_upgrade_advancedplasmaweapons</t>
      </text>
    </comment>
    <comment ref="L888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8" authorId="0" shapeId="0">
      <text>
        <t>fires when: !japan_upgrade_advancedplasmaweapons</t>
      </text>
    </comment>
    <comment ref="L8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89" authorId="0" shapeId="0">
      <text>
        <t>fires when: japan_upgrade_advancedplasmaweapons</t>
      </text>
    </comment>
    <comment ref="L89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0" authorId="0" shapeId="0">
      <text>
        <t>fires when: japan_upgrade_advancedplasmaweapons</t>
      </text>
    </comment>
    <comment ref="L892" authorId="0" shapeId="0">
      <text>
        <t>per-shot TOTAL across 1 main warhead(s).
raw warhead damages: 600000, 300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6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6" authorId="0" shapeId="0">
      <text>
        <t>fires when: !ra1_soviets_doctrine_inferno</t>
      </text>
    </comment>
    <comment ref="L897" authorId="0" shapeId="0">
      <text>
        <t>per-shot TOTAL across 3 main warhead(s).
raw warhead damages: 40000, 20,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7" authorId="0" shapeId="0">
      <text>
        <t>fires when: ra1_soviets_doctrine_inferno</t>
      </text>
    </comment>
    <comment ref="L898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8" authorId="0" shapeId="0">
      <text>
        <t>fires when: !ra1_soviets_upgrade_teslarockets &amp;&amp; !ra1_soviets_upgrade_thermonuclearrockets</t>
      </text>
    </comment>
    <comment ref="L899" authorId="0" shapeId="0">
      <text>
        <t>per-shot TOTAL across 4 main warhead(s).
raw warhead damages: 26750, 13250, 13, 26750, 13, 26750, 13250, 13, 26750, 13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9" authorId="0" shapeId="0">
      <text>
        <t>fires when: ra1_soviets_upgrade_teslarockets</t>
      </text>
    </comment>
    <comment ref="L900" authorId="0" shapeId="0">
      <text>
        <t>per-shot TOTAL across 8 main warhead(s).
raw warhead damages: 13250, 7, 13250, 7, 13250, 7, 13250, 6750, 7, 13250, 7, 13250, 6750, 7, 13250, 7, 13250,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0" authorId="0" shapeId="0">
      <text>
        <t>fires when: ra1_soviets_upgrade_thermonuclearrockets</t>
      </text>
    </comment>
    <comment ref="L902" authorId="0" shapeId="0">
      <text>
        <t>per-shot TOTAL across 5 main warhead(s).
raw warhead damages: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2" authorId="0" shapeId="0">
      <text>
        <t>fires when: !ra1_allies_upgrade_cryomissiles</t>
      </text>
    </comment>
    <comment ref="L903" authorId="0" shapeId="0">
      <text>
        <t>per-shot TOTAL across 5 main warhead(s).
raw warhead damages: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3" authorId="0" shapeId="0">
      <text>
        <t>fires when: !ra1_allies_upgrade_cryomissiles</t>
      </text>
    </comment>
    <comment ref="L904" authorId="0" shapeId="0">
      <text>
        <t>per-shot TOTAL across 5 main warhead(s).
raw warhead damages: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4" authorId="0" shapeId="0">
      <text>
        <t>fires when: ra1_allies_upgrade_cryomissiles</t>
      </text>
    </comment>
    <comment ref="L905" authorId="0" shapeId="0">
      <text>
        <t>per-shot TOTAL across 5 main warhead(s).
raw warhead damages: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5" authorId="0" shapeId="0">
      <text>
        <t>fires when: ra1_allies_upgrade_cryomissiles</t>
      </text>
    </comment>
    <comment ref="L907" authorId="0" shapeId="0">
      <text>
        <t>per-shot TOTAL across 1 main warhead(s).
raw warhead damages: 160000, 80,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8" authorId="0" shapeId="0">
      <text>
        <t>per-shot TOTAL across 1 main warhead(s).
raw warhead damages: 160000, 80,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0" authorId="0" shapeId="0">
      <text>
        <t>per-shot TOTAL across 1 main warhead(s).
raw warhead damages: 80000, 1, 1000,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0" authorId="0" shapeId="0">
      <text>
        <t>fires when: !ts_gdi_upgrade_railgunweaponry</t>
      </text>
    </comment>
    <comment ref="L911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2" authorId="0" shapeId="0">
      <text>
        <t>per-shot TOTAL across 1 main warhead(s).
raw warhead damages: 80000, 1, 1000,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2" authorId="0" shapeId="0">
      <text>
        <t>fires when: ts_gdi_upgrade_railgunweaponry</t>
      </text>
    </comment>
    <comment ref="L913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5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5" authorId="0" shapeId="0">
      <text>
        <t>fires when: !ts_gdi_upgrade_railgunweaponry</t>
      </text>
    </comment>
    <comment ref="L916" authorId="0" shapeId="0">
      <text>
        <t>per-shot TOTAL across 1 main warhead(s).
raw warhead damages: 42000, 21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7" authorId="0" shapeId="0">
      <text>
        <t>per-shot TOTAL across 1 main warhead(s).
raw warhead damages: 40000, 1, 1000,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17" authorId="0" shapeId="0">
      <text>
        <t>fires when: ts_gdi_upgrade_railgunweaponry</t>
      </text>
    </comment>
    <comment ref="L919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0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2" authorId="0" shapeId="0">
      <text>
        <t>per-shot TOTAL across 3 main warhead(s).
raw warhead damages: 30000, 15, 3600,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2" authorId="0" shapeId="0">
      <text>
        <t>fires when: !forgotten_upgrade_chemicalweapons</t>
      </text>
    </comment>
    <comment ref="L923" authorId="0" shapeId="0">
      <text>
        <t>per-shot TOTAL across 4 main warhead(s).
raw warhead damages: 30000, 15, 3600, 30000, 15, 30000, 15000,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3" authorId="0" shapeId="0">
      <text>
        <t>fires when: forgotten_upgrade_chemicalweapons</t>
      </text>
    </comment>
    <comment ref="L924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6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1" authorId="0" shapeId="0">
      <text>
        <t>per-shot TOTAL across 6 main warhead(s).
raw warhead damages: 20000, 10, 20000, 10, 20000, 10, 20000, 10000, 10, 20000, 10, 20000,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3" authorId="0" shapeId="0">
      <text>
        <t>per-shot TOTAL across 6 main warhead(s).
raw warhead damages: 10000, 5, 10000, 5,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4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7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7" authorId="0" shapeId="0">
      <text>
        <t>fires when: !rank-elite</t>
      </text>
    </comment>
    <comment ref="L938" authorId="0" shapeId="0">
      <text>
        <t>per-shot TOTAL across 3 main warhead(s).
raw warhead damages: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38" authorId="0" shapeId="0">
      <text>
        <t>fires when: rank-elite</t>
      </text>
    </comment>
    <comment ref="L939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0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2" authorId="0" shapeId="0">
      <text>
        <t>per-shot TOTAL across 3 main warhead(s).
raw warhead damages: 100000, 50, 50000, 100000, 50, 1000, 100000, 50,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2" authorId="0" shapeId="0">
      <text>
        <t>fires when: !rank-elite</t>
      </text>
    </comment>
    <comment ref="L943" authorId="0" shapeId="0">
      <text>
        <t>per-shot TOTAL across 3 main warhead(s).
raw warhead damages: 200000, 100, 100000, 200000, 100, 1000, 200000, 100,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3" authorId="0" shapeId="0">
      <text>
        <t>fires when: rank-elite</t>
      </text>
    </comment>
    <comment ref="L945" authorId="0" shapeId="0">
      <text>
        <t>per-shot TOTAL across 6 main warhead(s).
raw warhead damages: 100000, 50, 100000, 50, 100000, 50000, 50, 100000, 50000, 50, 100000, 50, 888, 100000, 50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5" authorId="0" shapeId="0">
      <text>
        <t>fires when: !rank-elite</t>
      </text>
    </comment>
    <comment ref="L946" authorId="0" shapeId="0">
      <text>
        <t>per-shot TOTAL across 6 main warhead(s).
raw warhead damages: 100000, 50, 100000, 50, 100000, 50000, 50, 100000, 50000, 50, 100000, 50, 888, 100000, 50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6" authorId="0" shapeId="0">
      <text>
        <t>fires when: rank-elite</t>
      </text>
    </comment>
    <comment ref="L948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8" authorId="0" shapeId="0">
      <text>
        <t>fires when: !tkm_upgrade_cryorocketsupgrade &amp;&amp; !tkm_upgrade_twinrocketsupgrade &amp;&amp; !uptitanarsenalupgrade</t>
      </text>
    </comment>
    <comment ref="L949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49" authorId="0" shapeId="0">
      <text>
        <t>fires when: tkm_upgrade_cryorocketsupgrade</t>
      </text>
    </comment>
    <comment ref="L950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0" authorId="0" shapeId="0">
      <text>
        <t>fires when: tkm_upgrade_cryorocketsupgrade</t>
      </text>
    </comment>
    <comment ref="L951" authorId="0" shapeId="0">
      <text>
        <t>per-shot TOTAL across 6 main warhead(s).
raw warhead damages: 4000, 2, 40000, 20,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1" authorId="0" shapeId="0">
      <text>
        <t>fires when: tkm_upgrade_twinrocketsupgrade</t>
      </text>
    </comment>
    <comment ref="L952" authorId="0" shapeId="0">
      <text>
        <t>per-shot TOTAL across 6 main warhead(s).
raw warhead damages: 4000, 2, 40000, 20,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2" authorId="0" shapeId="0">
      <text>
        <t>fires when: tkm_upgrade_twinrocketsupgrade</t>
      </text>
    </comment>
    <comment ref="L953" authorId="0" shapeId="0">
      <text>
        <t>per-shot TOTAL across 4 main warhead(s).
raw warhead damages: 2000, 1, 6000, 2,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3" authorId="0" shapeId="0">
      <text>
        <t>fires when: tkm_upgrade_incendiaryrocketsupgrade</t>
      </text>
    </comment>
    <comment ref="L954" authorId="0" shapeId="0">
      <text>
        <t>per-shot TOTAL across 4 main warhead(s).
raw warhead damages: 2000, 1, 6000, 2,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4" authorId="0" shapeId="0">
      <text>
        <t>fires when: tkm_upgrade_incendiaryrocketsupgrade</t>
      </text>
    </comment>
    <comment ref="L955" authorId="0" shapeId="0">
      <text>
        <t>per-shot TOTAL across 2 main warhead(s).
raw warhead damages: 80000, 40,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7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7" authorId="0" shapeId="0">
      <text>
        <t>fires when: !tkm_upgrade_cryorocketsupgrade &amp;&amp; !tkm_upgrade_twinrocketsupgrade &amp;&amp; !tkm_upgrade_incendiaryrocketsupgrade</t>
      </text>
    </comment>
    <comment ref="L958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8" authorId="0" shapeId="0">
      <text>
        <t>fires when: tkm_upgrade_cryorocketsupgrade</t>
      </text>
    </comment>
    <comment ref="L959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9" authorId="0" shapeId="0">
      <text>
        <t>fires when: tkm_upgrade_cryorocketsupgrade</t>
      </text>
    </comment>
    <comment ref="L960" authorId="0" shapeId="0">
      <text>
        <t>per-shot TOTAL across 6 main warhead(s).
raw warhead damages: 4000, 2, 40000, 20,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0" authorId="0" shapeId="0">
      <text>
        <t>fires when: tkm_upgrade_twinrocketsupgrade</t>
      </text>
    </comment>
    <comment ref="L961" authorId="0" shapeId="0">
      <text>
        <t>per-shot TOTAL across 6 main warhead(s).
raw warhead damages: 4000, 2, 40000, 20,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1" authorId="0" shapeId="0">
      <text>
        <t>fires when: tkm_upgrade_twinrocketsupgrade</t>
      </text>
    </comment>
    <comment ref="L962" authorId="0" shapeId="0">
      <text>
        <t>per-shot TOTAL across 4 main warhead(s).
raw warhead damages: 2000, 1, 6000, 2,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2" authorId="0" shapeId="0">
      <text>
        <t>fires when: tkm_upgrade_incendiaryrocketsupgrade</t>
      </text>
    </comment>
    <comment ref="L963" authorId="0" shapeId="0">
      <text>
        <t>per-shot TOTAL across 4 main warhead(s).
raw warhead damages: 2000, 1, 6000, 2,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3" authorId="0" shapeId="0">
      <text>
        <t>fires when: tkm_upgrade_incendiaryrocketsupgrade</t>
      </text>
    </comment>
    <comment ref="L964" authorId="0" shapeId="0">
      <text>
        <t>per-shot TOTAL across 2 main warhead(s).
raw warhead damages: 120000, 60, 120000, 60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66" authorId="0" shapeId="0">
      <text>
        <t>per-shot TOTAL across 2 main warhead(s).
raw warhead damages: 40000, 2, 40000, 10,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8" authorId="0" shapeId="0">
      <text>
        <t>fires when: end_disable == 0</t>
      </text>
    </comment>
    <comment ref="L969" authorId="0" shapeId="0">
      <text>
        <t>per-shot TOTAL across 0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9" authorId="0" shapeId="0">
      <text>
        <t>fires when: end_disable &gt;= 1</t>
      </text>
    </comment>
    <comment ref="L971" authorId="0" shapeId="0">
      <text>
        <t>per-shot TOTAL across 2 main warhead(s).
raw warhead damages: 10000, 5,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72" authorId="0" shapeId="0">
      <text>
        <t>per-shot TOTAL across 2 main warhead(s).
raw warhead damages: 10000, 5000,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73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75" authorId="0" shapeId="0">
      <text>
        <t>per-shot TOTAL across 6 main warhead(s).
raw warhead damages: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78" authorId="0" shapeId="0">
      <text>
        <t>per-shot TOTAL across 8 main warhead(s).
raw warhead damages: 2000, 1, 2000, 1,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8" authorId="0" shapeId="0">
      <text>
        <t>fires when: !japan_upgrade_waveforcebullets</t>
      </text>
    </comment>
    <comment ref="L979" authorId="0" shapeId="0">
      <text>
        <t>per-shot TOTAL across 8 main warhead(s).
raw warhead damages: 2000, 1, 2000, 1,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9" authorId="0" shapeId="0">
      <text>
        <t>fires when: !japan_upgrade_waveforcebullets</t>
      </text>
    </comment>
    <comment ref="L980" authorId="0" shapeId="0">
      <text>
        <t>per-shot TOTAL across 10 main warhead(s).
raw warhead damages: 1000, 1, 2000, 1, 1000, 2000, 1, 2000, 1,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0" authorId="0" shapeId="0">
      <text>
        <t>fires when: japan_upgrade_waveforcebullets</t>
      </text>
    </comment>
    <comment ref="L981" authorId="0" shapeId="0">
      <text>
        <t>per-shot TOTAL across 10 main warhead(s).
raw warhead damages: 1000, 1, 2000, 1, 1000, 2000, 1, 2000, 1, 2000,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1" authorId="0" shapeId="0">
      <text>
        <t>fires when: japan_upgrade_waveforcebullets</t>
      </text>
    </comment>
    <comment ref="L98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8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8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6" authorId="0" shapeId="0">
      <text>
        <t>fires when: !ra1_soviets_upgrade_incendiarybullets</t>
      </text>
    </comment>
    <comment ref="L98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7" authorId="0" shapeId="0">
      <text>
        <t>fires when: !ra1_soviets_upgrade_incendiarybullets</t>
      </text>
    </comment>
    <comment ref="L98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8" authorId="0" shapeId="0">
      <text>
        <t>fires when: ra1_soviets_upgrade_incendiarybullets</t>
      </text>
    </comment>
    <comment ref="L9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9" authorId="0" shapeId="0">
      <text>
        <t>fires when: ra1_soviets_upgrade_incendiarybullets</t>
      </text>
    </comment>
    <comment ref="L990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0" authorId="0" shapeId="0">
      <text>
        <t>fires when: ra1_soviets_doctrine_teslaandexperimentaltech &amp;&amp; !ra1_soviets_upgrade_teslaarcing</t>
      </text>
    </comment>
    <comment ref="L991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1" authorId="0" shapeId="0">
      <text>
        <t>fires when: ra1_soviets_upgrade_teslaarcing</t>
      </text>
    </comment>
    <comment ref="L992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2" authorId="0" shapeId="0">
      <text>
        <t>fires when: ra1_soviets_doctrine_teslaandexperimentaltech &amp;&amp; !ra1_soviets_upgrade_teslaarcing</t>
      </text>
    </comment>
    <comment ref="L993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3" authorId="0" shapeId="0">
      <text>
        <t>fires when: ra1_soviets_upgrade_teslaarcing</t>
      </text>
    </comment>
    <comment ref="L99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96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9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8" authorId="0" shapeId="0">
      <text>
        <t>fires when: !forgotten_upgrade_chemicalweapons</t>
      </text>
    </comment>
    <comment ref="L99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99" authorId="0" shapeId="0">
      <text>
        <t>fires when: !forgotten_upgrade_chemicalweapons</t>
      </text>
    </comment>
    <comment ref="L100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0" authorId="0" shapeId="0">
      <text>
        <t>fires when: forgotten_upgrade_chemicalweapons</t>
      </text>
    </comment>
    <comment ref="L100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1" authorId="0" shapeId="0">
      <text>
        <t>fires when: forgotten_upgrade_chemicalweapons</t>
      </text>
    </comment>
    <comment ref="L1003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3" authorId="0" shapeId="0">
      <text>
        <t>fires when: !rank-elite</t>
      </text>
    </comment>
    <comment ref="L1004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4" authorId="0" shapeId="0">
      <text>
        <t>fires when: !rank-elite</t>
      </text>
    </comment>
    <comment ref="L1005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5" authorId="0" shapeId="0">
      <text>
        <t>fires when: rank-elite</t>
      </text>
    </comment>
    <comment ref="L1006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6" authorId="0" shapeId="0">
      <text>
        <t>fires when: rank-elite</t>
      </text>
    </comment>
    <comment ref="L100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8" authorId="0" shapeId="0">
      <text>
        <t>fires when: !gatling</t>
      </text>
    </comment>
    <comment ref="L100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09" authorId="0" shapeId="0">
      <text>
        <t>fires when: gatling == 1</t>
      </text>
    </comment>
    <comment ref="L101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0" authorId="0" shapeId="0">
      <text>
        <t>fires when: gatling &gt; 1</t>
      </text>
    </comment>
    <comment ref="L101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1" authorId="0" shapeId="0">
      <text>
        <t>fires when: !gatling</t>
      </text>
    </comment>
    <comment ref="L101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2" authorId="0" shapeId="0">
      <text>
        <t>fires when: gatling == 1</t>
      </text>
    </comment>
    <comment ref="L101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3" authorId="0" shapeId="0">
      <text>
        <t>fires when: gatling &gt; 1</t>
      </text>
    </comment>
    <comment ref="L101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6" authorId="0" shapeId="0">
      <text>
        <t>fires when: asianalliance_doctrine_heavypulverizerweapons</t>
      </text>
    </comment>
    <comment ref="L101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1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2" authorId="0" shapeId="0">
      <text>
        <t>fires when: steelconsortium_upgrade_resonanceammo</t>
      </text>
    </comment>
    <comment ref="L102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3" authorId="0" shapeId="0">
      <text>
        <t>fires when: steelconsortium_upgrade_resonanceammo</t>
      </text>
    </comment>
    <comment ref="L102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4" authorId="0" shapeId="0">
      <text>
        <t>fires when: steelconsortium_upgrade_resonanceammo</t>
      </text>
    </comment>
    <comment ref="L102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5" authorId="0" shapeId="0">
      <text>
        <t>fires when: steelconsortium_upgrade_resonanceammo</t>
      </text>
    </comment>
    <comment ref="L1027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7" authorId="0" shapeId="0">
      <text>
        <t>fires when: !rank-elite</t>
      </text>
    </comment>
    <comment ref="L1028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8" authorId="0" shapeId="0">
      <text>
        <t>fires when: rank-elite</t>
      </text>
    </comment>
    <comment ref="L1029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9" authorId="0" shapeId="0">
      <text>
        <t>fires when: !rank-elite</t>
      </text>
    </comment>
    <comment ref="L103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0" authorId="0" shapeId="0">
      <text>
        <t>fires when: rank-elite</t>
      </text>
    </comment>
    <comment ref="L1032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34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4" authorId="0" shapeId="0">
      <text>
        <t>fires when: !rank-elite</t>
      </text>
    </comment>
    <comment ref="L1035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5" authorId="0" shapeId="0">
      <text>
        <t>fires when: rank-elite</t>
      </text>
    </comment>
    <comment ref="L1036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6" authorId="0" shapeId="0">
      <text>
        <t>fires when: !rank-elite</t>
      </text>
    </comment>
    <comment ref="L1037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7" authorId="0" shapeId="0">
      <text>
        <t>fires when: rank-elite</t>
      </text>
    </comment>
    <comment ref="L1041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1" authorId="0" shapeId="0">
      <text>
        <t>fires when: !td_gdi_upgrade_advancedmissiletargeting</t>
      </text>
    </comment>
    <comment ref="L1042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2" authorId="0" shapeId="0">
      <text>
        <t>fires when: td_gdi_upgrade_advancedmissiletargeting</t>
      </text>
    </comment>
    <comment ref="AB1044" authorId="0" shapeId="0">
      <text>
        <t>fires when: td_nod_upgrade_blackmarketupgrades</t>
      </text>
    </comment>
    <comment ref="L1045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7" authorId="0" shapeId="0">
      <text>
        <t>fires when: td_nod_upgrade_blackmarketupgrades</t>
      </text>
    </comment>
    <comment ref="L1048" authorId="0" shapeId="0">
      <text>
        <t>per-shot TOTAL across 4 main warhead(s).
raw warhead damages: 4000,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0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0" authorId="0" shapeId="0">
      <text>
        <t>fires when: !td_nod_upgrade_blackmarketupgrades</t>
      </text>
    </comment>
    <comment ref="L1051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1" authorId="0" shapeId="0">
      <text>
        <t>fires when: td_nod_upgrade_blackmarketupgrades</t>
      </text>
    </comment>
    <comment ref="L1053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3" authorId="0" shapeId="0">
      <text>
        <t>fires when: !ts_nod_upgrade_tiberiumcoremissiles</t>
      </text>
    </comment>
    <comment ref="L1054" authorId="0" shapeId="0">
      <text>
        <t>per-shot TOTAL across 4 main warhead(s).
raw warhead damages: 4000, 2, 4000, 2, 4000, 42,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4" authorId="0" shapeId="0">
      <text>
        <t>fires when: ts_nod_upgrade_tiberiumcoremissiles</t>
      </text>
    </comment>
    <comment ref="L1056" authorId="0" shapeId="0">
      <text>
        <t>per-shot TOTAL across 3 main warhead(s).
raw warhead damages: 4000, 2, 4000, 2, 4000, 2000,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8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0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1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1" authorId="0" shapeId="0">
      <text>
        <t>fires when: rank-elite</t>
      </text>
    </comment>
    <comment ref="L106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4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4" authorId="0" shapeId="0">
      <text>
        <t>fires when: !tkm_upgrade_incendiaryrocketsupgrade</t>
      </text>
    </comment>
    <comment ref="L1065" authorId="0" shapeId="0">
      <text>
        <t>per-shot TOTAL across 2 main warhead(s).
raw warhead damages: 24000, 12,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5" authorId="0" shapeId="0">
      <text>
        <t>fires when: tkm_upgrade_incendiaryrocketsupgrade</t>
      </text>
    </comment>
    <comment ref="L1067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69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1" authorId="0" shapeId="0">
      <text>
        <t>per-shot TOTAL across 2 main warhead(s).
raw warhead damages: 2000, 1, 15000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7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73" authorId="0" shapeId="0">
      <text>
        <t>fires when: !lockedon</t>
      </text>
    </comment>
    <comment ref="L107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74" authorId="0" shapeId="0">
      <text>
        <t>fires when: lockedon</t>
      </text>
    </comment>
  </commentList>
</comments>
</file>

<file path=xl/comments/comment4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" authorId="0" shapeId="0">
      <text>
        <t>fires when: !japan_upgrade_energizedarrows</t>
      </text>
    </comment>
    <comment ref="L8" authorId="0" shapeId="0">
      <text>
        <t>per-shot TOTAL across 4 main warhead(s).
raw warhead damages: 8000, 4, 8000, 4000,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" authorId="0" shapeId="0">
      <text>
        <t>fires when: japan_upgrade_energizedarrows</t>
      </text>
    </comment>
    <comment ref="L9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" authorId="0" shapeId="0">
      <text>
        <t>fires when: !japan_upgrade_waveforcebullets</t>
      </text>
    </comment>
    <comment ref="L10" authorId="0" shapeId="0">
      <text>
        <t>per-shot TOTAL across 3 main warhead(s).
raw warhead damages: 4000, 2, 1000, 1000, 500, 2, 6000,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" authorId="0" shapeId="0">
      <text>
        <t>fires when: japan_upgrade_waveforcebullets</t>
      </text>
    </comment>
    <comment ref="L1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" authorId="0" shapeId="0">
      <text>
        <t>fires when: !ra1_soviets_upgrade_incendiarybullets</t>
      </text>
    </comment>
    <comment ref="L1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" authorId="0" shapeId="0">
      <text>
        <t>fires when: !ra1_soviets_upgrade_incendiarybullets</t>
      </text>
    </comment>
    <comment ref="L1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" authorId="0" shapeId="0">
      <text>
        <t>fires when: ra1_soviets_upgrade_incendiarybullets</t>
      </text>
    </comment>
    <comment ref="L1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" authorId="0" shapeId="0">
      <text>
        <t>fires when: ra1_soviets_upgrade_incendiarybullets</t>
      </text>
    </comment>
    <comment ref="L17" authorId="0" shapeId="0">
      <text>
        <t>per-shot TOTAL across 4 main warhead(s).
raw warhead damages: 50000, 25, 50000,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" authorId="0" shapeId="0">
      <text>
        <t>fires when: !ra1_soviets_upgrade_incendiarybullets</t>
      </text>
    </comment>
    <comment ref="L1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" authorId="0" shapeId="0">
      <text>
        <t>fires when: !ra1_soviets_upgrade_incendiarybullets</t>
      </text>
    </comment>
    <comment ref="L20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" authorId="0" shapeId="0">
      <text>
        <t>fires when: ra1_soviets_upgrade_incendiarybullets</t>
      </text>
    </comment>
    <comment ref="L2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" authorId="0" shapeId="0">
      <text>
        <t>fires when: ra1_soviets_upgrade_incendiarybullets</t>
      </text>
    </comment>
    <comment ref="L23" authorId="0" shapeId="0">
      <text>
        <t>per-shot TOTAL across 4 main warhead(s).
raw warhead damages: 40000, 20000, 20, 40000, 20,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4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" authorId="0" shapeId="0">
      <text>
        <t>fires when: !ra1_soviets_upgrade_teslaarcing</t>
      </text>
    </comment>
    <comment ref="L25" authorId="0" shapeId="0">
      <text>
        <t>per-shot TOTAL across 2 main warhead(s).
raw warhead damages: 8000, 4, 8000, 4, 4000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" authorId="0" shapeId="0">
      <text>
        <t>fires when: ra1_soviets_upgrade_teslaarcing</t>
      </text>
    </comment>
    <comment ref="L26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" authorId="0" shapeId="0">
      <text>
        <t>fires when: !ra1_soviets_upgrade_incendiarybullets</t>
      </text>
    </comment>
    <comment ref="L27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" authorId="0" shapeId="0">
      <text>
        <t>fires when: !ra1_soviets_upgrade_incendiarybullets</t>
      </text>
    </comment>
    <comment ref="L2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" authorId="0" shapeId="0">
      <text>
        <t>fires when: ra1_soviets_upgrade_incendiarybullets</t>
      </text>
    </comment>
    <comment ref="L29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" authorId="0" shapeId="0">
      <text>
        <t>fires when: ra1_soviets_upgrade_incendiarybullets</t>
      </text>
    </comment>
    <comment ref="L31" authorId="0" shapeId="0">
      <text>
        <t>per-shot TOTAL across 4 main warhead(s).
raw warhead damages: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" authorId="0" shapeId="0">
      <text>
        <t>fires when: !ra1_soviets_upgrade_incendiarybullets</t>
      </text>
    </comment>
    <comment ref="L3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" authorId="0" shapeId="0">
      <text>
        <t>fires when: !ra1_soviets_upgrade_incendiarybullets</t>
      </text>
    </comment>
    <comment ref="L3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" authorId="0" shapeId="0">
      <text>
        <t>fires when: ra1_soviets_upgrade_incendiarybullets</t>
      </text>
    </comment>
    <comment ref="L35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" authorId="0" shapeId="0">
      <text>
        <t>fires when: ra1_soviets_upgrade_incendiarybullets</t>
      </text>
    </comment>
    <comment ref="L37" authorId="0" shapeId="0">
      <text>
        <t>per-shot TOTAL across 6 main warhead(s).
raw warhead damages: 4000,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" authorId="0" shapeId="0">
      <text>
        <t>fires when: !rank-elite</t>
      </text>
    </comment>
    <comment ref="L38" authorId="0" shapeId="0">
      <text>
        <t>per-shot TOTAL across 6 main warhead(s).
raw warhead damages: 4000,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" authorId="0" shapeId="0">
      <text>
        <t>fires when: rank-elite</t>
      </text>
    </comment>
    <comment ref="L40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" authorId="0" shapeId="0">
      <text>
        <t>per-shot TOTAL across 4 main warhead(s).
raw warhead damages: 4000, 2, 1000,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" authorId="0" shapeId="0">
      <text>
        <t>fires when: !steelconsortium_upgrade_quantumweaponpower</t>
      </text>
    </comment>
    <comment ref="L43" authorId="0" shapeId="0">
      <text>
        <t>per-shot TOTAL across 10 main warhead(s).
raw warhead damages: 2000, 1000, 1, 2000, 1, 2000, 1, 2000, 1000, 1, 2000, 1, 2000, 1000, 1,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" authorId="0" shapeId="0">
      <text>
        <t>fires when: steelconsortium_upgrade_quantumweaponpower</t>
      </text>
    </comment>
    <comment ref="L4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7" authorId="0" shapeId="0">
      <text>
        <t>fires when: !steelconsortium_upgrade_quantumweaponpower</t>
      </text>
    </comment>
    <comment ref="L48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" authorId="0" shapeId="0">
      <text>
        <t>fires when: steelconsortium_upgrade_quantumweaponpower</t>
      </text>
    </comment>
    <comment ref="L50" authorId="0" shapeId="0">
      <text>
        <t>per-shot TOTAL across 5 main warhead(s).
raw warhead damages: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0" authorId="0" shapeId="0">
      <text>
        <t>fires when: !rank-elite</t>
      </text>
    </comment>
    <comment ref="L51" authorId="0" shapeId="0">
      <text>
        <t>per-shot TOTAL across 5 main warhead(s).
raw warhead damages: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" authorId="0" shapeId="0">
      <text>
        <t>fires when: rank-elite</t>
      </text>
    </comment>
    <comment ref="L53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3" authorId="0" shapeId="0">
      <text>
        <t>fires when: !rank-elite &amp;&amp; !latinsyndicate_upgrade_yuristolentechchainguns</t>
      </text>
    </comment>
    <comment ref="L54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4" authorId="0" shapeId="0">
      <text>
        <t>fires when: rank-elite</t>
      </text>
    </comment>
    <comment ref="L5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" authorId="0" shapeId="0">
      <text>
        <t>fires when: latinsyndicate_upgrade_yuristolentechchainguns</t>
      </text>
    </comment>
    <comment ref="L57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" authorId="0" shapeId="0">
      <text>
        <t>fires when: rank-elite</t>
      </text>
    </comment>
    <comment ref="L60" authorId="0" shapeId="0">
      <text>
        <t>per-shot TOTAL across 4 main warhead(s).
raw warhead damages: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3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4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" authorId="0" shapeId="0">
      <text>
        <t>fires when: rank-elite</t>
      </text>
    </comment>
    <comment ref="L6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" authorId="0" shapeId="0">
      <text>
        <t>fires when: rank-elite</t>
      </text>
    </comment>
    <comment ref="L7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" authorId="0" shapeId="0">
      <text>
        <t>per-shot TOTAL across 6 main warhead(s).
raw warhead damages: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" authorId="0" shapeId="0">
      <text>
        <t>per-shot TOTAL across 5 main warhead(s).
raw warhead damages: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5" authorId="0" shapeId="0">
      <text>
        <t>fires when: !rank-elite</t>
      </text>
    </comment>
    <comment ref="L76" authorId="0" shapeId="0">
      <text>
        <t>per-shot TOTAL across 5 main warhead(s).
raw warhead damages: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6" authorId="0" shapeId="0">
      <text>
        <t>fires when: rank-elite</t>
      </text>
    </comment>
    <comment ref="L7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8" authorId="0" shapeId="0">
      <text>
        <t>fires when: !ordos_upgrade_lasercartridges</t>
      </text>
    </comment>
    <comment ref="L79" authorId="0" shapeId="0">
      <text>
        <t>per-shot TOTAL across 2 main warhead(s).
raw warhead damages: 4000, 2, 1000,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" authorId="0" shapeId="0">
      <text>
        <t>fires when: ordos_upgrade_lasercartridges</t>
      </text>
    </comment>
    <comment ref="L81" authorId="0" shapeId="0">
      <text>
        <t>per-shot TOTAL across 2 main warhead(s).
raw warhead damages: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4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7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1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2" authorId="0" shapeId="0">
      <text>
        <t>fires when: td_gdi_upgrade_cuttingedgeequipment</t>
      </text>
    </comment>
    <comment ref="L93" authorId="0" shapeId="0">
      <text>
        <t>per-shot TOTAL across 4 main warhead(s).
raw warhead damages: 10000, 5, 10000, 5, 10000, 5000,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5" authorId="0" shapeId="0">
      <text>
        <t>fires when: !japan_upgrade_waveforcebullets</t>
      </text>
    </comment>
    <comment ref="L96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" authorId="0" shapeId="0">
      <text>
        <t>fires when: !japan_upgrade_waveforcebullets</t>
      </text>
    </comment>
    <comment ref="L97" authorId="0" shapeId="0">
      <text>
        <t>per-shot TOTAL across 3 main warhead(s).
raw warhead damages: 4000, 2, 1000, 1000, 500, 2, 6000,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" authorId="0" shapeId="0">
      <text>
        <t>fires when: japan_upgrade_waveforcebullets</t>
      </text>
    </comment>
    <comment ref="L98" authorId="0" shapeId="0">
      <text>
        <t>per-shot TOTAL across 3 main warhead(s).
raw warhead damages: 4000, 2, 1000, 1000, 500, 2, 6000,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8" authorId="0" shapeId="0">
      <text>
        <t>fires when: japan_upgrade_waveforcebullets</t>
      </text>
    </comment>
    <comment ref="L99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" authorId="0" shapeId="0">
      <text>
        <t>fires when: !japan_upgrade_waveforcebullets</t>
      </text>
    </comment>
    <comment ref="L102" authorId="0" shapeId="0">
      <text>
        <t>per-shot TOTAL across 3 main warhead(s).
raw warhead damages: 4000, 2, 1000, 1000, 500, 2, 6000,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" authorId="0" shapeId="0">
      <text>
        <t>fires when: japan_upgrade_waveforcebullets</t>
      </text>
    </comment>
    <comment ref="L103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3" authorId="0" shapeId="0">
      <text>
        <t>fires when: !japan_upgrade_advancedplasmaweapons</t>
      </text>
    </comment>
    <comment ref="L104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" authorId="0" shapeId="0">
      <text>
        <t>fires when: japan_upgrade_advancedplasmaweapons</t>
      </text>
    </comment>
    <comment ref="L106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" authorId="0" shapeId="0">
      <text>
        <t>fires when: !ra1_soviets_upgrade_teslarockets &amp;&amp; !ra1_soviets_upgrade_thermonuclearrockets</t>
      </text>
    </comment>
    <comment ref="L107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7" authorId="0" shapeId="0">
      <text>
        <t>fires when: !ra1_soviets_upgrade_teslarockets &amp;&amp; !ra1_soviets_upgrade_thermonuclearrockets</t>
      </text>
    </comment>
    <comment ref="L108" authorId="0" shapeId="0">
      <text>
        <t>per-shot TOTAL across 2 main warhead(s).
raw warhead damages: 16000, 8, 8000,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8" authorId="0" shapeId="0">
      <text>
        <t>fires when: ra1_soviets_upgrade_teslarockets</t>
      </text>
    </comment>
    <comment ref="L109" authorId="0" shapeId="0">
      <text>
        <t>per-shot TOTAL across 2 main warhead(s).
raw warhead damages: 16000, 8, 8000,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9" authorId="0" shapeId="0">
      <text>
        <t>fires when: ra1_soviets_upgrade_teslarockets</t>
      </text>
    </comment>
    <comment ref="L110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0" authorId="0" shapeId="0">
      <text>
        <t>fires when: ra1_soviets_upgrade_thermonuclearrockets</t>
      </text>
    </comment>
    <comment ref="L111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" authorId="0" shapeId="0">
      <text>
        <t>fires when: ra1_soviets_upgrade_thermonuclearrockets</t>
      </text>
    </comment>
    <comment ref="L113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3" authorId="0" shapeId="0">
      <text>
        <t>fires when: !ra1_soviets_upgrade_highexplosiverockets</t>
      </text>
    </comment>
    <comment ref="L114" authorId="0" shapeId="0">
      <text>
        <t>per-shot TOTAL across 3 main warhead(s).
raw warhead damages: 14000, 7, 14000, 7,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4" authorId="0" shapeId="0">
      <text>
        <t>fires when: ra1_soviets_upgrade_highexplosiverockets</t>
      </text>
    </comment>
    <comment ref="L115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5" authorId="0" shapeId="0">
      <text>
        <t>fires when: !ra1_soviets_upgrade_incendiarybullets</t>
      </text>
    </comment>
    <comment ref="L116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" authorId="0" shapeId="0">
      <text>
        <t>fires when: !ra1_soviets_upgrade_incendiarybullets</t>
      </text>
    </comment>
    <comment ref="L117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" authorId="0" shapeId="0">
      <text>
        <t>fires when: ra1_soviets_upgrade_incendiarybullets</t>
      </text>
    </comment>
    <comment ref="L11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" authorId="0" shapeId="0">
      <text>
        <t>fires when: ra1_soviets_upgrade_incendiarybullets</t>
      </text>
    </comment>
    <comment ref="L120" authorId="0" shapeId="0">
      <text>
        <t>per-shot TOTAL across 4 main warhead(s).
raw warhead damages: 100000, 50, 100000, 50, 100000, 50, 100000, 50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" authorId="0" shapeId="0">
      <text>
        <t>fires when: !ra1_allies_upgrade_cryomissiles</t>
      </text>
    </comment>
    <comment ref="L123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3" authorId="0" shapeId="0">
      <text>
        <t>fires when: ra1_allies_upgrade_cryomissiles</t>
      </text>
    </comment>
    <comment ref="L124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4" authorId="0" shapeId="0">
      <text>
        <t>fires when: !ra1_allies_upgrade_cryomissiles</t>
      </text>
    </comment>
    <comment ref="L125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5" authorId="0" shapeId="0">
      <text>
        <t>fires when: ra1_allies_upgrade_cryomissiles</t>
      </text>
    </comment>
    <comment ref="L127" authorId="0" shapeId="0">
      <text>
        <t>per-shot TOTAL across 2 main warhead(s).
raw warhead damages: 4000, 2,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9" authorId="0" shapeId="0">
      <text>
        <t>per-shot TOTAL across 2 main warhead(s).
raw warhead damages: 30000, 15, 30000, 15,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1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1" authorId="0" shapeId="0">
      <text>
        <t>fires when: !ts_gdi_upgrade_sonicweaponry</t>
      </text>
    </comment>
    <comment ref="L132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2" authorId="0" shapeId="0">
      <text>
        <t>fires when: ts_gdi_upgrade_sonicweaponry</t>
      </text>
    </comment>
    <comment ref="L134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5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6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8" authorId="0" shapeId="0">
      <text>
        <t>per-shot TOTAL across 1 main warhead(s).
raw warhead damages: 120000, 60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8" authorId="0" shapeId="0">
      <text>
        <t>fires when: !forgotten_upgrade_chemicalweapons</t>
      </text>
    </comment>
    <comment ref="L139" authorId="0" shapeId="0">
      <text>
        <t>per-shot TOTAL across 2 main warhead(s).
raw warhead damages: 120000, 60,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9" authorId="0" shapeId="0">
      <text>
        <t>fires when: forgotten_upgrade_chemicalweapons</t>
      </text>
    </comment>
    <comment ref="L141" authorId="0" shapeId="0">
      <text>
        <t>per-shot TOTAL across 1 main warhead(s).
raw warhead damages: 180000, 90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1" authorId="0" shapeId="0">
      <text>
        <t>fires when: !forgotten_upgrade_chemicalweapons</t>
      </text>
    </comment>
    <comment ref="L142" authorId="0" shapeId="0">
      <text>
        <t>per-shot TOTAL across 2 main warhead(s).
raw warhead damages: 180000, 90, 90000, 45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2" authorId="0" shapeId="0">
      <text>
        <t>fires when: forgotten_upgrade_chemicalweapons</t>
      </text>
    </comment>
    <comment ref="L144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8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8" authorId="0" shapeId="0">
      <text>
        <t>fires when: !ra2_soviets_doctrine_nuclearmunitions &amp;&amp; !ra2_soviets_doctrine_firemunitions &amp;&amp; !ra2_soviets_doctrine_teslamunitions</t>
      </text>
    </comment>
    <comment ref="L149" authorId="0" shapeId="0">
      <text>
        <t>per-shot TOTAL across 5 main warhead(s).
raw warhead damages: 4000, 2,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9" authorId="0" shapeId="0">
      <text>
        <t>fires when: ra2_soviets_doctrine_nuclearmunitions</t>
      </text>
    </comment>
    <comment ref="L150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0" authorId="0" shapeId="0">
      <text>
        <t>fires when: ra2_soviets_doctrine_firemunitions</t>
      </text>
    </comment>
    <comment ref="L151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1" authorId="0" shapeId="0">
      <text>
        <t>fires when: ra2_soviets_doctrine_teslamunitions</t>
      </text>
    </comment>
    <comment ref="L153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3" authorId="0" shapeId="0">
      <text>
        <t>fires when: !rank-elite &amp;&amp; !ra2_allies_upgrade_thunderboltmissiles</t>
      </text>
    </comment>
    <comment ref="L154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4" authorId="0" shapeId="0">
      <text>
        <t>fires when: rank-elite &amp;&amp; !ra2_allies_upgrade_thunderboltmissiles</t>
      </text>
    </comment>
    <comment ref="L155" authorId="0" shapeId="0">
      <text>
        <t>per-shot TOTAL across 9 main warhead(s).
raw warhead damages: 6000, 3000, 3, 6000, 3000, 3, 6000, 3, 6000, 3,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5" authorId="0" shapeId="0">
      <text>
        <t>fires when: !rank-elite &amp;&amp; ra2_allies_upgrade_thunderboltmissiles</t>
      </text>
    </comment>
    <comment ref="L156" authorId="0" shapeId="0">
      <text>
        <t>per-shot TOTAL across 9 main warhead(s).
raw warhead damages: 6000, 3000, 3, 6000, 3000, 3, 6000, 3, 6000, 3, 6000, 3, 6000,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6" authorId="0" shapeId="0">
      <text>
        <t>fires when: rank-elite &amp;&amp; ra2_allies_upgrade_thunderboltmissiles</t>
      </text>
    </comment>
    <comment ref="L158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8" authorId="0" shapeId="0">
      <text>
        <t>fires when: !rank-elite &amp;&amp; !ra2_soviets_doctrine_nuclearmunitions &amp;&amp; !ra2_soviets_doctrine_firemunitions &amp;&amp; !ra2_soviets_doctrine_teslamunitions</t>
      </text>
    </comment>
    <comment ref="L159" authorId="0" shapeId="0">
      <text>
        <t>per-shot TOTAL across 5 main warhead(s).
raw warhead damages: 4000, 2,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9" authorId="0" shapeId="0">
      <text>
        <t>fires when: !rank-elite &amp;&amp; ra2_soviets_doctrine_nuclearmunitions</t>
      </text>
    </comment>
    <comment ref="L160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0" authorId="0" shapeId="0">
      <text>
        <t>fires when: !rank-elite &amp;&amp; ra2_soviets_doctrine_firemunitions</t>
      </text>
    </comment>
    <comment ref="L161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1" authorId="0" shapeId="0">
      <text>
        <t>fires when: !rank-elite &amp;&amp; ra2_soviets_doctrine_teslamunitions</t>
      </text>
    </comment>
    <comment ref="L162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2" authorId="0" shapeId="0">
      <text>
        <t>fires when: rank-elite  &amp;&amp; !ra2_soviets_doctrine_nuclearmunitions &amp;&amp; !ra2_soviets_doctrine_firemunitions &amp;&amp; !ra2_soviets_doctrine_teslamunitions</t>
      </text>
    </comment>
    <comment ref="L163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3" authorId="0" shapeId="0">
      <text>
        <t>fires when: rank-elite &amp;&amp; ra2_soviets_doctrine_teslamunitions</t>
      </text>
    </comment>
    <comment ref="L164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4" authorId="0" shapeId="0">
      <text>
        <t>fires when: !rank-elite</t>
      </text>
    </comment>
    <comment ref="L165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5" authorId="0" shapeId="0">
      <text>
        <t>fires when: rank-elite</t>
      </text>
    </comment>
    <comment ref="L167" authorId="0" shapeId="0">
      <text>
        <t>per-shot TOTAL across 3 main warhead(s).
raw warhead damages: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7" authorId="0" shapeId="0">
      <text>
        <t>fires when: !rank-elite</t>
      </text>
    </comment>
    <comment ref="L168" authorId="0" shapeId="0">
      <text>
        <t>per-shot TOTAL across 3 main warhead(s).
raw warhead damages: 20000,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8" authorId="0" shapeId="0">
      <text>
        <t>fires when: rank-elite</t>
      </text>
    </comment>
    <comment ref="L17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7" authorId="0" shapeId="0">
      <text>
        <t>per-shot TOTAL across 5 main warhead(s).
raw warhead damages: 2000, 1, 600, 2000, 1, 1000,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8" authorId="0" shapeId="0">
      <text>
        <t>per-shot TOTAL across 6 main warhead(s).
raw warhead damages: 2000, 1, 2000, 1000, 1, 2000, 1, 2000, 1,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8" authorId="0" shapeId="0">
      <text>
        <t>fires when: steelconsortium_upgrade_quantumweaponpower</t>
      </text>
    </comment>
    <comment ref="L180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0" authorId="0" shapeId="0">
      <text>
        <t>fires when: !rank-elite</t>
      </text>
    </comment>
    <comment ref="L181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1" authorId="0" shapeId="0">
      <text>
        <t>fires when: rank-elite</t>
      </text>
    </comment>
    <comment ref="L182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2" authorId="0" shapeId="0">
      <text>
        <t>fires when: !rank-elite</t>
      </text>
    </comment>
    <comment ref="L183" authorId="0" shapeId="0">
      <text>
        <t>per-shot TOTAL across 4 main warhead(s).
raw warhead damages: 8000,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3" authorId="0" shapeId="0">
      <text>
        <t>fires when: rank-elite</t>
      </text>
    </comment>
    <comment ref="L18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7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7" authorId="0" shapeId="0">
      <text>
        <t>fires when: !tkm_upgrade_cryorocketsupgrade &amp;&amp; !tkm_upgrade_twinrocketsupgrade &amp;&amp; !uptitanarsenalupgrade</t>
      </text>
    </comment>
    <comment ref="L188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8" authorId="0" shapeId="0">
      <text>
        <t>fires when: tkm_upgrade_cryorocketsupgrade</t>
      </text>
    </comment>
    <comment ref="L189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9" authorId="0" shapeId="0">
      <text>
        <t>fires when: tkm_upgrade_twinrocketsupgrade</t>
      </text>
    </comment>
    <comment ref="L190" authorId="0" shapeId="0">
      <text>
        <t>per-shot TOTAL across 4 main warhead(s).
raw warhead damages: 2000, 1, 6000, 2,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0" authorId="0" shapeId="0">
      <text>
        <t>fires when: tkm_upgrade_incendiaryrocketsupgrade</t>
      </text>
    </comment>
    <comment ref="L192" authorId="0" shapeId="0">
      <text>
        <t>per-shot TOTAL across 1 main warhead(s).
raw warhead damages: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4" authorId="0" shapeId="0">
      <text>
        <t>per-shot TOTAL across 7 main warhead(s).
raw warhead damages: 2000, 1, 2000, 1, 2000, 1, 2000, 1, 2000, 1, 2000, 1, 10000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6" authorId="0" shapeId="0">
      <text>
        <t>per-shot TOTAL across 5 main warhead(s).
raw warhead damages: 20000, 10000, 10, 20000, 10, 20000, 10, 20000, 10000,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8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0" authorId="0" shapeId="0">
      <text>
        <t>per-shot TOTAL across 6 main warhead(s).
raw warhead damages: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1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1" authorId="0" shapeId="0">
      <text>
        <t>fires when: !ixian_upgrade_tungstenneedleguns</t>
      </text>
    </comment>
    <comment ref="L202" authorId="0" shapeId="0">
      <text>
        <t>per-shot TOTAL across 4 main warhead(s).
raw warhead damages: 2000, 1, 4000, 2,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2" authorId="0" shapeId="0">
      <text>
        <t>fires when: ixian_upgrade_tungstenneedleguns</t>
      </text>
    </comment>
    <comment ref="L204" authorId="0" shapeId="0">
      <text>
        <t>per-shot TOTAL across 3 main warhead(s).
raw warhead damages: 30000, 15, 30000, 15, 30000, 15000,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7" authorId="0" shapeId="0">
      <text>
        <t>per-shot TOTAL across 6 main warhead(s).
raw warhead damages: 2000, 1,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7" authorId="0" shapeId="0">
      <text>
        <t>fires when: !td_gdi_upgrade_advancedmissiletargeting</t>
      </text>
    </comment>
    <comment ref="L208" authorId="0" shapeId="0">
      <text>
        <t>per-shot TOTAL across 6 main warhead(s).
raw warhead damages: 2000, 1,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8" authorId="0" shapeId="0">
      <text>
        <t>fires when: td_gdi_upgrade_advancedmissiletargeting</t>
      </text>
    </comment>
    <comment ref="L21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11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1" authorId="0" shapeId="0">
      <text>
        <t>fires when: td_nod_upgrade_blackmarketupgrades</t>
      </text>
    </comment>
    <comment ref="L213" authorId="0" shapeId="0">
      <text>
        <t>per-shot TOTAL across 1 main warhead(s).
raw warhead damages: 8000, 4,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3" authorId="0" shapeId="0">
      <text>
        <t>fires when: !td_nod_upgrade_elitecapacitors &amp;&amp; !td_nod_upgrade_burninglasers</t>
      </text>
    </comment>
    <comment ref="L214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4" authorId="0" shapeId="0">
      <text>
        <t>fires when: td_nod_upgrade_elitecapacitors &amp;&amp; !td_nod_upgrade_burninglasers</t>
      </text>
    </comment>
    <comment ref="L215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5" authorId="0" shapeId="0">
      <text>
        <t>fires when: td_nod_upgrade_burninglasers</t>
      </text>
    </comment>
    <comment ref="L217" authorId="0" shapeId="0">
      <text>
        <t>per-shot TOTAL across 2 main warhead(s).
raw warhead damages: 32000, 16,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7" authorId="0" shapeId="0">
      <text>
        <t>fires when: !japan_upgrade_energizedarrows</t>
      </text>
    </comment>
    <comment ref="L218" authorId="0" shapeId="0">
      <text>
        <t>per-shot TOTAL across 4 main warhead(s).
raw warhead damages: 16000, 8, 16000, 8000,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8" authorId="0" shapeId="0">
      <text>
        <t>fires when: japan_upgrade_energizedarrows</t>
      </text>
    </comment>
    <comment ref="L219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9" authorId="0" shapeId="0">
      <text>
        <t>fires when: !japan_upgrade_advancedplasmaweapons</t>
      </text>
    </comment>
    <comment ref="L220" authorId="0" shapeId="0">
      <text>
        <t>per-shot TOTAL across 4 main warhead(s).
raw warhead damages: 4000, 2, 2000,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0" authorId="0" shapeId="0">
      <text>
        <t>fires when: japan_upgrade_advancedplasmaweapons</t>
      </text>
    </comment>
    <comment ref="L22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1" authorId="0" shapeId="0">
      <text>
        <t>fires when: !japan_upgrade_waveforcebullets</t>
      </text>
    </comment>
    <comment ref="L222" authorId="0" shapeId="0">
      <text>
        <t>per-shot TOTAL across 3 main warhead(s).
raw warhead damages: 2000, 1, 1000, 2000, 1, 2000, 1, 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2" authorId="0" shapeId="0">
      <text>
        <t>fires when: japan_upgrade_waveforcebullets</t>
      </text>
    </comment>
    <comment ref="L22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4" authorId="0" shapeId="0">
      <text>
        <t>fires when: !ra1_soviets_upgrade_highexplosiverockets &amp;&amp; !ra1_soviets_upgrade_thermonuclearrockets &amp;&amp; !ra1_soviets_promotion_hurricanerocketpods</t>
      </text>
    </comment>
    <comment ref="L22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5" authorId="0" shapeId="0">
      <text>
        <t>fires when: !ra1_soviets_upgrade_highexplosiverockets &amp;&amp; !ra1_soviets_upgrade_thermonuclearrockets &amp;&amp; ra1_soviets_promotion_hurricanerocketpods</t>
      </text>
    </comment>
    <comment ref="L226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6" authorId="0" shapeId="0">
      <text>
        <t>fires when: !ra1_soviets_upgrade_highexplosiverockets &amp;&amp; !ra1_soviets_upgrade_thermonuclearrockets &amp;&amp; ra1_soviets_promotion_hurricanerocketpods</t>
      </text>
    </comment>
    <comment ref="L227" authorId="0" shapeId="0">
      <text>
        <t>per-shot TOTAL across 5 main warhead(s).
raw warhead damages: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7" authorId="0" shapeId="0">
      <text>
        <t>fires when: ra1_soviets_upgrade_highexplosiverockets &amp;&amp; !ra1_soviets_promotion_hurricanerocketpods</t>
      </text>
    </comment>
    <comment ref="L228" authorId="0" shapeId="0">
      <text>
        <t>per-shot TOTAL across 5 main warhead(s).
raw warhead damages: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8" authorId="0" shapeId="0">
      <text>
        <t>fires when: ra1_soviets_upgrade_highexplosiverockets &amp;&amp; ra1_soviets_promotion_hurricanerocketpods</t>
      </text>
    </comment>
    <comment ref="L229" authorId="0" shapeId="0">
      <text>
        <t>per-shot TOTAL across 5 main warhead(s).
raw warhead damages: 2000, 1, 2000, 1000,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9" authorId="0" shapeId="0">
      <text>
        <t>fires when: ra1_soviets_upgrade_highexplosiverockets &amp;&amp; ra1_soviets_promotion_hurricanerocketpods</t>
      </text>
    </comment>
    <comment ref="L23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0" authorId="0" shapeId="0">
      <text>
        <t>fires when: ra1_soviets_upgrade_thermonuclearrockets &amp;&amp; !ra1_soviets_promotion_hurricanerocketpods</t>
      </text>
    </comment>
    <comment ref="L231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1" authorId="0" shapeId="0">
      <text>
        <t>fires when: ra1_soviets_upgrade_thermonuclearrockets &amp;&amp; ra1_soviets_promotion_hurricanerocketpods</t>
      </text>
    </comment>
    <comment ref="L232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2" authorId="0" shapeId="0">
      <text>
        <t>fires when: ra1_soviets_upgrade_thermonuclearrockets &amp;&amp; ra1_soviets_promotion_hurricanerocketpods</t>
      </text>
    </comment>
    <comment ref="L23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3" authorId="0" shapeId="0">
      <text>
        <t>fires when: !ra1_soviets_upgrade_incendiarybullets</t>
      </text>
    </comment>
    <comment ref="L23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4" authorId="0" shapeId="0">
      <text>
        <t>fires when: !ra1_soviets_upgrade_incendiarybullets</t>
      </text>
    </comment>
    <comment ref="L23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5" authorId="0" shapeId="0">
      <text>
        <t>fires when: ra1_soviets_upgrade_incendiarybullets</t>
      </text>
    </comment>
    <comment ref="L23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6" authorId="0" shapeId="0">
      <text>
        <t>fires when: ra1_soviets_upgrade_incendiarybullets</t>
      </text>
    </comment>
    <comment ref="L238" authorId="0" shapeId="0">
      <text>
        <t>per-shot TOTAL across 2 main warhead(s).
raw warhead damages: 16000, 8, 16000, 8, 8000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8" authorId="0" shapeId="0">
      <text>
        <t>fires when: !ra1_soviets_upgrade_teslaarcing</t>
      </text>
    </comment>
    <comment ref="L239" authorId="0" shapeId="0">
      <text>
        <t>per-shot TOTAL across 2 main warhead(s).
raw warhead damages: 16000, 8, 16000, 8, 8000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9" authorId="0" shapeId="0">
      <text>
        <t>fires when: ra1_soviets_upgrade_teslaarcing</t>
      </text>
    </comment>
    <comment ref="L24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0" authorId="0" shapeId="0">
      <text>
        <t>fires when: !ra1_soviets_upgrade_teslarockets &amp;&amp; !ra1_soviets_promotion_hurricanerocketpods</t>
      </text>
    </comment>
    <comment ref="L241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1" authorId="0" shapeId="0">
      <text>
        <t>fires when: !ra1_soviets_upgrade_teslarockets &amp;&amp; ra1_soviets_promotion_hurricanerocketpods</t>
      </text>
    </comment>
    <comment ref="L24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2" authorId="0" shapeId="0">
      <text>
        <t>fires when: !ra1_soviets_upgrade_teslarockets &amp;&amp; ra1_soviets_promotion_hurricanerocketpods</t>
      </text>
    </comment>
    <comment ref="L243" authorId="0" shapeId="0">
      <text>
        <t>per-shot TOTAL across 5 main warhead(s).
raw warhead damages: 2000, 1000, 1, 2000, 1000,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3" authorId="0" shapeId="0">
      <text>
        <t>fires when: ra1_soviets_upgrade_teslarockets &amp;&amp; !ra1_soviets_promotion_hurricanerocketpods</t>
      </text>
    </comment>
    <comment ref="L244" authorId="0" shapeId="0">
      <text>
        <t>per-shot TOTAL across 5 main warhead(s).
raw warhead damages: 2000, 1000, 1, 2000, 1000,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4" authorId="0" shapeId="0">
      <text>
        <t>fires when: ra1_soviets_upgrade_teslarockets &amp;&amp; ra1_soviets_promotion_hurricanerocketpods</t>
      </text>
    </comment>
    <comment ref="L245" authorId="0" shapeId="0">
      <text>
        <t>per-shot TOTAL across 5 main warhead(s).
raw warhead damages: 2000, 1000, 1, 2000, 1000,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5" authorId="0" shapeId="0">
      <text>
        <t>fires when: ra1_soviets_upgrade_teslarockets &amp;&amp; ra1_soviets_promotion_hurricanerocketpods</t>
      </text>
    </comment>
    <comment ref="L246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6" authorId="0" shapeId="0">
      <text>
        <t>fires when: !ra1_soviets_upgrade_incendiarybullets</t>
      </text>
    </comment>
    <comment ref="L247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7" authorId="0" shapeId="0">
      <text>
        <t>fires when: !ra1_soviets_upgrade_incendiarybullets</t>
      </text>
    </comment>
    <comment ref="L24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8" authorId="0" shapeId="0">
      <text>
        <t>fires when: ra1_soviets_upgrade_incendiarybullets</t>
      </text>
    </comment>
    <comment ref="L24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9" authorId="0" shapeId="0">
      <text>
        <t>fires when: ra1_soviets_upgrade_incendiarybullets</t>
      </text>
    </comment>
    <comment ref="L251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2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4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4" authorId="0" shapeId="0">
      <text>
        <t>fires when: !ra1_allies_upgrade_cryomissiles</t>
      </text>
    </comment>
    <comment ref="L255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5" authorId="0" shapeId="0">
      <text>
        <t>fires when: ra1_allies_upgrade_cryomissiles</t>
      </text>
    </comment>
    <comment ref="L257" authorId="0" shapeId="0">
      <text>
        <t>per-shot TOTAL across 2 main warhead(s).
raw warhead damages: 8000, 4, 600,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8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0" authorId="0" shapeId="0">
      <text>
        <t>per-shot TOTAL across 3 main warhead(s).
raw warhead damages: 10000, 5, 600, 10000, 5, 1000,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1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3" authorId="0" shapeId="0">
      <text>
        <t>per-shot TOTAL across 1 main warhead(s).
raw warhead damages: 12500,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4" authorId="0" shapeId="0">
      <text>
        <t>per-shot TOTAL across 1 main warhead(s).
raw warhead damages: 12500,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6" authorId="0" shapeId="0">
      <text>
        <t>per-shot TOTAL across 2 main warhead(s).
raw warhead damages: -1600,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8" authorId="0" shapeId="0">
      <text>
        <t>fires when: !ts_nod_upgrade_tiberiumlenses &amp;&amp; !ts_nod_upgrade_auxiliaryweapon</t>
      </text>
    </comment>
    <comment ref="L269" authorId="0" shapeId="0">
      <text>
        <t>per-shot TOTAL across 1 main warhead(s).
raw warhead damages: 0, 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69" authorId="0" shapeId="0">
      <text>
        <t>fires when: !ts_nod_upgrade_tiberiumlenses &amp;&amp; ts_nod_upgrade_auxiliaryweapon</t>
      </text>
    </comment>
    <comment ref="L270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0" authorId="0" shapeId="0">
      <text>
        <t>fires when: !ts_nod_upgrade_tiberiumlenses &amp;&amp; ts_nod_upgrade_auxiliaryweapon</t>
      </text>
    </comment>
    <comment ref="L271" authorId="0" shapeId="0">
      <text>
        <t>per-shot TOTAL across 2 main warhead(s).
raw warhead damages: 4000, 2,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1" authorId="0" shapeId="0">
      <text>
        <t>fires when: ts_nod_upgrade_tiberiumlenses &amp;&amp; !ts_nod_upgrade_auxiliaryweapon</t>
      </text>
    </comment>
    <comment ref="L272" authorId="0" shapeId="0">
      <text>
        <t>per-shot TOTAL across 3 main warhead(s).
raw warhead damages: 0, 0, 4000, 2, 1000, 0, 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2" authorId="0" shapeId="0">
      <text>
        <t>fires when: ts_nod_upgrade_tiberiumlenses &amp;&amp; ts_nod_upgrade_auxiliaryweapon</t>
      </text>
    </comment>
    <comment ref="L273" authorId="0" shapeId="0">
      <text>
        <t>per-shot TOTAL across 2 main warhead(s).
raw warhead damages: 4000, 2, 4000, 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3" authorId="0" shapeId="0">
      <text>
        <t>fires when: ts_nod_upgrade_tiberiumlenses &amp;&amp; ts_nod_upgrade_auxiliaryweapon</t>
      </text>
    </comment>
    <comment ref="L275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7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7" authorId="0" shapeId="0">
      <text>
        <t>fires when: !ts_gdi_upgrade_sonicweaponry</t>
      </text>
    </comment>
    <comment ref="L27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8" authorId="0" shapeId="0">
      <text>
        <t>fires when: ts_gdi_upgrade_sonicweaponry</t>
      </text>
    </comment>
    <comment ref="L280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0" authorId="0" shapeId="0">
      <text>
        <t>fires when: !ts_gdi_upgrade_sonicweaponry</t>
      </text>
    </comment>
    <comment ref="L281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1" authorId="0" shapeId="0">
      <text>
        <t>fires when: ts_gdi_upgrade_sonicweaponry</t>
      </text>
    </comment>
    <comment ref="L283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3" authorId="0" shapeId="0">
      <text>
        <t>fires when: !forgotten_upgrade_chemicalweapons</t>
      </text>
    </comment>
    <comment ref="L284" authorId="0" shapeId="0">
      <text>
        <t>per-shot TOTAL across 7 main warhead(s).
raw warhead damages: 4000, 2, 12000, 6,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4" authorId="0" shapeId="0">
      <text>
        <t>fires when: forgotten_upgrade_chemicalweapons</t>
      </text>
    </comment>
    <comment ref="L286" authorId="0" shapeId="0">
      <text>
        <t>per-shot TOTAL across 6 main warhead(s).
raw warhead damages: 4000, 2,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6" authorId="0" shapeId="0">
      <text>
        <t>fires when: !forgotten_upgrade_chemicalweapons</t>
      </text>
    </comment>
    <comment ref="L287" authorId="0" shapeId="0">
      <text>
        <t>per-shot TOTAL across 7 main warhead(s).
raw warhead damages: 4000, 2, 12000, 6, 4000, 2, 4000, 2000, 2, 4000, 2000,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7" authorId="0" shapeId="0">
      <text>
        <t>fires when: forgotten_upgrade_chemicalweapons</t>
      </text>
    </comment>
    <comment ref="L289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3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3" authorId="0" shapeId="0">
      <text>
        <t>fires when: undeployed</t>
      </text>
    </comment>
    <comment ref="AB294" authorId="0" shapeId="0">
      <text>
        <t>fires when: botmicro</t>
      </text>
    </comment>
    <comment ref="L295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5" authorId="0" shapeId="0">
      <text>
        <t>fires when: !rank-elite &amp;&amp; !ra2_soviets_doctrine_nuclearmunitions &amp;&amp; !ra2_soviets_doctrine_firemunitions &amp;&amp; !ra2_soviets_doctrine_teslamunitions &amp;&amp; deployed</t>
      </text>
    </comment>
    <comment ref="L296" authorId="0" shapeId="0">
      <text>
        <t>per-shot TOTAL across 3 main warhead(s).
raw warhead damages: 36000, 18, 36000, 18, 36000, 18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6" authorId="0" shapeId="0">
      <text>
        <t>fires when: !rank-elite &amp;&amp; ra2_soviets_doctrine_nuclearmunitions &amp;&amp; deployed</t>
      </text>
    </comment>
    <comment ref="L297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7" authorId="0" shapeId="0">
      <text>
        <t>fires when: !rank-elite &amp;&amp; ra2_soviets_doctrine_firemunitions &amp;&amp; deployed</t>
      </text>
    </comment>
    <comment ref="L298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8" authorId="0" shapeId="0">
      <text>
        <t>fires when: !rank-elite &amp;&amp; ra2_soviets_doctrine_teslamunitions &amp;&amp; deployed</t>
      </text>
    </comment>
    <comment ref="L299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9" authorId="0" shapeId="0">
      <text>
        <t>fires when: rank-elite &amp;&amp; !ra2_soviets_doctrine_nuclearmunitions &amp;&amp; !ra2_soviets_doctrine_firemunitions &amp;&amp; !ra2_soviets_doctrine_teslamunitions &amp;&amp; deployed</t>
      </text>
    </comment>
    <comment ref="L300" authorId="0" shapeId="0">
      <text>
        <t>per-shot TOTAL across 4 main warhead(s).
raw warhead damages: 36000, 18, 36000, 18, 36000, 18, 36000, 18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0" authorId="0" shapeId="0">
      <text>
        <t>fires when: rank-elite &amp;&amp; ra2_soviets_doctrine_nuclearmunitions &amp;&amp; deployed</t>
      </text>
    </comment>
    <comment ref="L301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1" authorId="0" shapeId="0">
      <text>
        <t>fires when: rank-elite &amp;&amp; ra2_soviets_doctrine_firemunitions &amp;&amp; deployed</t>
      </text>
    </comment>
    <comment ref="L302" authorId="0" shapeId="0">
      <text>
        <t>per-shot TOTAL across 2 main warhead(s).
raw warhead damages: 60000, 30,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2" authorId="0" shapeId="0">
      <text>
        <t>fires when: rank-elite &amp;&amp; ra2_soviets_doctrine_teslamunitions &amp;&amp; deployed</t>
      </text>
    </comment>
    <comment ref="L30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06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6" authorId="0" shapeId="0">
      <text>
        <t>fires when: !rank-elite</t>
      </text>
    </comment>
    <comment ref="L307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7" authorId="0" shapeId="0">
      <text>
        <t>fires when: rank-elite</t>
      </text>
    </comment>
    <comment ref="L30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8" authorId="0" shapeId="0">
      <text>
        <t>fires when: asianalliance_doctrine_asianphalanx &amp;&amp; !rank-elite</t>
      </text>
    </comment>
    <comment ref="L30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09" authorId="0" shapeId="0">
      <text>
        <t>fires when: asianalliance_doctrine_asianphalanx &amp;&amp; rank-elite</t>
      </text>
    </comment>
    <comment ref="L31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3" authorId="0" shapeId="0">
      <text>
        <t>per-shot TOTAL across 2 main warhead(s).
raw warhead damages: 24000, 12, 600,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3" authorId="0" shapeId="0">
      <text>
        <t>fires when: !rank-elite</t>
      </text>
    </comment>
    <comment ref="L314" authorId="0" shapeId="0">
      <text>
        <t>per-shot TOTAL across 3 main warhead(s).
raw warhead damages: 16000, 8, 8000, 16000, 8, 600, 16000, 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4" authorId="0" shapeId="0">
      <text>
        <t>fires when: !rank-elite &amp;&amp; steelconsortium_upgrade_quantumweaponpower</t>
      </text>
    </comment>
    <comment ref="L315" authorId="0" shapeId="0">
      <text>
        <t>per-shot TOTAL across 3 main warhead(s).
raw warhead damages: 24000, 12, 12000, 24000, 12, 600,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5" authorId="0" shapeId="0">
      <text>
        <t>fires when: rank-elite</t>
      </text>
    </comment>
    <comment ref="L31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9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19" authorId="0" shapeId="0">
      <text>
        <t>fires when: !rank-elite</t>
      </text>
    </comment>
    <comment ref="L320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0" authorId="0" shapeId="0">
      <text>
        <t>fires when: rank-elite</t>
      </text>
    </comment>
    <comment ref="L321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1" authorId="0" shapeId="0">
      <text>
        <t>fires when: !rank-elite</t>
      </text>
    </comment>
    <comment ref="L322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2" authorId="0" shapeId="0">
      <text>
        <t>fires when: rank-elite</t>
      </text>
    </comment>
    <comment ref="L324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4" authorId="0" shapeId="0">
      <text>
        <t>fires when: !rank-elite &amp;&amp; !schwarzermond_upgrade_crystallens &amp;&amp; !schwarzermond_upgrade_amplifiedlens</t>
      </text>
    </comment>
    <comment ref="L325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5" authorId="0" shapeId="0">
      <text>
        <t>fires when: rank-elite &amp;&amp; !schwarzermond_upgrade_crystallens &amp;&amp; !schwarzermond_upgrade_amplifiedlens</t>
      </text>
    </comment>
    <comment ref="L326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6" authorId="0" shapeId="0">
      <text>
        <t>fires when: !rank-elite &amp;&amp; !schwarzermond_upgrade_crystallens &amp;&amp; !schwarzermond_upgrade_amplifiedlens</t>
      </text>
    </comment>
    <comment ref="L327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7" authorId="0" shapeId="0">
      <text>
        <t>fires when: rank-elite &amp;&amp; !schwarzermond_upgrade_crystallens &amp;&amp; !schwarzermond_upgrade_amplifiedlens</t>
      </text>
    </comment>
    <comment ref="L328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8" authorId="0" shapeId="0">
      <text>
        <t>fires when: !rank-elite &amp;&amp; schwarzermond_upgrade_crystallens &amp;&amp; !schwarzermond_upgrade_amplifiedlens</t>
      </text>
    </comment>
    <comment ref="L329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9" authorId="0" shapeId="0">
      <text>
        <t>fires when: rank-elite &amp;&amp; schwarzermond_upgrade_crystallens &amp;&amp; !schwarzermond_upgrade_amplifiedlens</t>
      </text>
    </comment>
    <comment ref="L330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0" authorId="0" shapeId="0">
      <text>
        <t>fires when: !rank-elite &amp;&amp; schwarzermond_upgrade_crystallens &amp;&amp; !schwarzermond_upgrade_amplifiedlens</t>
      </text>
    </comment>
    <comment ref="L331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1" authorId="0" shapeId="0">
      <text>
        <t>fires when: rank-elite &amp;&amp; schwarzermond_upgrade_crystallens &amp;&amp; !schwarzermond_upgrade_amplifiedlens</t>
      </text>
    </comment>
    <comment ref="L332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2" authorId="0" shapeId="0">
      <text>
        <t>fires when: !rank-elite &amp;&amp; schwarzermond_upgrade_amplifiedlens</t>
      </text>
    </comment>
    <comment ref="L333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3" authorId="0" shapeId="0">
      <text>
        <t>fires when: rank-elite &amp;&amp; schwarzermond_upgrade_amplifiedlens</t>
      </text>
    </comment>
    <comment ref="L334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4" authorId="0" shapeId="0">
      <text>
        <t>fires when: !rank-elite &amp;&amp; schwarzermond_upgrade_amplifiedlens</t>
      </text>
    </comment>
    <comment ref="L335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5" authorId="0" shapeId="0">
      <text>
        <t>fires when: rank-elite &amp;&amp; schwarzermond_upgrade_amplifiedlens</t>
      </text>
    </comment>
    <comment ref="L337" authorId="0" shapeId="0">
      <text>
        <t>per-shot TOTAL across 3 main warhead(s).
raw warhead damages: 16000, 8000,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38" authorId="0" shapeId="0">
      <text>
        <t>per-shot TOTAL across 6 main warhead(s).
raw warhead damages: 1000,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1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1" authorId="0" shapeId="0">
      <text>
        <t>fires when: !tkm_upgrade_cryorocketsupgrade &amp;&amp; !tkm_upgrade_twinrocketsupgrade &amp;&amp; !tkm_upgrade_incendiaryrocketsupgrade</t>
      </text>
    </comment>
    <comment ref="L34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2" authorId="0" shapeId="0">
      <text>
        <t>fires when: tkm_upgrade_cryorocketsupgrade</t>
      </text>
    </comment>
    <comment ref="L343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3" authorId="0" shapeId="0">
      <text>
        <t>fires when: tkm_upgrade_twinrocketsupgrade</t>
      </text>
    </comment>
    <comment ref="L34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4" authorId="0" shapeId="0">
      <text>
        <t>fires when: tkm_upgrade_incendiaryrocketsupgrade</t>
      </text>
    </comment>
    <comment ref="L347" authorId="0" shapeId="0">
      <text>
        <t>per-shot TOTAL across 5 main warhead(s).
raw warhead damages: 10000, 5, 10000, 6, 10000, 6, 10000, 5, 10000,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8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49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1" authorId="0" shapeId="0">
      <text>
        <t>per-shot TOTAL across 4 main warhead(s).
raw warhead damages: 6000, 3, 6000, 3, 6000, 3, 1000,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5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8" authorId="0" shapeId="0">
      <text>
        <t>per-shot TOTAL across 1 main warhead(s).
raw warhead damages: 5000, 5, 2500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5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2" authorId="0" shapeId="0">
      <text>
        <t>per-shot TOTAL across 10 main warhead(s).
raw warhead damages: 2000, 1, 2000, 1000, 1,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3" authorId="0" shapeId="0">
      <text>
        <t>per-shot TOTAL across 10 main warhead(s).
raw warhead damages: 2000, 1, 2000, 1000, 1,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5" authorId="0" shapeId="0">
      <text>
        <t>per-shot TOTAL across 11 main warhead(s).
raw warhead damages: 10000, 5, 10000, 5, 10000, 5, 10000, 5000, 5, 10000, 5, 10000, 5, 10000,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8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6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0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1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3" authorId="0" shapeId="0">
      <text>
        <t>per-shot TOTAL across 6 main warhead(s).
raw warhead damages: 2000,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7" authorId="0" shapeId="0">
      <text>
        <t>per-shot TOTAL across 4 main warhead(s).
raw warhead damages: 8000, 4000, 4, 20000, 10,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79" authorId="0" shapeId="0">
      <text>
        <t>per-shot TOTAL across 6 main warhead(s).
raw warhead damages: 2000, 1, 2000, 1, 2000, 1000, 1, 1000,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1" authorId="0" shapeId="0">
      <text>
        <t>per-shot TOTAL across 1 main warhead(s).
raw warhead damages: 14000, 7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3" authorId="0" shapeId="0">
      <text>
        <t>per-shot TOTAL across 3 main warhead(s).
raw warhead damages: 8000, 4000, 4, 8000, 4000,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5" authorId="0" shapeId="0">
      <text>
        <t>per-shot TOTAL across 4 main warhead(s).
raw warhead damages: 8000, 4000, 4,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88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0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4" authorId="0" shapeId="0">
      <text>
        <t>per-shot TOTAL across 1 main warhead(s).
raw warhead damages: 100000, 50, 50000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6" authorId="0" shapeId="0">
      <text>
        <t>per-shot TOTAL across 1 main warhead(s).
raw warhead damages: 16000, 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7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98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1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3" authorId="0" shapeId="0">
      <text>
        <t>per-shot TOTAL across 1 main warhead(s).
raw warhead damages: 16000, 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4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5" authorId="0" shapeId="0">
      <text>
        <t>per-shot TOTAL across 5 main warhead(s).
raw warhead damages: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7" authorId="0" shapeId="0">
      <text>
        <t>per-shot TOTAL across 8 main warhead(s).
raw warhead damages: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08" authorId="0" shapeId="0">
      <text>
        <t>per-shot TOTAL across 8 main warhead(s).
raw warhead damages: 2000, 1, 2000, 1, 2000, 1, 2000,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0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3" authorId="0" shapeId="0">
      <text>
        <t>per-shot TOTAL across 2 main warhead(s).
raw warhead damages: -2000, -1000, -1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7" authorId="0" shapeId="0">
      <text>
        <t>per-shot TOTAL across 1 main warhead(s).
raw warhead damages: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28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30" authorId="0" shapeId="0">
      <text>
        <t>per-shot TOTAL across 1 main warhead(s).
raw warhead damages: 20000, 10,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31" authorId="0" shapeId="0">
      <text>
        <t>per-shot TOTAL across 6 main warhead(s).
raw warhead damages: 10000, 5000, 5, 10000, 5, 10000, 5, 10000, 5, 10000, 5000,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33" authorId="0" shapeId="0">
      <text>
        <t>per-shot TOTAL across 5 main warhead(s).
raw warhead damages: 8000, 4, 8000, 4, 8000, 4, 1000,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3" authorId="0" shapeId="0">
      <text>
        <t>fires when: !ts_gdi_upgrade_sonicweaponry</t>
      </text>
    </comment>
    <comment ref="L434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4" authorId="0" shapeId="0">
      <text>
        <t>fires when: ts_gdi_upgrade_sonicweaponry</t>
      </text>
    </comment>
    <comment ref="L435" authorId="0" shapeId="0">
      <text>
        <t>per-shot TOTAL across 1 main warhead(s).
raw warhead damages: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37" authorId="0" shapeId="0">
      <text>
        <t>per-shot TOTAL across 1 main warhead(s).
raw warhead damages: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7" authorId="0" shapeId="0">
      <text>
        <t>fires when: !rank-elite &amp;&amp; !ra2_soviets_doctrine_nuclearmunitions &amp;&amp; !ra2_soviets_doctrine_firemunitions &amp;&amp; !ra2_soviets_doctrine_teslamunitions &amp;&amp; !ra2_soviets_upgrade_kirovatomicbombs</t>
      </text>
    </comment>
    <comment ref="L438" authorId="0" shapeId="0">
      <text>
        <t>per-shot TOTAL across 2 main warhead(s).
raw warhead damages: 48000, 24,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8" authorId="0" shapeId="0">
      <text>
        <t>fires when: !rank-elite &amp;&amp; ra2_soviets_doctrine_nuclearmunitions &amp;&amp; !ra2_soviets_upgrade_kirovatomicbombs</t>
      </text>
    </comment>
    <comment ref="L439" authorId="0" shapeId="0">
      <text>
        <t>per-shot TOTAL across 1 main warhead(s).
raw warhead damages: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9" authorId="0" shapeId="0">
      <text>
        <t>fires when: !rank-elite &amp;&amp; ra2_soviets_doctrine_firemunitions &amp;&amp; !ra2_soviets_upgrade_kirovatomicbombs</t>
      </text>
    </comment>
    <comment ref="L440" authorId="0" shapeId="0">
      <text>
        <t>per-shot TOTAL across 2 main warhead(s).
raw warhead damages: 80000, 40, 40000,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0" authorId="0" shapeId="0">
      <text>
        <t>fires when: !rank-elite &amp;&amp; ra2_soviets_doctrine_teslamunitions &amp;&amp; !ra2_soviets_upgrade_kirovatomicbombs</t>
      </text>
    </comment>
    <comment ref="L441" authorId="0" shapeId="0">
      <text>
        <t>per-shot TOTAL across 2 main warhead(s).
raw warhead damages: 80000, 40, 80000, 40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1" authorId="0" shapeId="0">
      <text>
        <t>fires when: (rank-elite &amp;&amp; !ra2_soviets_upgrade_kirovatomicbombs) || (!rank-elite &amp;&amp; ra2_soviets_upgrade_kirovatomicbombs)</t>
      </text>
    </comment>
    <comment ref="L442" authorId="0" shapeId="0">
      <text>
        <t>per-shot TOTAL across 2 main warhead(s).
raw warhead damages: 100000, 50, 100000, 50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2" authorId="0" shapeId="0">
      <text>
        <t>fires when: rank-elite &amp;&amp; ra2_soviets_upgrade_kirovatomicbombs</t>
      </text>
    </comment>
    <comment ref="L444" authorId="0" shapeId="0">
      <text>
        <t>per-shot TOTAL across 1 main warhead(s).
raw warhead damages: 24000, 12,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4" authorId="0" shapeId="0">
      <text>
        <t>fires when: !rank-elite</t>
      </text>
    </comment>
    <comment ref="L445" authorId="0" shapeId="0">
      <text>
        <t>per-shot TOTAL across 1 main warhead(s).
raw warhead damages: 48000, 24,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5" authorId="0" shapeId="0">
      <text>
        <t>fires when: rank-elite</t>
      </text>
    </comment>
    <comment ref="L446" authorId="0" shapeId="0">
      <text>
        <t>per-shot TOTAL across 2 main warhead(s).
raw warhead damages: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6" authorId="0" shapeId="0">
      <text>
        <t>fires when: yuri_upgrade_disksiphonattack</t>
      </text>
    </comment>
    <comment ref="L449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9" authorId="0" shapeId="0">
      <text>
        <t>fires when: !rank-elite</t>
      </text>
    </comment>
    <comment ref="L450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0" authorId="0" shapeId="0">
      <text>
        <t>fires when: rank-elite</t>
      </text>
    </comment>
    <comment ref="L451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1" authorId="0" shapeId="0">
      <text>
        <t>fires when: steelconsortium_upgrade_quantumweaponpower &amp;&amp; !rank-elite</t>
      </text>
    </comment>
    <comment ref="L452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2" authorId="0" shapeId="0">
      <text>
        <t>fires when: steelconsortium_upgrade_quantumweaponpower &amp;&amp; rank-elite</t>
      </text>
    </comment>
    <comment ref="L454" authorId="0" shapeId="0">
      <text>
        <t>per-shot TOTAL across 3 main warhead(s).
raw warhead damages: 100000, 50, 50000, 100000, 50, 50000,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5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8" authorId="0" shapeId="0">
      <text>
        <t>fires when: !rank-elite</t>
      </text>
    </comment>
    <comment ref="L45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9" authorId="0" shapeId="0">
      <text>
        <t>fires when: rank-elite</t>
      </text>
    </comment>
    <comment ref="L461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1" authorId="0" shapeId="0">
      <text>
        <t>fires when: !rank-elite</t>
      </text>
    </comment>
    <comment ref="L46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2" authorId="0" shapeId="0">
      <text>
        <t>fires when: rank-elite</t>
      </text>
    </comment>
    <comment ref="L463" authorId="0" shapeId="0">
      <text>
        <t>per-shot TOTAL across 1 main warhead(s).
raw warhead damages: 10000,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65" authorId="0" shapeId="0">
      <text>
        <t>per-shot TOTAL across 10 main warhead(s).
raw warhead damages: 4000, 2, 4000, 2, 4000, 2, 4000, 2, 4000, 2000, 2, 4000, 2000, 2, 4000, 2, 888, 4000, 2, 600, 4000, 2, 1000,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5" authorId="0" shapeId="0">
      <text>
        <t>fires when: !rank-elite</t>
      </text>
    </comment>
    <comment ref="L466" authorId="0" shapeId="0">
      <text>
        <t>per-shot TOTAL across 10 main warhead(s).
raw warhead damages: 4000, 2, 4000, 2, 4000, 2, 4000, 2, 4000, 2000, 2, 4000, 2000, 2, 4000, 2, 888, 4000, 2, 600, 4000, 2, 1000,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6" authorId="0" shapeId="0">
      <text>
        <t>fires when: rank-elite</t>
      </text>
    </comment>
    <comment ref="L467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7" authorId="0" shapeId="0">
      <text>
        <t>fires when: !rank-elite</t>
      </text>
    </comment>
    <comment ref="L468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8" authorId="0" shapeId="0">
      <text>
        <t>fires when: rank-elite</t>
      </text>
    </comment>
    <comment ref="L470" authorId="0" shapeId="0">
      <text>
        <t>per-shot TOTAL across 6 main warhead(s).
raw warhead damages: 10000, 5000, 5, 10000, 5,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4" authorId="0" shapeId="0">
      <text>
        <t>per-shot TOTAL across 3 main warhead(s).
raw warhead damages: 2000, 1000, 1,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5" authorId="0" shapeId="0">
      <text>
        <t>per-shot TOTAL across 3 main warhead(s).
raw warhead damages: 2000, 1000, 1, 2000, 1,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79" authorId="0" shapeId="0">
      <text>
        <t>per-shot TOTAL across 6 main warhead(s).
raw warhead damages: 2000,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1" authorId="0" shapeId="0">
      <text>
        <t>per-shot TOTAL across 6 main warhead(s).
raw warhead damages: 2000, 1, 2000, 1, 2000, 1, 2000, 1000,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3" authorId="0" shapeId="0">
      <text>
        <t>per-shot TOTAL across 9 main warhead(s).
raw warhead damages: 4000, 2, 4000, 2, 4000, 2, 1000, 4000, 2, 4000, 2, 4000, 2, 4000, 2, 4000, 2, 4000, 2,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4" authorId="0" shapeId="0">
      <text>
        <t>per-shot TOTAL across 9 main warhead(s).
raw warhead damages: 16000, 8, 16000, 8, 16000, 8, 1000, 16000, 8, 16000, 8, 16000, 8, 16000, 8, 16000, 8, 16000, 8,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4" authorId="0" shapeId="0">
      <text>
        <t>fires when: terran_upgrade_yamatocannonandtacticaljumpupgrade</t>
      </text>
    </comment>
    <comment ref="L486" authorId="0" shapeId="0">
      <text>
        <t>per-shot TOTAL across 8 main warhead(s).
raw warhead damages: 6000, 3, 6000, 3, 1000, 6000, 3, 6000, 3, 6000, 3, 6000, 3, 6000, 3, 6000, 3,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7" authorId="0" shapeId="0">
      <text>
        <t>per-shot TOTAL across 9 main warhead(s).
raw warhead damages: 16000, 8, 16000, 8, 16000, 8, 1000, 16000, 8, 16000, 8, 16000, 8, 16000, 8, 16000, 8, 16000, 8,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7" authorId="0" shapeId="0">
      <text>
        <t>fires when: terran_upgrade_yamatocannonandtacticaljumpupgrade</t>
      </text>
    </comment>
    <comment ref="L48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1" authorId="0" shapeId="0">
      <text>
        <t>per-shot TOTAL across 15 main warhead(s).
raw warhead damages: 2000, 1, 2000, 1, 2000, 1, 2000, 1, 2000, 1, 2000, 1,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2" authorId="0" shapeId="0">
      <text>
        <t>per-shot TOTAL across 15 main warhead(s).
raw warhead damages: 2000, 1, 2000, 1, 2000, 1, 2000, 1, 2000, 1, 2000, 1, 2000, 1, 2000, 1,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94" authorId="0" shapeId="0">
      <text>
        <t>per-shot TOTAL across 4 main warhead(s).
raw warhead damages: 10000, 5, 10000, 5, 10000,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</commentList>
</comments>
</file>

<file path=xl/comments/comment5.xml><?xml version="1.0" encoding="utf-8"?>
<comments xmlns="http://schemas.openxmlformats.org/spreadsheetml/2006/main">
  <authors>
    <author>balance-pipeline</author>
  </authors>
  <commentList>
    <comment ref="AB12" authorId="0" shapeId="0">
      <text>
        <t>fires when: !ts_nod_tiberiumwastefacility</t>
      </text>
    </comment>
    <comment ref="AB13" authorId="0" shapeId="0">
      <text>
        <t>fires when: ts_nod_tiberiumwastefacility</t>
      </text>
    </comment>
    <comment ref="L32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2" authorId="0" shapeId="0">
      <text>
        <t>fires when: !td_gdi_upgrade_armorpiercingbullets</t>
      </text>
    </comment>
    <comment ref="L33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3" authorId="0" shapeId="0">
      <text>
        <t>fires when: td_gdi_upgrade_armorpiercingbullets</t>
      </text>
    </comment>
    <comment ref="L35" authorId="0" shapeId="0">
      <text>
        <t>per-shot TOTAL across 4 main warhead(s).
raw warhead damages: 1000, 3000,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" authorId="0" shapeId="0">
      <text>
        <t>fires when: !td_nod_upgrade_blackmarketupgrades</t>
      </text>
    </comment>
    <comment ref="L36" authorId="0" shapeId="0">
      <text>
        <t>per-shot TOTAL across 6 main warhead(s).
raw warhead damages: 6000, 3, 6000, 3, 1000, 3000, 3, 6000, 3000,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6" authorId="0" shapeId="0">
      <text>
        <t>fires when: td_nod_upgrade_blackmarketupgrades</t>
      </text>
    </comment>
    <comment ref="L38" authorId="0" shapeId="0">
      <text>
        <t>per-shot TOTAL across 1 main warhead(s).
raw warhead damages: 12000, 6,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" authorId="0" shapeId="0">
      <text>
        <t>fires when: !td_nod_upgrade_elitecapacitors &amp;&amp; !td_nod_upgrade_burninglasers</t>
      </text>
    </comment>
    <comment ref="L39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9" authorId="0" shapeId="0">
      <text>
        <t>fires when: td_nod_upgrade_elitecapacitors &amp;&amp; !td_nod_upgrade_burninglasers</t>
      </text>
    </comment>
    <comment ref="L40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" authorId="0" shapeId="0">
      <text>
        <t>fires when: td_nod_upgrade_burninglasers</t>
      </text>
    </comment>
    <comment ref="L42" authorId="0" shapeId="0">
      <text>
        <t>per-shot TOTAL across 2 main warhead(s).
raw warhead damages: 4000, 1,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2" authorId="0" shapeId="0">
      <text>
        <t>fires when: !japan_upgrade_waveforcebullets</t>
      </text>
    </comment>
    <comment ref="L43" authorId="0" shapeId="0">
      <text>
        <t>per-shot TOTAL across 3 main warhead(s).
raw warhead damages: 4000, 2, 1000, 4000, 1,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3" authorId="0" shapeId="0">
      <text>
        <t>fires when: japan_upgrade_waveforcebullets</t>
      </text>
    </comment>
    <comment ref="L45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" authorId="0" shapeId="0">
      <text>
        <t>fires when: !ra1_soviets_doctrine_inferno</t>
      </text>
    </comment>
    <comment ref="L46" authorId="0" shapeId="0">
      <text>
        <t>per-shot TOTAL across 1 main warhead(s).
raw warhead damages: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6" authorId="0" shapeId="0">
      <text>
        <t>fires when: ra1_soviets_doctrine_inferno</t>
      </text>
    </comment>
    <comment ref="L48" authorId="0" shapeId="0">
      <text>
        <t>per-shot TOTAL across 2 main warhead(s).
raw warhead damages: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3" authorId="0" shapeId="0">
      <text>
        <t>per-shot TOTAL across 2 main warhead(s).
raw warhead damages: 10000, 5,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55" authorId="0" shapeId="0">
      <text>
        <t>per-shot TOTAL across 2 main warhead(s).
raw warhead damages: 10000, 5, 10000, 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5" authorId="0" shapeId="0">
      <text>
        <t>fires when: !ts_nod_upgrade_tiberiumlenses</t>
      </text>
    </comment>
    <comment ref="L56" authorId="0" shapeId="0">
      <text>
        <t>per-shot TOTAL across 2 main warhead(s).
raw warhead damages: 16000, 8, 16000, 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6" authorId="0" shapeId="0">
      <text>
        <t>fires when: ts_nod_upgrade_tiberiumlenses</t>
      </text>
    </comment>
    <comment ref="L58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8" authorId="0" shapeId="0">
      <text>
        <t>fires when: !ts_gdi_upgrade_sonicweaponry</t>
      </text>
    </comment>
    <comment ref="L59" authorId="0" shapeId="0">
      <text>
        <t>per-shot TOTAL across 2 main warhead(s).
raw warhead damages: 8000, 1, 8000,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9" authorId="0" shapeId="0">
      <text>
        <t>fires when: ts_gdi_upgrade_sonicweaponry</t>
      </text>
    </comment>
    <comment ref="L61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" authorId="0" shapeId="0">
      <text>
        <t>fires when: !forgotten_upgrade_chemicalweapons</t>
      </text>
    </comment>
    <comment ref="L62" authorId="0" shapeId="0">
      <text>
        <t>per-shot TOTAL across 3 main warhead(s).
raw warhead damages: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" authorId="0" shapeId="0">
      <text>
        <t>fires when: forgotten_upgrade_chemicalweapons</t>
      </text>
    </comment>
    <comment ref="L6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7" authorId="0" shapeId="0">
      <text>
        <t>per-shot TOTAL across 2 main warhead(s).
raw warhead damages: 2000, 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1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2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3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6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8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0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0" authorId="0" shapeId="0">
      <text>
        <t>fires when: !asianalliance_upgrade_celestialpower</t>
      </text>
    </comment>
    <comment ref="L81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1" authorId="0" shapeId="0">
      <text>
        <t>fires when: asianalliance_upgrade_celestialpower</t>
      </text>
    </comment>
    <comment ref="AB83" authorId="0" shapeId="0">
      <text>
        <t>fires when: steelconsortium_upgrade_scalpeldefenders</t>
      </text>
    </comment>
    <comment ref="L8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5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5" authorId="0" shapeId="0">
      <text>
        <t>fires when: steelconsortium_upgrade_resonanceammo</t>
      </text>
    </comment>
    <comment ref="L89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89" authorId="0" shapeId="0">
      <text>
        <t>fires when: !rank-elite</t>
      </text>
    </comment>
    <comment ref="L90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0" authorId="0" shapeId="0">
      <text>
        <t>fires when: rank-elite</t>
      </text>
    </comment>
    <comment ref="L94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5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7" authorId="0" shapeId="0">
      <text>
        <t>per-shot TOTAL across 1 main warhead(s).
raw warhead damages: 32000, 16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" authorId="0" shapeId="0">
      <text>
        <t>per-shot TOTAL across 3 main warhead(s).
raw warhead damages: 30000, 14, 30000, 14, 20000, 14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1" authorId="0" shapeId="0">
      <text>
        <t>fires when: !schwarzermond_upgrade_vrilpoweredweapons</t>
      </text>
    </comment>
    <comment ref="L102" authorId="0" shapeId="0">
      <text>
        <t>per-shot TOTAL across 4 main warhead(s).
raw warhead damages: 2000, 1, 1000, 30000, 14, 30000, 14, 20000, 14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2" authorId="0" shapeId="0">
      <text>
        <t>fires when: schwarzermond_upgrade_vrilpoweredweapons</t>
      </text>
    </comment>
    <comment ref="L104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!ifv-healer &amp;&amp; !ifv-chrono &amp;&amp; !ifv-spy &amp;&amp; !ifv-thief</t>
      </text>
    </comment>
    <comment ref="L105" authorId="0" shapeId="0">
      <text>
        <t>per-shot TOTAL across 5 main warhead(s).
raw warhead damages: 2000, 1, 2000, 1, 2000, 1, 2000, 1000,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" authorId="0" shapeId="0">
      <text>
        <t>fires when: ifv-miss</t>
      </text>
    </comment>
    <comment ref="L106" authorId="0" shapeId="0">
      <text>
        <t>per-shot TOTAL across 4 main warhead(s).
raw warhead damages: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" authorId="0" shapeId="0">
      <text>
        <t>fires when: ifv-mg || ifv-hmg || ifv-repair || ifv-ra1_allies_alliedsniper || ifv-flak || ifv-tesla || ifv-chem || ifv-fire || ifv-cannon || ifv-deso || ifv-demo || ifv-healer || ifv-chrono || ifv-spy || ifv-thief</t>
      </text>
    </comment>
    <comment ref="L107" authorId="0" shapeId="0">
      <text>
        <t>per-shot TOTAL across 5 main warhead(s).
raw warhead damages: 10000, 5000, 5, 10000, 5, 888, 10000, 5, 10000, 5000,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7" authorId="0" shapeId="0">
      <text>
        <t>fires when: ifv-hero</t>
      </text>
    </comment>
    <comment ref="L109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1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3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5" authorId="0" shapeId="0">
      <text>
        <t>per-shot TOTAL across 3 main warhead(s).
raw warhead damages: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" authorId="0" shapeId="0">
      <text>
        <t>fires when: !ixian_upgrade_tungstenneedleguns</t>
      </text>
    </comment>
    <comment ref="L11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" authorId="0" shapeId="0">
      <text>
        <t>fires when: ixian_upgrade_tungstenneedleguns</t>
      </text>
    </comment>
    <comment ref="L120" authorId="0" shapeId="0">
      <text>
        <t>per-shot TOTAL across 1 main warhead(s).
raw warhead damages: 25135,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22" authorId="0" shapeId="0">
      <text>
        <t>per-shot TOTAL across 4 main warhead(s).
raw warhead damages: 6000, 3, 6000, 3, 1000, 6000, 3, 6000, 3000,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" authorId="0" shapeId="0">
      <text>
        <t>fires when: sunken</t>
      </text>
    </comment>
    <comment ref="L123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3" authorId="0" shapeId="0">
      <text>
        <t>fires when: spore</t>
      </text>
    </comment>
    <comment ref="L125" authorId="0" shapeId="0">
      <text>
        <t>per-shot TOTAL across 4 main warhead(s).
raw warhead damages: 6000, 3, 6000, 3, 1000, 6000, 3, 6000, 3000,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5" authorId="0" shapeId="0">
      <text>
        <t>fires when: sunken</t>
      </text>
    </comment>
    <comment ref="L126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6" authorId="0" shapeId="0">
      <text>
        <t>fires when: spore</t>
      </text>
    </comment>
    <comment ref="L128" authorId="0" shapeId="0">
      <text>
        <t>per-shot TOTAL across 4 main warhead(s).
raw warhead damages: 6000, 3, 6000, 3, 1000, 6000, 3, 6000, 3000,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8" authorId="0" shapeId="0">
      <text>
        <t>fires when: sunken</t>
      </text>
    </comment>
    <comment ref="L129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9" authorId="0" shapeId="0">
      <text>
        <t>fires when: spore</t>
      </text>
    </comment>
    <comment ref="L131" authorId="0" shapeId="0">
      <text>
        <t>per-shot TOTAL across 4 main warhead(s).
raw warhead damages: 6000, 3, 6000, 3, 1000, 6000, 3, 6000, 3000,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1" authorId="0" shapeId="0">
      <text>
        <t>fires when: sunken</t>
      </text>
    </comment>
    <comment ref="L132" authorId="0" shapeId="0">
      <text>
        <t>per-shot TOTAL across 3 main warhead(s).
raw warhead damages: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2" authorId="0" shapeId="0">
      <text>
        <t>fires when: spore</t>
      </text>
    </comment>
    <comment ref="L134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4" authorId="0" shapeId="0">
      <text>
        <t>fires when: guard</t>
      </text>
    </comment>
    <comment ref="L135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5" authorId="0" shapeId="0">
      <text>
        <t>fires when: cannon</t>
      </text>
    </comment>
    <comment ref="L137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7" authorId="0" shapeId="0">
      <text>
        <t>fires when: guard</t>
      </text>
    </comment>
    <comment ref="L138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38" authorId="0" shapeId="0">
      <text>
        <t>fires when: cannon</t>
      </text>
    </comment>
    <comment ref="L140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0" authorId="0" shapeId="0">
      <text>
        <t>fires when: guard</t>
      </text>
    </comment>
    <comment ref="L141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1" authorId="0" shapeId="0">
      <text>
        <t>fires when: cannon</t>
      </text>
    </comment>
    <comment ref="L143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3" authorId="0" shapeId="0">
      <text>
        <t>fires when: guard</t>
      </text>
    </comment>
    <comment ref="L144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4" authorId="0" shapeId="0">
      <text>
        <t>fires when: cannon</t>
      </text>
    </comment>
    <comment ref="L146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6" authorId="0" shapeId="0">
      <text>
        <t>fires when: guard</t>
      </text>
    </comment>
    <comment ref="L147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7" authorId="0" shapeId="0">
      <text>
        <t>fires when: cannon</t>
      </text>
    </comment>
    <comment ref="L149" authorId="0" shapeId="0">
      <text>
        <t>per-shot TOTAL across 3 main warhead(s).
raw warhead damages: 6000, 3, 1000,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49" authorId="0" shapeId="0">
      <text>
        <t>fires when: guard</t>
      </text>
    </comment>
    <comment ref="L150" authorId="0" shapeId="0">
      <text>
        <t>per-shot TOTAL across 15 main warhead(s).
raw warhead damages: 4000, 2, 4000, 2, 4000, 2, 4000, 2, 4000, 2, 4000, 2, 4000, 2, 4000, 2, 4000, 2, 4000, 2000, 2, 4000, 2000,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0" authorId="0" shapeId="0">
      <text>
        <t>fires when: cannon</t>
      </text>
    </comment>
    <comment ref="L156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6" authorId="0" shapeId="0">
      <text>
        <t>fires when: mortar</t>
      </text>
    </comment>
    <comment ref="L157" authorId="0" shapeId="0">
      <text>
        <t>per-shot TOTAL across 2 main warhead(s).
raw warhead damages: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7" authorId="0" shapeId="0">
      <text>
        <t>fires when: mg</t>
      </text>
    </comment>
    <comment ref="L158" authorId="0" shapeId="0">
      <text>
        <t>per-shot TOTAL across 4 main warhead(s).
raw warhead damages: 1000, 1000,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58" authorId="0" shapeId="0">
      <text>
        <t>fires when: aa</t>
      </text>
    </comment>
    <comment ref="L160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0" authorId="0" shapeId="0">
      <text>
        <t>fires when: !td_gdi_upgrade_armorpiercingbullets</t>
      </text>
    </comment>
    <comment ref="L161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1" authorId="0" shapeId="0">
      <text>
        <t>fires when: td_gdi_upgrade_armorpiercingbullets</t>
      </text>
    </comment>
    <comment ref="L165" authorId="0" shapeId="0">
      <text>
        <t>per-shot TOTAL across 4 main warhead(s).
raw warhead damages: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7" authorId="0" shapeId="0">
      <text>
        <t>per-shot TOTAL across 2 main warhead(s).
raw warhead damages: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9" authorId="0" shapeId="0">
      <text>
        <t>per-shot TOTAL across 4 main warhead(s).
raw warhead damages: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1" authorId="0" shapeId="0">
      <text>
        <t>per-shot TOTAL across 1 main warhead(s).
raw warhead damages: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3" authorId="0" shapeId="0">
      <text>
        <t>per-shot TOTAL across 1 main warhead(s).
raw warhead damages: 36000, 18,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5" authorId="0" shapeId="0">
      <text>
        <t>per-shot TOTAL across 1 main warhead(s).
raw warhead damages: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5" authorId="0" shapeId="0">
      <text>
        <t>fires when: !ts_nod_upgrade_tiberiumcoremissiles</t>
      </text>
    </comment>
    <comment ref="L176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6" authorId="0" shapeId="0">
      <text>
        <t>fires when: ts_nod_upgrade_tiberiumcoremissiles</t>
      </text>
    </comment>
    <comment ref="L178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2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2" authorId="0" shapeId="0">
      <text>
        <t>fires when: !ra2_allies_upgrade_thunderboltmissiles</t>
      </text>
    </comment>
    <comment ref="L183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3" authorId="0" shapeId="0">
      <text>
        <t>fires when: ra2_allies_upgrade_thunderboltmissiles</t>
      </text>
    </comment>
    <comment ref="L18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7" authorId="0" shapeId="0">
      <text>
        <t>per-shot TOTAL across 1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89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89" authorId="0" shapeId="0">
      <text>
        <t>fires when: !asianalliance_upgrade_celestialpower</t>
      </text>
    </comment>
    <comment ref="L190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0" authorId="0" shapeId="0">
      <text>
        <t>fires when: asianalliance_upgrade_celestialpower</t>
      </text>
    </comment>
    <comment ref="AB192" authorId="0" shapeId="0">
      <text>
        <t>fires when: steelconsortium_upgrade_scalpeldefenders</t>
      </text>
    </comment>
    <comment ref="L193" authorId="0" shapeId="0">
      <text>
        <t>per-shot TOTAL across 4 main warhead(s).
raw warhead damages: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3" authorId="0" shapeId="0">
      <text>
        <t>fires when: !steelconsortium_upgrade_quantumweaponpower</t>
      </text>
    </comment>
    <comment ref="L194" authorId="0" shapeId="0">
      <text>
        <t>per-shot TOTAL across 4 main warhead(s).
raw warhead damages: 6000, 3000, 3, 6000, 3, 6000, 3, 6000, 3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4" authorId="0" shapeId="0">
      <text>
        <t>fires when: steelconsortium_upgrade_quantumweaponpower</t>
      </text>
    </comment>
    <comment ref="L19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99" authorId="0" shapeId="0">
      <text>
        <t>per-shot TOTAL across 2 main warhead(s).
raw warhead damages: 2000, 2,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1" authorId="0" shapeId="0">
      <text>
        <t>per-shot TOTAL across 4 main warhead(s).
raw warhead damages: 10000,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3" authorId="0" shapeId="0">
      <text>
        <t>per-shot TOTAL across 5 main warhead(s).
raw warhead damages: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4" authorId="0" shapeId="0">
      <text>
        <t>per-shot TOTAL across 5 main warhead(s).
raw warhead damages: 4000, 2, 4000,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07" authorId="0" shapeId="0">
      <text>
        <t>per-shot TOTAL across 7 main warhead(s).
raw warhead damages: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7" authorId="0" shapeId="0">
      <text>
        <t>fires when: !td_gdi_upgrade_advancedmissiletargeting</t>
      </text>
    </comment>
    <comment ref="L208" authorId="0" shapeId="0">
      <text>
        <t>per-shot TOTAL across 7 main warhead(s).
raw warhead damages: 2000, 1, 2000, 1000, 1, 2000, 1000, 1, 2000, 1,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8" authorId="0" shapeId="0">
      <text>
        <t>fires when: td_gdi_upgrade_advancedmissiletargeting</t>
      </text>
    </comment>
    <comment ref="L210" authorId="0" shapeId="0">
      <text>
        <t>per-shot TOTAL across 1 main warhead(s).
raw warhead damages: 96000, 48,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0" authorId="0" shapeId="0">
      <text>
        <t>fires when: !td_nod_upgrade_elitecapacitors &amp;&amp; !td_nod_upgrade_burninglasers</t>
      </text>
    </comment>
    <comment ref="L211" authorId="0" shapeId="0">
      <text>
        <t>per-shot TOTAL across 1 main warhead(s).
raw warhead damages: 96000, 48,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1" authorId="0" shapeId="0">
      <text>
        <t>fires when: td_nod_upgrade_elitecapacitors &amp;&amp; !td_nod_upgrade_burninglasers</t>
      </text>
    </comment>
    <comment ref="L212" authorId="0" shapeId="0">
      <text>
        <t>per-shot TOTAL across 2 main warhead(s).
raw warhead damages: 96000, 48, 1000,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2" authorId="0" shapeId="0">
      <text>
        <t>fires when: td_nod_upgrade_burninglasers</t>
      </text>
    </comment>
    <comment ref="L214" authorId="0" shapeId="0">
      <text>
        <t>per-shot TOTAL across 4 main warhead(s).
raw warhead damages: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15" authorId="0" shapeId="0">
      <text>
        <t>per-shot TOTAL across 1 main warhead(s).
raw warhead damages: 160000, 80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16" authorId="0" shapeId="0">
      <text>
        <t>per-shot TOTAL across 4 main warhead(s).
raw warhead damages: 10000, 5000, 5, 10000, 5, 10000, 5,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6" authorId="0" shapeId="0">
      <text>
        <t>fires when: japan_upgrade_energizedarrows</t>
      </text>
    </comment>
    <comment ref="L217" authorId="0" shapeId="0">
      <text>
        <t>per-shot TOTAL across 8 main warhead(s).
raw warhead damages: 20000, 10, 20000, 10, 20000, 10, 20000, 10000, 10, 20000, 10, 20000, 10000, 10,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17" authorId="0" shapeId="0">
      <text>
        <t>fires when: japan_upgrade_energizedarrows</t>
      </text>
    </comment>
    <comment ref="L221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1" authorId="0" shapeId="0">
      <text>
        <t>fires when: !ra1_soviets_doctrine_teslaandexperimentaltech &amp;&amp; !ra1_soviets_upgrade_teslaarcing</t>
      </text>
    </comment>
    <comment ref="L222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2" authorId="0" shapeId="0">
      <text>
        <t>fires when: ra1_soviets_doctrine_teslaandexperimentaltech &amp;&amp; !ra1_soviets_upgrade_teslaarcing</t>
      </text>
    </comment>
    <comment ref="L223" authorId="0" shapeId="0">
      <text>
        <t>per-shot TOTAL across 1 main warhead(s).
raw warhead damages: 32000, 16, 16000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3" authorId="0" shapeId="0">
      <text>
        <t>fires when: ra1_soviets_upgrade_teslaarcing</t>
      </text>
    </comment>
    <comment ref="L225" authorId="0" shapeId="0">
      <text>
        <t>per-shot TOTAL across 3 main warhead(s).
raw warhead damages: 10000, 5,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5" authorId="0" shapeId="0">
      <text>
        <t>fires when: !disabled &amp;&amp; !lowpower &amp;&amp; !ra1_allies_upgrade_cryomissiles</t>
      </text>
    </comment>
    <comment ref="L226" authorId="0" shapeId="0">
      <text>
        <t>per-shot TOTAL across 3 main warhead(s).
raw warhead damages: 10000, 5,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26" authorId="0" shapeId="0">
      <text>
        <t>fires when: !disabled &amp;&amp; !lowpower &amp;&amp; ra1_allies_upgrade_cryomissiles</t>
      </text>
    </comment>
    <comment ref="L229" authorId="0" shapeId="0">
      <text>
        <t>per-shot TOTAL across 4 main warhead(s).
raw warhead damages: 70000, 35, 70000, 35, 600, 70000, 35, 70000, 35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31" authorId="0" shapeId="0">
      <text>
        <t>per-shot TOTAL across 2 main warhead(s).
raw warhead damages: 52000, 26, 52000, 26,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1" authorId="0" shapeId="0">
      <text>
        <t>fires when: !ts_nod_upgrade_tiberiumlenses</t>
      </text>
    </comment>
    <comment ref="L232" authorId="0" shapeId="0">
      <text>
        <t>per-shot TOTAL across 2 main warhead(s).
raw warhead damages: 80000, 40, 80000, 40,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2" authorId="0" shapeId="0">
      <text>
        <t>fires when: ts_nod_upgrade_tiberiumlenses</t>
      </text>
    </comment>
    <comment ref="L234" authorId="0" shapeId="0">
      <text>
        <t>per-shot TOTAL across 2 main warhead(s).
raw warhead damages: 10000, 5000, 5, 10000, 5000,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36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6" authorId="0" shapeId="0">
      <text>
        <t>fires when: !ts_gdi_upgrade_railgunweaponry</t>
      </text>
    </comment>
    <comment ref="L237" authorId="0" shapeId="0">
      <text>
        <t>per-shot TOTAL across 3 main warhead(s).
raw warhead damages: 16000, 8, 16000, 8000, 8, 16000, 1, 1000,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7" authorId="0" shapeId="0">
      <text>
        <t>fires when: ts_gdi_upgrade_railgunweaponry</t>
      </text>
    </comment>
    <comment ref="L239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39" authorId="0" shapeId="0">
      <text>
        <t>fires when: !forgotten_upgrade_chemicalweapons</t>
      </text>
    </comment>
    <comment ref="L240" authorId="0" shapeId="0">
      <text>
        <t>per-shot TOTAL across 3 main warhead(s).
raw warhead damages: 16000, 8, 16000, 8, 16000, 8000,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0" authorId="0" shapeId="0">
      <text>
        <t>fires when: forgotten_upgrade_chemicalweapons</t>
      </text>
    </comment>
    <comment ref="L242" authorId="0" shapeId="0">
      <text>
        <t>per-shot TOTAL across 1 main warhead(s).
raw warhead damages: 48000, 24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45" authorId="0" shapeId="0">
      <text>
        <t>per-shot TOTAL across 6 main warhead(s).
raw warhead damages: 50000, 25, 50000, 25, 50000, 25, 50000, 25000, 25, 50000, 25,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47" authorId="0" shapeId="0">
      <text>
        <t>fires when: ra2_allies_upgrade_prismlinking</t>
      </text>
    </comment>
    <comment ref="L248" authorId="0" shapeId="0">
      <text>
        <t>per-shot TOTAL across 1 main warhead(s).
raw warhead damages: 32000, 16,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0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0" authorId="0" shapeId="0">
      <text>
        <t>fires when: ((!TeslaCoilCharge &amp;&amp; !unpowered) || (TeslaCoilCharge == 1 &amp;&amp; unpowered)) &amp;&amp; (!ra2_soviets_upgrade_teslaoverload &amp;&amp; !rank-elite)</t>
      </text>
    </comment>
    <comment ref="L251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1" authorId="0" shapeId="0">
      <text>
        <t>fires when: ((!TeslaCoilCharge &amp;&amp; !unpowered) || (TeslaCoilCharge == 1 &amp;&amp; unpowered)) &amp;&amp; (ra2_soviets_upgrade_teslaoverload &amp;&amp; !rank-elite) || (!ra2_soviets_upgrade_teslaoverload &amp;&amp; rank-elite)</t>
      </text>
    </comment>
    <comment ref="L252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2" authorId="0" shapeId="0">
      <text>
        <t>fires when: ((!TeslaCoilCharge &amp;&amp; !unpowered) || (TeslaCoilCharge == 1 &amp;&amp; unpowered)) &amp;&amp; (ra2_soviets_upgrade_teslaoverload &amp;&amp; rank-elite)</t>
      </text>
    </comment>
    <comment ref="L253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3" authorId="0" shapeId="0">
      <text>
        <t>fires when: ((TeslaCoilCharge &amp;&amp; !unpowered) || (TeslaCoilCharge &gt; 1 &amp;&amp; unpowered)) &amp;&amp; (!ra2_soviets_upgrade_teslaoverload &amp;&amp; !rank-elite)</t>
      </text>
    </comment>
    <comment ref="L254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4" authorId="0" shapeId="0">
      <text>
        <t>fires when: ((TeslaCoilCharge &amp;&amp; !unpowered) || (TeslaCoilCharge &gt; 1 &amp;&amp; unpowered)) &amp;&amp; (ra2_soviets_upgrade_teslaoverload &amp;&amp; !rank-elite) || (!ra2_soviets_upgrade_teslaoverload &amp;&amp; rank-elite)</t>
      </text>
    </comment>
    <comment ref="L255" authorId="0" shapeId="0">
      <text>
        <t>per-shot TOTAL across 1 main warhead(s).
raw warhead damages: 64000, 32, 32000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55" authorId="0" shapeId="0">
      <text>
        <t>fires when: ((TeslaCoilCharge &amp;&amp; !unpowered) || (TeslaCoilCharge &gt; 1 &amp;&amp; unpowered)) &amp;&amp; (ra2_soviets_upgrade_teslaoverload &amp;&amp; rank-elite)</t>
      </text>
    </comment>
    <comment ref="L261" authorId="0" shapeId="0">
      <text>
        <t>per-shot TOTAL across 8 main warhead(s).
raw warhead damages: 2000, 1, 2000, 1, 2000, 1, 2000, 1,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3" authorId="0" shapeId="0">
      <text>
        <t>per-shot TOTAL across 1 main warhead(s).
raw warhead damages: 30000, 15,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5" authorId="0" shapeId="0">
      <text>
        <t>per-shot TOTAL across 4 main warhead(s).
raw warhead damages: 4000, 1, 4000, 1, 4000, 1, 4000,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68" authorId="0" shapeId="0">
      <text>
        <t>per-shot TOTAL across 4 main warhead(s).
raw warhead damages: 250000, 125000, 125, 250000, 125, 888, 250000, 125, 600, 250000, 125,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0" authorId="0" shapeId="0">
      <text>
        <t>per-shot TOTAL across 4 main warhead(s).
raw warhead damages: 250000, 125000, 125, 250000, 125, 888, 250000, 125, 600, 250000, 125,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2" authorId="0" shapeId="0">
      <text>
        <t>fires when: steelconsortium_upgrade_scalpeldefenders</t>
      </text>
    </comment>
    <comment ref="L273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3" authorId="0" shapeId="0">
      <text>
        <t>fires when: !steelconsortium_upgrade_quantumweaponpower</t>
      </text>
    </comment>
    <comment ref="L274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4" authorId="0" shapeId="0">
      <text>
        <t>fires when: !steelconsortium_upgrade_quantumweaponpower</t>
      </text>
    </comment>
    <comment ref="L275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5" authorId="0" shapeId="0">
      <text>
        <t>fires when: steelconsortium_upgrade_quantumweaponpower</t>
      </text>
    </comment>
    <comment ref="L276" authorId="0" shapeId="0">
      <text>
        <t>per-shot TOTAL across 6 main warhead(s).
raw warhead damages: 2000, 1000, 1, 2000, 1, 2000, 1, 2000, 1, 600, 2000, 1, 1000,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6" authorId="0" shapeId="0">
      <text>
        <t>fires when: steelconsortium_upgrade_quantumweaponpower</t>
      </text>
    </comment>
    <comment ref="L280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0" authorId="0" shapeId="0">
      <text>
        <t>fires when: !schwarzermond_upgrade_crystallens &amp;&amp; !schwarzermond_upgrade_amplifiedlens</t>
      </text>
    </comment>
    <comment ref="L281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1" authorId="0" shapeId="0">
      <text>
        <t>fires when: schwarzermond_upgrade_crystallens &amp;&amp; !schwarzermond_upgrade_amplifiedlens</t>
      </text>
    </comment>
    <comment ref="L282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2" authorId="0" shapeId="0">
      <text>
        <t>fires when: schwarzermond_upgrade_amplifiedlens</t>
      </text>
    </comment>
    <comment ref="L284" authorId="0" shapeId="0">
      <text>
        <t>per-shot TOTAL across 6 main warhead(s).
raw warhead damages: 1000, 1, 2000, 1, 2000, 1, 2000, 1, 2000, 1000,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6" authorId="0" shapeId="0">
      <text>
        <t>per-shot TOTAL across 4 main warhead(s).
raw warhead damages: 12000, 6, 12000, 6,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88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0" authorId="0" shapeId="0">
      <text>
        <t>per-shot TOTAL across 4 main warhead(s).
raw warhead damages: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2" authorId="0" shapeId="0">
      <text>
        <t>per-shot TOTAL across 1 main warhead(s).
raw warhead damages: 300000, 150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4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6" authorId="0" shapeId="0">
      <text>
        <t>per-shot TOTAL across 4 main warhead(s).
raw warhead damages: 4000, 2000, 2, 4000, 2, 4000, 2, 4000,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98" authorId="0" shapeId="0">
      <text>
        <t>per-shot TOTAL across 4 main warhead(s).
raw warhead damages: 2000, 1, 2000, 1, 2000, 1, 2000, 1, 600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98" authorId="0" shapeId="0">
      <text>
        <t>fires when: !schwarzermond_upgrade_crystallens</t>
      </text>
    </comment>
  </commentList>
</comments>
</file>

<file path=xl/comments/comment6.xml><?xml version="1.0" encoding="utf-8"?>
<comments xmlns="http://schemas.openxmlformats.org/spreadsheetml/2006/main">
  <authors>
    <author>balance-pipeline</author>
  </authors>
  <commentList>
    <comment ref="L11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" authorId="0" shapeId="0">
      <text>
        <t>fires when: !td_gdi_upgrade_advancedmissiletargeting</t>
      </text>
    </comment>
    <comment ref="L12" authorId="0" shapeId="0">
      <text>
        <t>per-shot TOTAL across 1 main warhead(s).
raw warhead damages: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" authorId="0" shapeId="0">
      <text>
        <t>fires when: td_gdi_upgrade_advancedmissiletargeting</t>
      </text>
    </comment>
    <comment ref="L13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6" authorId="0" shapeId="0">
      <text>
        <t>fires when: !td_nod_upgrade_blackmarketupgrades</t>
      </text>
    </comment>
    <comment ref="L17" authorId="0" shapeId="0">
      <text>
        <t>per-shot TOTAL across 2 main warhead(s).
raw warhead damages: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7" authorId="0" shapeId="0">
      <text>
        <t>fires when: td_nod_upgrade_blackmarketupgrades</t>
      </text>
    </comment>
    <comment ref="L19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9" authorId="0" shapeId="0">
      <text>
        <t>fires when: !japan_upgrade_waveforcebullets</t>
      </text>
    </comment>
    <comment ref="L20" authorId="0" shapeId="0">
      <text>
        <t>per-shot TOTAL across 3 main warhead(s).
raw warhead damages: 2000, 1, 1000,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0" authorId="0" shapeId="0">
      <text>
        <t>fires when: japan_upgrade_waveforcebullets</t>
      </text>
    </comment>
    <comment ref="L21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2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4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5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27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7" authorId="0" shapeId="0">
      <text>
        <t>fires when: !ra1_soviets_doctrine_inferno</t>
      </text>
    </comment>
    <comment ref="L28" authorId="0" shapeId="0">
      <text>
        <t>per-shot TOTAL across 2 main warhead(s).
raw warhead damages: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28" authorId="0" shapeId="0">
      <text>
        <t>fires when: ra1_soviets_doctrine_inferno</t>
      </text>
    </comment>
    <comment ref="L30" authorId="0" shapeId="0">
      <text>
        <t>per-shot TOTAL across 1 main warhead(s).
raw warhead damages: 40000, 22,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1" authorId="0" shapeId="0">
      <text>
        <t>per-shot TOTAL across 1 main warhead(s).
raw warhead damages: 36000, 18,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32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4" authorId="0" shapeId="0">
      <text>
        <t>fires when: end_disable == 0</t>
      </text>
    </comment>
    <comment ref="L35" authorId="0" shapeId="0">
      <text>
        <t>per-shot TOTAL across 0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5" authorId="0" shapeId="0">
      <text>
        <t>fires when: end_disable &gt;= 1</t>
      </text>
    </comment>
    <comment ref="L37" authorId="0" shapeId="0">
      <text>
        <t>per-shot TOTAL across 2 main warhead(s).
raw warhead damages: 9000, 5, 9000,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7" authorId="0" shapeId="0">
      <text>
        <t>fires when: !rank-elite</t>
      </text>
    </comment>
    <comment ref="L38" authorId="0" shapeId="0">
      <text>
        <t>per-shot TOTAL across 3 main warhead(s).
raw warhead damages: 10000, 5, 10000, 5, 10000, 5, 5000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38" authorId="0" shapeId="0">
      <text>
        <t>fires when: rank-elite</t>
      </text>
    </comment>
    <comment ref="L40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0" authorId="0" shapeId="0">
      <text>
        <t>fires when: !rank-elite</t>
      </text>
    </comment>
    <comment ref="L41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1" authorId="0" shapeId="0">
      <text>
        <t>fires when: rank-elite</t>
      </text>
    </comment>
    <comment ref="L43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4" authorId="0" shapeId="0">
      <text>
        <t>per-shot TOTAL across 1 main warhead(s).
raw warhead damages: 20000,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4" authorId="0" shapeId="0">
      <text>
        <t>fires when: !forgotten_upgrade_chemicalweapons</t>
      </text>
    </comment>
    <comment ref="L45" authorId="0" shapeId="0">
      <text>
        <t>per-shot TOTAL across 2 main warhead(s).
raw warhead damages: 20000, 10000, 15, 10000,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5" authorId="0" shapeId="0">
      <text>
        <t>fires when: forgotten_upgrade_chemicalweapons</t>
      </text>
    </comment>
    <comment ref="L46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48" authorId="0" shapeId="0">
      <text>
        <t>per-shot TOTAL across 1 main warhead(s).
raw warhead damages: 24000,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8" authorId="0" shapeId="0">
      <text>
        <t>fires when: !forgotten_upgrade_chemicalweapons</t>
      </text>
    </comment>
    <comment ref="L49" authorId="0" shapeId="0">
      <text>
        <t>per-shot TOTAL across 2 main warhead(s).
raw warhead damages: 12000, 6, 24000, 12000,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49" authorId="0" shapeId="0">
      <text>
        <t>fires when: forgotten_upgrade_chemicalweapons</t>
      </text>
    </comment>
    <comment ref="L51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1" authorId="0" shapeId="0">
      <text>
        <t>fires when: !rank-elite</t>
      </text>
    </comment>
    <comment ref="L52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52" authorId="0" shapeId="0">
      <text>
        <t>fires when: rank-elite</t>
      </text>
    </comment>
    <comment ref="L55" authorId="0" shapeId="0">
      <text>
        <t>per-shot TOTAL across 2 main warhead(s).
raw warhead damages: 2000, 1,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1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1" authorId="0" shapeId="0">
      <text>
        <t>fires when: !rank-elite</t>
      </text>
    </comment>
    <comment ref="L62" authorId="0" shapeId="0">
      <text>
        <t>per-shot TOTAL across 2 main warhead(s).
raw warhead damages: 18000, 9, 18000, 9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2" authorId="0" shapeId="0">
      <text>
        <t>fires when: rank-elite</t>
      </text>
    </comment>
    <comment ref="L64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4" authorId="0" shapeId="0">
      <text>
        <t>fires when: !rank-elite</t>
      </text>
    </comment>
    <comment ref="L65" authorId="0" shapeId="0">
      <text>
        <t>per-shot TOTAL across 1 main warhead(s).
raw warhead damages: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5" authorId="0" shapeId="0">
      <text>
        <t>fires when: rank-elite</t>
      </text>
    </comment>
    <comment ref="L66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6" authorId="0" shapeId="0">
      <text>
        <t>fires when: !rank-elite</t>
      </text>
    </comment>
    <comment ref="L67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7" authorId="0" shapeId="0">
      <text>
        <t>fires when: rank-elite</t>
      </text>
    </comment>
    <comment ref="L68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69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69" authorId="0" shapeId="0">
      <text>
        <t>fires when: rank-elite</t>
      </text>
    </comment>
    <comment ref="L73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75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5" authorId="0" shapeId="0">
      <text>
        <t>fires when: !rank-elite</t>
      </text>
    </comment>
    <comment ref="L7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6" authorId="0" shapeId="0">
      <text>
        <t>fires when: rank-elite</t>
      </text>
    </comment>
    <comment ref="L78" authorId="0" shapeId="0">
      <text>
        <t>per-shot TOTAL across 3 main warhead(s).
raw warhead damages: 2000, 5, 10000, 5, 600,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8" authorId="0" shapeId="0">
      <text>
        <t>fires when: !rank-elite</t>
      </text>
    </comment>
    <comment ref="L79" authorId="0" shapeId="0">
      <text>
        <t>per-shot TOTAL across 3 main warhead(s).
raw warhead damages: 2000, 5, 10000, 5, 600, 2000, 1000,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79" authorId="0" shapeId="0">
      <text>
        <t>fires when: rank-elite</t>
      </text>
    </comment>
    <comment ref="L81" authorId="0" shapeId="0">
      <text>
        <t>per-shot TOTAL across 3 main warhead(s).
raw warhead damages: 8000, 4, 8000, 4,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3" authorId="0" shapeId="0">
      <text>
        <t>per-shot TOTAL across 2 main warhead(s).
raw warhead damages: 12000, 6, 12000, 6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6" authorId="0" shapeId="0">
      <text>
        <t>per-shot TOTAL across 1 main warhead(s).
raw warhead damages: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7" authorId="0" shapeId="0">
      <text>
        <t>per-shot TOTAL across 1 main warhead(s).
raw warhead damages: 50000, 25,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89" authorId="0" shapeId="0">
      <text>
        <t>per-shot TOTAL across 1 main warhead(s).
raw warhead damages: 120000, 60, 1000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0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2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3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4" authorId="0" shapeId="0">
      <text>
        <t>per-shot TOTAL across 1 main warhead(s).
raw warhead damages: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6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6" authorId="0" shapeId="0">
      <text>
        <t>fires when: !ra1_allies_upgrade_cryomissiles</t>
      </text>
    </comment>
    <comment ref="L97" authorId="0" shapeId="0">
      <text>
        <t>per-shot TOTAL across 1 main warhead(s).
raw warhead damages: 10000, 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97" authorId="0" shapeId="0">
      <text>
        <t>fires when: ra1_allies_upgrade_cryomissiles</t>
      </text>
    </comment>
    <comment ref="L98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99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1" authorId="0" shapeId="0">
      <text>
        <t>per-shot TOTAL across 3 main warhead(s).
raw warhead damages: 4000, 2, 4000, 2, 4000, 2000,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2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3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5" authorId="0" shapeId="0">
      <text>
        <t>per-shot TOTAL across 2 main warhead(s).
raw warhead damages: 2000, 1,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5" authorId="0" shapeId="0">
      <text>
        <t>fires when: !forgotten_upgrade_chemicalweapons</t>
      </text>
    </comment>
    <comment ref="L106" authorId="0" shapeId="0">
      <text>
        <t>per-shot TOTAL across 3 main warhead(s).
raw warhead damages: 1000, 500, 1, 16000, 8,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06" authorId="0" shapeId="0">
      <text>
        <t>fires when: forgotten_upgrade_chemicalweapons</t>
      </text>
    </comment>
    <comment ref="L107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08" authorId="0" shapeId="0">
      <text>
        <t>per-shot TOTAL across 1 main warhead(s).
raw warhead damages: 60000, 30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0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1" authorId="0" shapeId="0">
      <text>
        <t>per-shot TOTAL across 1 main warhead(s).
raw warhead damages: 30000, 15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1" authorId="0" shapeId="0">
      <text>
        <t>fires when: upra2aegismissiles</t>
      </text>
    </comment>
    <comment ref="L113" authorId="0" shapeId="0">
      <text>
        <t>per-shot TOTAL across 1 main warhead(s).
raw warhead damages: 8000, 4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4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16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6" authorId="0" shapeId="0">
      <text>
        <t>fires when: !asianalliance_upgrade_celestialpower</t>
      </text>
    </comment>
    <comment ref="L117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7" authorId="0" shapeId="0">
      <text>
        <t>fires when: asianalliance_upgrade_celestialpower</t>
      </text>
    </comment>
    <comment ref="L118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8" authorId="0" shapeId="0">
      <text>
        <t>fires when: !asianalliance_upgrade_celestialpower</t>
      </text>
    </comment>
    <comment ref="L119" authorId="0" shapeId="0">
      <text>
        <t>per-shot TOTAL across 4 main warhead(s).
raw warhead damages: 2000, 1, 2000, 1, 2000, 1000, 1, 2000, 1, 888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19" authorId="0" shapeId="0">
      <text>
        <t>fires when: asianalliance_upgrade_celestialpower</t>
      </text>
    </comment>
    <comment ref="L121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1" authorId="0" shapeId="0">
      <text>
        <t>fires when: !rank-elite</t>
      </text>
    </comment>
    <comment ref="L122" authorId="0" shapeId="0">
      <text>
        <t>per-shot TOTAL across 3 main warhead(s).
raw warhead damages: 2000,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AB122" authorId="0" shapeId="0">
      <text>
        <t>fires when: rank-elite</t>
      </text>
    </comment>
    <comment ref="L127" authorId="0" shapeId="0">
      <text>
        <t>per-shot TOTAL across 1 main warhead(s).
raw warhead damages: 50000, 25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1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2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4" authorId="0" shapeId="0">
      <text>
        <t>per-shot TOTAL across 4 main warhead(s).
raw warhead damages: 2000, 1, 2000, 1000, 1,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6" authorId="0" shapeId="0">
      <text>
        <t>per-shot TOTAL across 3 main warhead(s).
raw warhead damages: 25000, 12, 25000, 12, 25000, 12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8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39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0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1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2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4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5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6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47" authorId="0" shapeId="0">
      <text>
        <t>per-shot TOTAL across 2 main warhead(s).
raw warhead damages: 2000, 1, 2000, 1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0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1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2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3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4" authorId="0" shapeId="0">
      <text>
        <t>per-shot TOTAL across 3 main warhead(s).
raw warhead damages: 4000, 2, 4000, 2, 4000, 2000,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55" authorId="0" shapeId="0">
      <text>
        <t>per-shot TOTAL across 3 main warhead(s).
raw warhead damages: 4000, 2, 4000, 2, 4000, 2000, 2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1" authorId="0" shapeId="0">
      <text>
        <t>per-shot TOTAL across 2 main warhead(s).
raw warhead damages: 20000, 10, 20000, 10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68" authorId="0" shapeId="0">
      <text>
        <t>per-shot TOTAL across 3 main warhead(s).
raw warhead damages: 16000, 8, 16000, 8, 16000, 8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0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1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2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  <comment ref="L173" authorId="0" shapeId="0">
      <text>
        <t>per-shot TOTAL across 2 main warhead(s).
raw warhead damages: 40000, 20, 40000, 20
editing this gives every main warhead the IDENTICAL value total/N snapped to the 2000 grid (FriendlyFire + ExtraDamage twins 50%, Percentage twins 1 per 2000; ExtraDamage excluded from the total). Fine-tune the effective damage with the actor FirepowerMultiplier.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cameo_balance_by_type — generated workbench (build_workbook.py).</t>
        </is>
      </c>
    </row>
    <row r="2">
      <c r="A2" s="1" t="inlineStr">
        <is>
          <t>NEVER commit this file; regenerate from the ledger.</t>
        </is>
      </c>
    </row>
    <row r="3">
      <c r="A3" s="1" t="inlineStr">
        <is>
          <t>Formula law (formula.py, Tiger anchor O=P=Q=Cost=800):</t>
        </is>
      </c>
    </row>
    <row r="4">
      <c r="A4" s="2" t="inlineStr">
        <is>
          <t>DPS</t>
        </is>
      </c>
      <c r="B4" t="inlineStr">
        <is>
          <t>Damage*Burst/(Reload+BurstDel*(Burst-1))*FirepowerMultiplier/100</t>
        </is>
      </c>
    </row>
    <row r="5">
      <c r="A5" s="2" t="inlineStr">
        <is>
          <t>WeapClass</t>
        </is>
      </c>
      <c r="B5" t="inlineStr">
        <is>
          <t>design data only — retired from pricing 2026-08-11 (W4)</t>
        </is>
      </c>
    </row>
    <row r="6">
      <c r="A6" s="2" t="inlineStr">
        <is>
          <t>O</t>
        </is>
      </c>
      <c r="B6" t="inlineStr">
        <is>
          <t>(HP/1e5+Speed/100+Rng*Spec/5+DPS/200)*200*UC*Tier</t>
        </is>
      </c>
    </row>
    <row r="7">
      <c r="A7" s="2" t="inlineStr">
        <is>
          <t>P</t>
        </is>
      </c>
      <c r="B7" t="inlineStr">
        <is>
          <t>((HP*Speed/25000)+(Rng*Spec*DPS/2.5))*UC*Tier</t>
        </is>
      </c>
    </row>
    <row r="8">
      <c r="A8" s="2" t="inlineStr">
        <is>
          <t>Q</t>
        </is>
      </c>
      <c r="B8" t="inlineStr">
        <is>
          <t>(HP*Speed*Rng*Spec*DPS*UC*Tier)/12.5e6</t>
        </is>
      </c>
    </row>
    <row r="9">
      <c r="A9" s="2" t="inlineStr">
        <is>
          <t>Price</t>
        </is>
      </c>
      <c r="B9" t="inlineStr">
        <is>
          <t>(O+P+Q)/3   |   RangeSolve: price(range)=Cost,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E6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X3" s="6" t="n">
        <v>500</v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IFERROR(L5*MAX(N5,1)/R5*IF(ISBLANK(K3),1,K3),0)</f>
        <v/>
      </c>
      <c r="AB5" s="7" t="inlineStr"/>
    </row>
    <row r="6">
      <c r="A6" t="inlineStr">
        <is>
          <t>shared</t>
        </is>
      </c>
      <c r="B6" t="inlineStr">
        <is>
          <t>ra1_agentdelphi</t>
        </is>
      </c>
      <c r="C6" t="inlineStr">
        <is>
          <t>Agent Delphi</t>
        </is>
      </c>
      <c r="D6" s="6" t="inlineStr">
        <is>
          <t>Infantry</t>
        </is>
      </c>
      <c r="E6" s="6" t="n">
        <v>2500</v>
      </c>
      <c r="F6" s="6" t="n">
        <v>71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K6" s="6" t="n"/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Pistol</t>
        </is>
      </c>
      <c r="C7" s="7" t="inlineStr">
        <is>
          <t>Armament</t>
        </is>
      </c>
      <c r="L7" s="6" t="n">
        <v>100</v>
      </c>
      <c r="M7" s="6" t="n">
        <v>7</v>
      </c>
      <c r="N7" s="6" t="n">
        <v>1</v>
      </c>
      <c r="O7" s="6" t="n"/>
      <c r="P7" s="6" t="n">
        <v>3072</v>
      </c>
      <c r="Q7" s="6" t="n">
        <v>1</v>
      </c>
      <c r="R7">
        <f>M7+IF(N7&gt;1,N(O7)*(N7-1),0)</f>
        <v/>
      </c>
      <c r="S7">
        <f>IFERROR(L7*MAX(N7,1)/R7*IF(ISBLANK(K6),1,K6),0)</f>
        <v/>
      </c>
      <c r="AB7" s="7" t="inlineStr">
        <is>
          <t>^LightMG</t>
        </is>
      </c>
    </row>
    <row r="8">
      <c r="A8" t="inlineStr">
        <is>
          <t>shared</t>
        </is>
      </c>
      <c r="B8" t="inlineStr">
        <is>
          <t>ra1_einstein</t>
        </is>
      </c>
      <c r="C8" t="inlineStr">
        <is>
          <t>Prof. Einstein</t>
        </is>
      </c>
      <c r="D8" s="6" t="inlineStr">
        <is>
          <t>Infantry</t>
        </is>
      </c>
      <c r="E8" s="6" t="n">
        <v>2500</v>
      </c>
      <c r="F8" s="6" t="n">
        <v>71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K8" s="6" t="n"/>
      <c r="X8" s="6" t="n">
        <v>10</v>
      </c>
    </row>
    <row r="9">
      <c r="A9" t="inlineStr">
        <is>
          <t>shared</t>
        </is>
      </c>
      <c r="B9" t="inlineStr">
        <is>
          <t>ra1_engineer</t>
        </is>
      </c>
      <c r="C9" t="inlineStr">
        <is>
          <t>Engineer</t>
        </is>
      </c>
      <c r="D9" s="6" t="inlineStr">
        <is>
          <t>Infantry</t>
        </is>
      </c>
      <c r="E9" s="6" t="n">
        <v>5000</v>
      </c>
      <c r="F9" s="6" t="n">
        <v>50</v>
      </c>
      <c r="G9" t="inlineStr">
        <is>
          <t>None</t>
        </is>
      </c>
      <c r="H9" s="6" t="n">
        <v>1</v>
      </c>
      <c r="I9" s="6" t="n">
        <v>1</v>
      </c>
      <c r="J9" s="6" t="n">
        <v>1</v>
      </c>
      <c r="K9" s="6" t="n"/>
      <c r="X9" s="6" t="n">
        <v>500</v>
      </c>
    </row>
    <row r="10">
      <c r="B10" s="7" t="inlineStr">
        <is>
          <t xml:space="preserve">  ↳ DefuseKit</t>
        </is>
      </c>
      <c r="C10" s="7" t="inlineStr">
        <is>
          <t>Armament@defuse</t>
        </is>
      </c>
      <c r="L10" s="6" t="n"/>
      <c r="M10" s="6" t="n">
        <v>20</v>
      </c>
      <c r="N10" s="6" t="n">
        <v>1</v>
      </c>
      <c r="O10" s="6" t="n"/>
      <c r="P10" s="6" t="n">
        <v>1536</v>
      </c>
      <c r="Q10" s="6" t="n">
        <v>1</v>
      </c>
      <c r="R10">
        <f>M10+IF(N10&gt;1,N(O10)*(N10-1),0)</f>
        <v/>
      </c>
      <c r="S10">
        <f>IFERROR(L10*MAX(N10,1)/R10*IF(ISBLANK(K9),1,K9),0)</f>
        <v/>
      </c>
      <c r="AB10" s="7" t="inlineStr">
        <is>
          <t>^RemovesIvanBombs, ^RemovesTerrorDrone</t>
        </is>
      </c>
    </row>
    <row r="11">
      <c r="B11" s="7" t="inlineStr">
        <is>
          <t xml:space="preserve">  ↳ LeechDisinfect</t>
        </is>
      </c>
      <c r="C11" s="7" t="inlineStr">
        <is>
          <t>Armament@leechdisinfect</t>
        </is>
      </c>
      <c r="L11" s="6" t="n"/>
      <c r="M11" s="6" t="n">
        <v>100</v>
      </c>
      <c r="N11" s="6" t="n">
        <v>1</v>
      </c>
      <c r="O11" s="6" t="n"/>
      <c r="P11" s="6" t="n">
        <v>1536</v>
      </c>
      <c r="Q11" s="6" t="n">
        <v>1</v>
      </c>
      <c r="R11">
        <f>M11+IF(N11&gt;1,N(O11)*(N11-1),0)</f>
        <v/>
      </c>
      <c r="S11">
        <f>IFERROR(L11*MAX(N11,1)/R11*IF(ISBLANK(K9),1,K9),0)</f>
        <v/>
      </c>
      <c r="AB11" s="7" t="inlineStr"/>
    </row>
    <row r="12">
      <c r="A12" t="inlineStr">
        <is>
          <t>shared</t>
        </is>
      </c>
      <c r="B12" t="inlineStr">
        <is>
          <t>ra1_general</t>
        </is>
      </c>
      <c r="C12" t="inlineStr">
        <is>
          <t>General</t>
        </is>
      </c>
      <c r="D12" s="6" t="inlineStr">
        <is>
          <t>Infantry</t>
        </is>
      </c>
      <c r="E12" s="6" t="n">
        <v>2500</v>
      </c>
      <c r="F12" s="6" t="n">
        <v>56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K12" s="6" t="n"/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10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Pistol</t>
        </is>
      </c>
      <c r="C13" s="7" t="inlineStr">
        <is>
          <t>Armament</t>
        </is>
      </c>
      <c r="L13" s="6" t="n">
        <v>100</v>
      </c>
      <c r="M13" s="6" t="n">
        <v>7</v>
      </c>
      <c r="N13" s="6" t="n">
        <v>1</v>
      </c>
      <c r="O13" s="6" t="n"/>
      <c r="P13" s="6" t="n">
        <v>3072</v>
      </c>
      <c r="Q13" s="6" t="n">
        <v>1</v>
      </c>
      <c r="R13">
        <f>M13+IF(N13&gt;1,N(O13)*(N13-1),0)</f>
        <v/>
      </c>
      <c r="S13">
        <f>IFERROR(L13*MAX(N13,1)/R13*IF(ISBLANK(K12),1,K12),0)</f>
        <v/>
      </c>
      <c r="AB13" s="7" t="inlineStr">
        <is>
          <t>^LightMG</t>
        </is>
      </c>
    </row>
    <row r="14">
      <c r="A14" t="inlineStr">
        <is>
          <t>shared</t>
        </is>
      </c>
      <c r="B14" t="inlineStr">
        <is>
          <t>ra1_scientist</t>
        </is>
      </c>
      <c r="C14" t="inlineStr">
        <is>
          <t>Scientist</t>
        </is>
      </c>
      <c r="D14" s="6" t="inlineStr">
        <is>
          <t>Infantry</t>
        </is>
      </c>
      <c r="E14" s="6" t="n">
        <v>2500</v>
      </c>
      <c r="F14" s="6" t="n">
        <v>56</v>
      </c>
      <c r="G14" t="inlineStr">
        <is>
          <t>None</t>
        </is>
      </c>
      <c r="H14" s="6" t="n">
        <v>1</v>
      </c>
      <c r="I14" s="6" t="n">
        <v>1</v>
      </c>
      <c r="J14" s="6" t="n">
        <v>1</v>
      </c>
      <c r="K14" s="6" t="n"/>
      <c r="X14" s="6" t="n">
        <v>500</v>
      </c>
    </row>
    <row r="15">
      <c r="A15" t="inlineStr">
        <is>
          <t>shared</t>
        </is>
      </c>
      <c r="B15" t="inlineStr">
        <is>
          <t>ra1_technician</t>
        </is>
      </c>
      <c r="C15" t="inlineStr">
        <is>
          <t>Technician</t>
        </is>
      </c>
      <c r="D15" s="6" t="inlineStr">
        <is>
          <t>Infantry</t>
        </is>
      </c>
      <c r="E15" s="6" t="n">
        <v>2500</v>
      </c>
      <c r="F15" s="6" t="n">
        <v>56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K15" s="6" t="n"/>
      <c r="P15">
        <f>MAX(P16)</f>
        <v/>
      </c>
      <c r="S15">
        <f>S16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Pistol</t>
        </is>
      </c>
      <c r="C16" s="7" t="inlineStr">
        <is>
          <t>Armament</t>
        </is>
      </c>
      <c r="L16" s="6" t="n">
        <v>100</v>
      </c>
      <c r="M16" s="6" t="n">
        <v>7</v>
      </c>
      <c r="N16" s="6" t="n">
        <v>1</v>
      </c>
      <c r="O16" s="6" t="n"/>
      <c r="P16" s="6" t="n">
        <v>3072</v>
      </c>
      <c r="Q16" s="6" t="n">
        <v>1</v>
      </c>
      <c r="R16">
        <f>M16+IF(N16&gt;1,N(O16)*(N16-1),0)</f>
        <v/>
      </c>
      <c r="S16">
        <f>IFERROR(L16*MAX(N16,1)/R16*IF(ISBLANK(K15),1,K15),0)</f>
        <v/>
      </c>
      <c r="AB16" s="7" t="inlineStr">
        <is>
          <t>^LightMG</t>
        </is>
      </c>
    </row>
    <row r="17">
      <c r="A17" t="inlineStr">
        <is>
          <t>redalert2</t>
        </is>
      </c>
      <c r="B17" t="inlineStr">
        <is>
          <t>ra2_allies_engineer</t>
        </is>
      </c>
      <c r="C17" t="inlineStr">
        <is>
          <t>Engineer</t>
        </is>
      </c>
      <c r="D17" s="6" t="inlineStr">
        <is>
          <t>Infantry</t>
        </is>
      </c>
      <c r="E17" s="6" t="n">
        <v>5000</v>
      </c>
      <c r="F17" s="6" t="n">
        <v>50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K17" s="6" t="n"/>
      <c r="X17" s="6" t="n">
        <v>500</v>
      </c>
    </row>
    <row r="18">
      <c r="B18" s="7" t="inlineStr">
        <is>
          <t xml:space="preserve">  ↳ DefuseKit</t>
        </is>
      </c>
      <c r="C18" s="7" t="inlineStr">
        <is>
          <t>Armament@defuse</t>
        </is>
      </c>
      <c r="L18" s="6" t="n"/>
      <c r="M18" s="6" t="n">
        <v>20</v>
      </c>
      <c r="N18" s="6" t="n">
        <v>1</v>
      </c>
      <c r="O18" s="6" t="n"/>
      <c r="P18" s="6" t="n">
        <v>1536</v>
      </c>
      <c r="Q18" s="6" t="n">
        <v>1</v>
      </c>
      <c r="R18">
        <f>M18+IF(N18&gt;1,N(O18)*(N18-1),0)</f>
        <v/>
      </c>
      <c r="S18">
        <f>IFERROR(L18*MAX(N18,1)/R18*IF(ISBLANK(K17),1,K17),0)</f>
        <v/>
      </c>
      <c r="AB18" s="7" t="inlineStr">
        <is>
          <t>^RemovesIvanBombs, ^RemovesTerrorDrone</t>
        </is>
      </c>
    </row>
    <row r="19">
      <c r="B19" s="7" t="inlineStr">
        <is>
          <t xml:space="preserve">  ↳ LeechDisinfect</t>
        </is>
      </c>
      <c r="C19" s="7" t="inlineStr">
        <is>
          <t>Armament@leechdisinfect</t>
        </is>
      </c>
      <c r="L19" s="6" t="n"/>
      <c r="M19" s="6" t="n">
        <v>100</v>
      </c>
      <c r="N19" s="6" t="n">
        <v>1</v>
      </c>
      <c r="O19" s="6" t="n"/>
      <c r="P19" s="6" t="n">
        <v>1536</v>
      </c>
      <c r="Q19" s="6" t="n">
        <v>1</v>
      </c>
      <c r="R19">
        <f>M19+IF(N19&gt;1,N(O19)*(N19-1),0)</f>
        <v/>
      </c>
      <c r="S19">
        <f>IFERROR(L19*MAX(N19,1)/R19*IF(ISBLANK(K17),1,K17),0)</f>
        <v/>
      </c>
      <c r="AB19" s="7" t="inlineStr"/>
    </row>
    <row r="20">
      <c r="A20" t="inlineStr">
        <is>
          <t>redalert2</t>
        </is>
      </c>
      <c r="B20" t="inlineStr">
        <is>
          <t>ra2_soviets_engineer</t>
        </is>
      </c>
      <c r="C20" t="inlineStr">
        <is>
          <t>Engineer</t>
        </is>
      </c>
      <c r="D20" s="6" t="inlineStr">
        <is>
          <t>Infantry</t>
        </is>
      </c>
      <c r="E20" s="6" t="n">
        <v>5000</v>
      </c>
      <c r="F20" s="6" t="n">
        <v>50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K20" s="6" t="n"/>
      <c r="X20" s="6" t="n">
        <v>500</v>
      </c>
    </row>
    <row r="21">
      <c r="B21" s="7" t="inlineStr">
        <is>
          <t xml:space="preserve">  ↳ DefuseKit</t>
        </is>
      </c>
      <c r="C21" s="7" t="inlineStr">
        <is>
          <t>Armament@defuse</t>
        </is>
      </c>
      <c r="L21" s="6" t="n"/>
      <c r="M21" s="6" t="n">
        <v>20</v>
      </c>
      <c r="N21" s="6" t="n">
        <v>1</v>
      </c>
      <c r="O21" s="6" t="n"/>
      <c r="P21" s="6" t="n">
        <v>1536</v>
      </c>
      <c r="Q21" s="6" t="n">
        <v>1</v>
      </c>
      <c r="R21">
        <f>M21+IF(N21&gt;1,N(O21)*(N21-1),0)</f>
        <v/>
      </c>
      <c r="S21">
        <f>IFERROR(L21*MAX(N21,1)/R21*IF(ISBLANK(K20),1,K20),0)</f>
        <v/>
      </c>
      <c r="AB21" s="7" t="inlineStr">
        <is>
          <t>^RemovesIvanBombs, ^RemovesTerrorDrone</t>
        </is>
      </c>
    </row>
    <row r="22">
      <c r="B22" s="7" t="inlineStr">
        <is>
          <t xml:space="preserve">  ↳ LeechDisinfect</t>
        </is>
      </c>
      <c r="C22" s="7" t="inlineStr">
        <is>
          <t>Armament@leechdisinfect</t>
        </is>
      </c>
      <c r="L22" s="6" t="n"/>
      <c r="M22" s="6" t="n">
        <v>100</v>
      </c>
      <c r="N22" s="6" t="n">
        <v>1</v>
      </c>
      <c r="O22" s="6" t="n"/>
      <c r="P22" s="6" t="n">
        <v>1536</v>
      </c>
      <c r="Q22" s="6" t="n">
        <v>1</v>
      </c>
      <c r="R22">
        <f>M22+IF(N22&gt;1,N(O22)*(N22-1),0)</f>
        <v/>
      </c>
      <c r="S22">
        <f>IFERROR(L22*MAX(N22,1)/R22*IF(ISBLANK(K20),1,K20),0)</f>
        <v/>
      </c>
      <c r="AB22" s="7" t="inlineStr"/>
    </row>
    <row r="23">
      <c r="A23" t="inlineStr">
        <is>
          <t>redalert2</t>
        </is>
      </c>
      <c r="B23" t="inlineStr">
        <is>
          <t>yuri_engineer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X23" s="6" t="n">
        <v>500</v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L24" s="6" t="n"/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M24+IF(N24&gt;1,N(O24)*(N24-1),0)</f>
        <v/>
      </c>
      <c r="S24">
        <f>IFERROR(L24*MAX(N24,1)/R24*IF(ISBLANK(K23),1,K23),0)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L25" s="6" t="n"/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M25+IF(N25&gt;1,N(O25)*(N25-1),0)</f>
        <v/>
      </c>
      <c r="S25">
        <f>IFERROR(L25*MAX(N25,1)/R25*IF(ISBLANK(K23),1,K23),0)</f>
        <v/>
      </c>
      <c r="AB25" s="7" t="inlineStr"/>
    </row>
    <row r="26">
      <c r="A26" t="inlineStr">
        <is>
          <t>redalert2mod</t>
        </is>
      </c>
      <c r="B26" t="inlineStr">
        <is>
          <t>asianalliance_engineer</t>
        </is>
      </c>
      <c r="C26" t="inlineStr">
        <is>
          <t>Engineer</t>
        </is>
      </c>
      <c r="D26" s="6" t="inlineStr">
        <is>
          <t>Infantry</t>
        </is>
      </c>
      <c r="E26" s="6" t="n">
        <v>5000</v>
      </c>
      <c r="F26" s="6" t="n">
        <v>50</v>
      </c>
      <c r="G26" t="inlineStr">
        <is>
          <t>None</t>
        </is>
      </c>
      <c r="H26" s="6" t="n">
        <v>1</v>
      </c>
      <c r="I26" s="6" t="n">
        <v>1</v>
      </c>
      <c r="J26" s="6" t="n">
        <v>1</v>
      </c>
      <c r="K26" s="6" t="n"/>
      <c r="X26" s="6" t="n">
        <v>500</v>
      </c>
    </row>
    <row r="27">
      <c r="B27" s="7" t="inlineStr">
        <is>
          <t xml:space="preserve">  ↳ DefuseKit</t>
        </is>
      </c>
      <c r="C27" s="7" t="inlineStr">
        <is>
          <t>Armament@defuse</t>
        </is>
      </c>
      <c r="L27" s="6" t="n"/>
      <c r="M27" s="6" t="n">
        <v>20</v>
      </c>
      <c r="N27" s="6" t="n">
        <v>1</v>
      </c>
      <c r="O27" s="6" t="n"/>
      <c r="P27" s="6" t="n">
        <v>1536</v>
      </c>
      <c r="Q27" s="6" t="n">
        <v>1</v>
      </c>
      <c r="R27">
        <f>M27+IF(N27&gt;1,N(O27)*(N27-1),0)</f>
        <v/>
      </c>
      <c r="S27">
        <f>IFERROR(L27*MAX(N27,1)/R27*IF(ISBLANK(K26),1,K26),0)</f>
        <v/>
      </c>
      <c r="AB27" s="7" t="inlineStr">
        <is>
          <t>^RemovesIvanBombs, ^RemovesTerrorDrone</t>
        </is>
      </c>
    </row>
    <row r="28">
      <c r="B28" s="7" t="inlineStr">
        <is>
          <t xml:space="preserve">  ↳ LeechDisinfect</t>
        </is>
      </c>
      <c r="C28" s="7" t="inlineStr">
        <is>
          <t>Armament@leechdisinfect</t>
        </is>
      </c>
      <c r="L28" s="6" t="n"/>
      <c r="M28" s="6" t="n">
        <v>100</v>
      </c>
      <c r="N28" s="6" t="n">
        <v>1</v>
      </c>
      <c r="O28" s="6" t="n"/>
      <c r="P28" s="6" t="n">
        <v>1536</v>
      </c>
      <c r="Q28" s="6" t="n">
        <v>1</v>
      </c>
      <c r="R28">
        <f>M28+IF(N28&gt;1,N(O28)*(N28-1),0)</f>
        <v/>
      </c>
      <c r="S28">
        <f>IFERROR(L28*MAX(N28,1)/R28*IF(ISBLANK(K26),1,K26),0)</f>
        <v/>
      </c>
      <c r="AB28" s="7" t="inlineStr"/>
    </row>
    <row r="29">
      <c r="A29" t="inlineStr">
        <is>
          <t>redalert2mod</t>
        </is>
      </c>
      <c r="B29" t="inlineStr">
        <is>
          <t>steelconsortium_engineer</t>
        </is>
      </c>
      <c r="C29" t="inlineStr">
        <is>
          <t>Engineer</t>
        </is>
      </c>
      <c r="D29" s="6" t="inlineStr">
        <is>
          <t>Infantry</t>
        </is>
      </c>
      <c r="E29" s="6" t="n">
        <v>5000</v>
      </c>
      <c r="F29" s="6" t="n">
        <v>50</v>
      </c>
      <c r="G29" t="inlineStr">
        <is>
          <t>None</t>
        </is>
      </c>
      <c r="H29" s="6" t="n">
        <v>1</v>
      </c>
      <c r="I29" s="6" t="n">
        <v>1</v>
      </c>
      <c r="J29" s="6" t="n">
        <v>1</v>
      </c>
      <c r="K29" s="6" t="n"/>
      <c r="X29" s="6" t="n">
        <v>500</v>
      </c>
    </row>
    <row r="30">
      <c r="B30" s="7" t="inlineStr">
        <is>
          <t xml:space="preserve">  ↳ DefuseKit</t>
        </is>
      </c>
      <c r="C30" s="7" t="inlineStr">
        <is>
          <t>Armament@defuse</t>
        </is>
      </c>
      <c r="L30" s="6" t="n"/>
      <c r="M30" s="6" t="n">
        <v>20</v>
      </c>
      <c r="N30" s="6" t="n">
        <v>1</v>
      </c>
      <c r="O30" s="6" t="n"/>
      <c r="P30" s="6" t="n">
        <v>1536</v>
      </c>
      <c r="Q30" s="6" t="n">
        <v>1</v>
      </c>
      <c r="R30">
        <f>M30+IF(N30&gt;1,N(O30)*(N30-1),0)</f>
        <v/>
      </c>
      <c r="S30">
        <f>IFERROR(L30*MAX(N30,1)/R30*IF(ISBLANK(K29),1,K29),0)</f>
        <v/>
      </c>
      <c r="AB30" s="7" t="inlineStr">
        <is>
          <t>^RemovesIvanBombs, ^RemovesTerrorDrone</t>
        </is>
      </c>
    </row>
    <row r="31">
      <c r="B31" s="7" t="inlineStr">
        <is>
          <t xml:space="preserve">  ↳ LeechDisinfect</t>
        </is>
      </c>
      <c r="C31" s="7" t="inlineStr">
        <is>
          <t>Armament@leechdisinfect</t>
        </is>
      </c>
      <c r="L31" s="6" t="n"/>
      <c r="M31" s="6" t="n">
        <v>100</v>
      </c>
      <c r="N31" s="6" t="n">
        <v>1</v>
      </c>
      <c r="O31" s="6" t="n"/>
      <c r="P31" s="6" t="n">
        <v>1536</v>
      </c>
      <c r="Q31" s="6" t="n">
        <v>1</v>
      </c>
      <c r="R31">
        <f>M31+IF(N31&gt;1,N(O31)*(N31-1),0)</f>
        <v/>
      </c>
      <c r="S31">
        <f>IFERROR(L31*MAX(N31,1)/R31*IF(ISBLANK(K29),1,K29),0)</f>
        <v/>
      </c>
      <c r="AB31" s="7" t="inlineStr"/>
    </row>
    <row r="32">
      <c r="A32" t="inlineStr">
        <is>
          <t>redalert2mod</t>
        </is>
      </c>
      <c r="B32" t="inlineStr">
        <is>
          <t>latinsyndicate_engineer</t>
        </is>
      </c>
      <c r="C32" t="inlineStr">
        <is>
          <t>Engineer</t>
        </is>
      </c>
      <c r="D32" s="6" t="inlineStr">
        <is>
          <t>Infantry</t>
        </is>
      </c>
      <c r="E32" s="6" t="n">
        <v>5000</v>
      </c>
      <c r="F32" s="6" t="n">
        <v>50</v>
      </c>
      <c r="G32" t="inlineStr">
        <is>
          <t>None</t>
        </is>
      </c>
      <c r="H32" s="6" t="n">
        <v>1</v>
      </c>
      <c r="I32" s="6" t="n">
        <v>1</v>
      </c>
      <c r="J32" s="6" t="n">
        <v>1</v>
      </c>
      <c r="K32" s="6" t="n"/>
      <c r="X32" s="6" t="n">
        <v>500</v>
      </c>
    </row>
    <row r="33">
      <c r="B33" s="7" t="inlineStr">
        <is>
          <t xml:space="preserve">  ↳ DefuseKit</t>
        </is>
      </c>
      <c r="C33" s="7" t="inlineStr">
        <is>
          <t>Armament@defuse</t>
        </is>
      </c>
      <c r="L33" s="6" t="n"/>
      <c r="M33" s="6" t="n">
        <v>20</v>
      </c>
      <c r="N33" s="6" t="n">
        <v>1</v>
      </c>
      <c r="O33" s="6" t="n"/>
      <c r="P33" s="6" t="n">
        <v>1536</v>
      </c>
      <c r="Q33" s="6" t="n">
        <v>1</v>
      </c>
      <c r="R33">
        <f>M33+IF(N33&gt;1,N(O33)*(N33-1),0)</f>
        <v/>
      </c>
      <c r="S33">
        <f>IFERROR(L33*MAX(N33,1)/R33*IF(ISBLANK(K32),1,K32),0)</f>
        <v/>
      </c>
      <c r="AB33" s="7" t="inlineStr">
        <is>
          <t>^RemovesIvanBombs, ^RemovesTerrorDrone</t>
        </is>
      </c>
    </row>
    <row r="34">
      <c r="B34" s="7" t="inlineStr">
        <is>
          <t xml:space="preserve">  ↳ LeechDisinfect</t>
        </is>
      </c>
      <c r="C34" s="7" t="inlineStr">
        <is>
          <t>Armament@leechdisinfect</t>
        </is>
      </c>
      <c r="L34" s="6" t="n"/>
      <c r="M34" s="6" t="n">
        <v>100</v>
      </c>
      <c r="N34" s="6" t="n">
        <v>1</v>
      </c>
      <c r="O34" s="6" t="n"/>
      <c r="P34" s="6" t="n">
        <v>1536</v>
      </c>
      <c r="Q34" s="6" t="n">
        <v>1</v>
      </c>
      <c r="R34">
        <f>M34+IF(N34&gt;1,N(O34)*(N34-1),0)</f>
        <v/>
      </c>
      <c r="S34">
        <f>IFERROR(L34*MAX(N34,1)/R34*IF(ISBLANK(K32),1,K32),0)</f>
        <v/>
      </c>
      <c r="AB34" s="7" t="inlineStr"/>
    </row>
    <row r="35">
      <c r="A35" t="inlineStr">
        <is>
          <t>redalert2mod</t>
        </is>
      </c>
      <c r="B35" t="inlineStr">
        <is>
          <t>hole.nax2</t>
        </is>
      </c>
      <c r="C35" t="inlineStr">
        <is>
          <t>Black Hole</t>
        </is>
      </c>
      <c r="D35" s="6" t="inlineStr">
        <is>
          <t>Infantry</t>
        </is>
      </c>
      <c r="E35" s="6" t="n">
        <v>2400</v>
      </c>
      <c r="F35" s="6" t="n">
        <v>5</v>
      </c>
      <c r="G35" t="inlineStr">
        <is>
          <t>Shield</t>
        </is>
      </c>
      <c r="H35" s="6" t="n">
        <v>1</v>
      </c>
      <c r="I35" s="6" t="n">
        <v>1</v>
      </c>
      <c r="J35" s="6" t="n">
        <v>1</v>
      </c>
      <c r="K35" s="6" t="n"/>
      <c r="P35">
        <f>MAX(P36)</f>
        <v/>
      </c>
      <c r="S35">
        <f>S36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NaxiBlackholeShoot</t>
        </is>
      </c>
      <c r="C36" s="7" t="inlineStr">
        <is>
          <t>Armament</t>
        </is>
      </c>
      <c r="L36" s="6" t="n">
        <v>2000</v>
      </c>
      <c r="M36" s="6" t="n">
        <v>5</v>
      </c>
      <c r="N36" s="6" t="n">
        <v>1</v>
      </c>
      <c r="O36" s="6" t="n"/>
      <c r="P36" s="6" t="n">
        <v>5000</v>
      </c>
      <c r="Q36" s="6" t="n">
        <v>1.25</v>
      </c>
      <c r="R36">
        <f>M36+IF(N36&gt;1,N(O36)*(N36-1),0)</f>
        <v/>
      </c>
      <c r="S36">
        <f>IFERROR(L36*MAX(N36,1)/R36*IF(ISBLANK(K35),1,K35),0)</f>
        <v/>
      </c>
      <c r="AB36" s="7" t="inlineStr">
        <is>
          <t>^Warhead_CannonHE_Heavy</t>
        </is>
      </c>
    </row>
    <row r="37">
      <c r="A37" t="inlineStr">
        <is>
          <t>redalert2mod</t>
        </is>
      </c>
      <c r="B37" t="inlineStr">
        <is>
          <t>hole_small.nax2</t>
        </is>
      </c>
      <c r="C37" t="inlineStr">
        <is>
          <t>Black Hole</t>
        </is>
      </c>
      <c r="D37" s="6" t="inlineStr">
        <is>
          <t>Infantry</t>
        </is>
      </c>
      <c r="E37" s="6" t="n">
        <v>25000</v>
      </c>
      <c r="F37" s="6" t="n">
        <v>5</v>
      </c>
      <c r="G37" t="inlineStr">
        <is>
          <t>Shield</t>
        </is>
      </c>
      <c r="H37" s="6" t="n">
        <v>1</v>
      </c>
      <c r="I37" s="6" t="n">
        <v>1</v>
      </c>
      <c r="J37" s="6" t="n">
        <v>1</v>
      </c>
      <c r="K37" s="6" t="n"/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NaxiBlackholeShoot</t>
        </is>
      </c>
      <c r="C38" s="7" t="inlineStr">
        <is>
          <t>Armament</t>
        </is>
      </c>
      <c r="L38" s="6" t="n">
        <v>2000</v>
      </c>
      <c r="M38" s="6" t="n">
        <v>5</v>
      </c>
      <c r="N38" s="6" t="n">
        <v>1</v>
      </c>
      <c r="O38" s="6" t="n"/>
      <c r="P38" s="6" t="n">
        <v>5000</v>
      </c>
      <c r="Q38" s="6" t="n">
        <v>1.25</v>
      </c>
      <c r="R38">
        <f>M38+IF(N38&gt;1,N(O38)*(N38-1),0)</f>
        <v/>
      </c>
      <c r="S38">
        <f>IFERROR(L38*MAX(N38,1)/R38*IF(ISBLANK(K37),1,K37),0)</f>
        <v/>
      </c>
      <c r="AB38" s="7" t="inlineStr">
        <is>
          <t>^Warhead_CannonHE_Heavy</t>
        </is>
      </c>
    </row>
    <row r="39">
      <c r="A39" t="inlineStr">
        <is>
          <t>redalert2mod</t>
        </is>
      </c>
      <c r="B39" t="inlineStr">
        <is>
          <t>futuretech_engineer</t>
        </is>
      </c>
      <c r="C39" t="inlineStr">
        <is>
          <t>Engineer</t>
        </is>
      </c>
      <c r="D39" s="6" t="inlineStr">
        <is>
          <t>Infantry</t>
        </is>
      </c>
      <c r="E39" s="6" t="n">
        <v>5000</v>
      </c>
      <c r="F39" s="6" t="n">
        <v>50</v>
      </c>
      <c r="G39" t="inlineStr">
        <is>
          <t>None</t>
        </is>
      </c>
      <c r="H39" s="6" t="n">
        <v>1</v>
      </c>
      <c r="I39" s="6" t="n">
        <v>1</v>
      </c>
      <c r="J39" s="6" t="n">
        <v>1</v>
      </c>
      <c r="K39" s="6" t="n"/>
      <c r="X39" s="6" t="n">
        <v>500</v>
      </c>
    </row>
    <row r="40">
      <c r="B40" s="7" t="inlineStr">
        <is>
          <t xml:space="preserve">  ↳ DefuseKit</t>
        </is>
      </c>
      <c r="C40" s="7" t="inlineStr">
        <is>
          <t>Armament@defuse</t>
        </is>
      </c>
      <c r="L40" s="6" t="n"/>
      <c r="M40" s="6" t="n">
        <v>20</v>
      </c>
      <c r="N40" s="6" t="n">
        <v>1</v>
      </c>
      <c r="O40" s="6" t="n"/>
      <c r="P40" s="6" t="n">
        <v>1536</v>
      </c>
      <c r="Q40" s="6" t="n">
        <v>1</v>
      </c>
      <c r="R40">
        <f>M40+IF(N40&gt;1,N(O40)*(N40-1),0)</f>
        <v/>
      </c>
      <c r="S40">
        <f>IFERROR(L40*MAX(N40,1)/R40*IF(ISBLANK(K39),1,K39),0)</f>
        <v/>
      </c>
      <c r="AB40" s="7" t="inlineStr">
        <is>
          <t>^RemovesIvanBombs, ^RemovesTerrorDrone</t>
        </is>
      </c>
    </row>
    <row r="41">
      <c r="B41" s="7" t="inlineStr">
        <is>
          <t xml:space="preserve">  ↳ LeechDisinfect</t>
        </is>
      </c>
      <c r="C41" s="7" t="inlineStr">
        <is>
          <t>Armament@leechdisinfect</t>
        </is>
      </c>
      <c r="L41" s="6" t="n"/>
      <c r="M41" s="6" t="n">
        <v>100</v>
      </c>
      <c r="N41" s="6" t="n">
        <v>1</v>
      </c>
      <c r="O41" s="6" t="n"/>
      <c r="P41" s="6" t="n">
        <v>1536</v>
      </c>
      <c r="Q41" s="6" t="n">
        <v>1</v>
      </c>
      <c r="R41">
        <f>M41+IF(N41&gt;1,N(O41)*(N41-1),0)</f>
        <v/>
      </c>
      <c r="S41">
        <f>IFERROR(L41*MAX(N41,1)/R41*IF(ISBLANK(K39),1,K39),0)</f>
        <v/>
      </c>
      <c r="AB41" s="7" t="inlineStr"/>
    </row>
    <row r="42">
      <c r="A42" t="inlineStr">
        <is>
          <t>redalert2mod</t>
        </is>
      </c>
      <c r="B42" t="inlineStr">
        <is>
          <t>tkm_engineer</t>
        </is>
      </c>
      <c r="C42" t="inlineStr">
        <is>
          <t>Engineer</t>
        </is>
      </c>
      <c r="D42" s="6" t="inlineStr">
        <is>
          <t>Infantry</t>
        </is>
      </c>
      <c r="E42" s="6" t="n">
        <v>5000</v>
      </c>
      <c r="F42" s="6" t="n">
        <v>50</v>
      </c>
      <c r="G42" t="inlineStr">
        <is>
          <t>None</t>
        </is>
      </c>
      <c r="H42" s="6" t="n">
        <v>1</v>
      </c>
      <c r="I42" s="6" t="n">
        <v>1</v>
      </c>
      <c r="J42" s="6" t="n">
        <v>1</v>
      </c>
      <c r="K42" s="6" t="n"/>
      <c r="P42">
        <f>MAX(P45,P47)</f>
        <v/>
      </c>
      <c r="S42">
        <f>S45+S47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(((E42/5000)+(F42/50)+(S42/0)+((P42/0)*J42))*500/4+(((E42/5000)*(F42/50))+(((P42/0)*J42)*(S42/0)))*500/2+((E42/5000)*(F42/50)*((P42/0)*J42)*(S42/0))*500)*(H42/1.0)/3</f>
        <v/>
      </c>
      <c r="X42" s="6" t="n">
        <v>500</v>
      </c>
      <c r="Y42">
        <f>IFERROR(W42-X42,"")</f>
        <v/>
      </c>
      <c r="Z42">
        <f>IFERROR(ABS(Y42)/MAX(X42,1),"")</f>
        <v/>
      </c>
      <c r="AA42">
        <f>IFERROR(ROUND(((3*X42-(((E42/5000)+(F42/50)+(S42/0))*500/4+((E42/5000)*(F42/50))*500/2)*(H42/1.0))/(500/4+((S42/0))*500/2+((E42/5000)*(F42/50)*(S42/0))*500)*(H42/1.0)*0)/J42,-1),"")</f>
        <v/>
      </c>
    </row>
    <row r="43">
      <c r="B43" s="7" t="inlineStr">
        <is>
          <t xml:space="preserve">  ↳ DefuseKit</t>
        </is>
      </c>
      <c r="C43" s="7" t="inlineStr">
        <is>
          <t>Armament@defuse</t>
        </is>
      </c>
      <c r="L43" s="6" t="n"/>
      <c r="M43" s="6" t="n">
        <v>20</v>
      </c>
      <c r="N43" s="6" t="n">
        <v>1</v>
      </c>
      <c r="O43" s="6" t="n"/>
      <c r="P43" s="6" t="n">
        <v>1536</v>
      </c>
      <c r="Q43" s="6" t="n">
        <v>1</v>
      </c>
      <c r="R43">
        <f>M43+IF(N43&gt;1,N(O43)*(N43-1),0)</f>
        <v/>
      </c>
      <c r="S43">
        <f>IFERROR(L43*MAX(N43,1)/R43*IF(ISBLANK(K42),1,K42),0)</f>
        <v/>
      </c>
      <c r="AB43" s="7" t="inlineStr">
        <is>
          <t>^RemovesIvanBombs, ^RemovesTerrorDrone</t>
        </is>
      </c>
    </row>
    <row r="44">
      <c r="B44" s="7" t="inlineStr">
        <is>
          <t xml:space="preserve">  ↳ LeechDisinfect</t>
        </is>
      </c>
      <c r="C44" s="7" t="inlineStr">
        <is>
          <t>Armament@leechdisinfect</t>
        </is>
      </c>
      <c r="L44" s="6" t="n"/>
      <c r="M44" s="6" t="n">
        <v>100</v>
      </c>
      <c r="N44" s="6" t="n">
        <v>1</v>
      </c>
      <c r="O44" s="6" t="n"/>
      <c r="P44" s="6" t="n">
        <v>1536</v>
      </c>
      <c r="Q44" s="6" t="n">
        <v>1</v>
      </c>
      <c r="R44">
        <f>M44+IF(N44&gt;1,N(O44)*(N44-1),0)</f>
        <v/>
      </c>
      <c r="S44">
        <f>IFERROR(L44*MAX(N44,1)/R44*IF(ISBLANK(K42),1,K42),0)</f>
        <v/>
      </c>
      <c r="AB44" s="7" t="inlineStr"/>
    </row>
    <row r="45">
      <c r="B45" s="7" t="inlineStr">
        <is>
          <t xml:space="preserve">  ↳ Heal</t>
        </is>
      </c>
      <c r="C45" s="7" t="inlineStr">
        <is>
          <t>Armament@HEAL</t>
        </is>
      </c>
      <c r="L45" s="6" t="n">
        <v>-3000</v>
      </c>
      <c r="M45" s="6" t="n">
        <v>75</v>
      </c>
      <c r="N45" s="6" t="n">
        <v>1</v>
      </c>
      <c r="O45" s="6" t="n"/>
      <c r="P45" s="6" t="n">
        <v>5000</v>
      </c>
      <c r="Q45" s="6" t="n">
        <v>1</v>
      </c>
      <c r="R45">
        <f>M45+IF(N45&gt;1,N(O45)*(N45-1),0)</f>
        <v/>
      </c>
      <c r="S45">
        <f>IFERROR(L45*MAX(N45,1)/R45*IF(ISBLANK(K42),1,K42),0)</f>
        <v/>
      </c>
      <c r="AB45" s="7" t="inlineStr">
        <is>
          <t>^HealingWeapon</t>
        </is>
      </c>
    </row>
    <row r="46">
      <c r="B46" s="7" t="inlineStr">
        <is>
          <t xml:space="preserve">  ↳ Heal</t>
        </is>
      </c>
      <c r="C46" s="7" t="inlineStr">
        <is>
          <t>Armament@GARRISONEDHEAL</t>
        </is>
      </c>
      <c r="L46" s="6" t="n">
        <v>-3000</v>
      </c>
      <c r="M46" s="6" t="n">
        <v>75</v>
      </c>
      <c r="N46" s="6" t="n">
        <v>1</v>
      </c>
      <c r="O46" s="6" t="n"/>
      <c r="P46" s="6" t="n">
        <v>5000</v>
      </c>
      <c r="Q46" s="6" t="n">
        <v>1</v>
      </c>
      <c r="R46">
        <f>M46+IF(N46&gt;1,N(O46)*(N46-1),0)</f>
        <v/>
      </c>
      <c r="S46">
        <f>IFERROR(L46*MAX(N46,1)/R46*IF(ISBLANK(K42),1,K42),0)</f>
        <v/>
      </c>
      <c r="AB46" s="7" t="inlineStr">
        <is>
          <t>^HealingWeapon</t>
        </is>
      </c>
    </row>
    <row r="47">
      <c r="B47" s="7" t="inlineStr">
        <is>
          <t xml:space="preserve">  ↳ Repair</t>
        </is>
      </c>
      <c r="C47" s="7" t="inlineStr">
        <is>
          <t>Armament@REPAIR</t>
        </is>
      </c>
      <c r="L47" s="6" t="n">
        <v>-3000</v>
      </c>
      <c r="M47" s="6" t="n">
        <v>75</v>
      </c>
      <c r="N47" s="6" t="n">
        <v>10</v>
      </c>
      <c r="O47" s="6" t="n">
        <v>1</v>
      </c>
      <c r="P47" s="6" t="n">
        <v>5000</v>
      </c>
      <c r="Q47" s="6" t="n">
        <v>1</v>
      </c>
      <c r="R47">
        <f>M47+IF(N47&gt;1,N(O47)*(N47-1),0)</f>
        <v/>
      </c>
      <c r="S47">
        <f>IFERROR(L47*MAX(N47,1)/R47*IF(ISBLANK(K42),1,K42),0)</f>
        <v/>
      </c>
      <c r="AB47" s="7" t="inlineStr">
        <is>
          <t>^RepairWeapon</t>
        </is>
      </c>
    </row>
    <row r="48">
      <c r="B48" s="7" t="inlineStr">
        <is>
          <t xml:space="preserve">  ↳ Repair</t>
        </is>
      </c>
      <c r="C48" s="7" t="inlineStr">
        <is>
          <t>Armament@GARRISONEDREPAIR</t>
        </is>
      </c>
      <c r="L48" s="6" t="n">
        <v>-3000</v>
      </c>
      <c r="M48" s="6" t="n">
        <v>75</v>
      </c>
      <c r="N48" s="6" t="n">
        <v>10</v>
      </c>
      <c r="O48" s="6" t="n">
        <v>1</v>
      </c>
      <c r="P48" s="6" t="n">
        <v>5000</v>
      </c>
      <c r="Q48" s="6" t="n">
        <v>1</v>
      </c>
      <c r="R48">
        <f>M48+IF(N48&gt;1,N(O48)*(N48-1),0)</f>
        <v/>
      </c>
      <c r="S48">
        <f>IFERROR(L48*MAX(N48,1)/R48*IF(ISBLANK(K42),1,K42),0)</f>
        <v/>
      </c>
      <c r="AB48" s="7" t="inlineStr">
        <is>
          <t>^RepairWeapon</t>
        </is>
      </c>
    </row>
    <row r="49">
      <c r="A49" t="inlineStr">
        <is>
          <t>shared</t>
        </is>
      </c>
      <c r="B49" t="inlineStr">
        <is>
          <t>engineer</t>
        </is>
      </c>
      <c r="C49" t="inlineStr">
        <is>
          <t>Engineer</t>
        </is>
      </c>
      <c r="D49" s="6" t="inlineStr">
        <is>
          <t>Infantry</t>
        </is>
      </c>
      <c r="E49" s="6" t="n">
        <v>5000</v>
      </c>
      <c r="F49" s="6" t="n">
        <v>50</v>
      </c>
      <c r="G49" t="inlineStr">
        <is>
          <t>None</t>
        </is>
      </c>
      <c r="H49" s="6" t="n">
        <v>1</v>
      </c>
      <c r="I49" s="6" t="n">
        <v>1</v>
      </c>
      <c r="J49" s="6" t="n">
        <v>1</v>
      </c>
      <c r="K49" s="6" t="n"/>
      <c r="X49" s="6" t="n">
        <v>500</v>
      </c>
    </row>
    <row r="50">
      <c r="B50" s="7" t="inlineStr">
        <is>
          <t xml:space="preserve">  ↳ DefuseKit</t>
        </is>
      </c>
      <c r="C50" s="7" t="inlineStr">
        <is>
          <t>Armament@defuse</t>
        </is>
      </c>
      <c r="L50" s="6" t="n"/>
      <c r="M50" s="6" t="n">
        <v>20</v>
      </c>
      <c r="N50" s="6" t="n">
        <v>1</v>
      </c>
      <c r="O50" s="6" t="n"/>
      <c r="P50" s="6" t="n">
        <v>1536</v>
      </c>
      <c r="Q50" s="6" t="n">
        <v>1</v>
      </c>
      <c r="R50">
        <f>M50+IF(N50&gt;1,N(O50)*(N50-1),0)</f>
        <v/>
      </c>
      <c r="S50">
        <f>IFERROR(L50*MAX(N50,1)/R50*IF(ISBLANK(K49),1,K49),0)</f>
        <v/>
      </c>
      <c r="AB50" s="7" t="inlineStr">
        <is>
          <t>^RemovesIvanBombs, ^RemovesTerrorDrone</t>
        </is>
      </c>
    </row>
    <row r="51">
      <c r="B51" s="7" t="inlineStr">
        <is>
          <t xml:space="preserve">  ↳ LeechDisinfect</t>
        </is>
      </c>
      <c r="C51" s="7" t="inlineStr">
        <is>
          <t>Armament@leechdisinfect</t>
        </is>
      </c>
      <c r="L51" s="6" t="n"/>
      <c r="M51" s="6" t="n">
        <v>100</v>
      </c>
      <c r="N51" s="6" t="n">
        <v>1</v>
      </c>
      <c r="O51" s="6" t="n"/>
      <c r="P51" s="6" t="n">
        <v>1536</v>
      </c>
      <c r="Q51" s="6" t="n">
        <v>1</v>
      </c>
      <c r="R51">
        <f>M51+IF(N51&gt;1,N(O51)*(N51-1),0)</f>
        <v/>
      </c>
      <c r="S51">
        <f>IFERROR(L51*MAX(N51,1)/R51*IF(ISBLANK(K49),1,K49),0)</f>
        <v/>
      </c>
      <c r="AB51" s="7" t="inlineStr"/>
    </row>
    <row r="52">
      <c r="A52" t="inlineStr">
        <is>
          <t>shared</t>
        </is>
      </c>
      <c r="B52" t="inlineStr">
        <is>
          <t>fremen_creep</t>
        </is>
      </c>
      <c r="C52" t="inlineStr">
        <is>
          <t>Fremen Warrior</t>
        </is>
      </c>
      <c r="D52" s="6" t="inlineStr">
        <is>
          <t>Infantry</t>
        </is>
      </c>
      <c r="E52" s="6" t="n">
        <v>25000</v>
      </c>
      <c r="F52" s="6" t="n">
        <v>50</v>
      </c>
      <c r="G52" t="inlineStr">
        <is>
          <t>None</t>
        </is>
      </c>
      <c r="H52" s="6" t="n">
        <v>1</v>
      </c>
      <c r="I52" s="6" t="n">
        <v>1</v>
      </c>
      <c r="J52" s="6" t="n">
        <v>1</v>
      </c>
      <c r="K52" s="6" t="n"/>
      <c r="P52">
        <f>MAX(P53,P54)</f>
        <v/>
      </c>
      <c r="S52">
        <f>S53+S54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500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HMG_fremen</t>
        </is>
      </c>
      <c r="C53" s="7" t="inlineStr">
        <is>
          <t>Armament@PRIMARY</t>
        </is>
      </c>
      <c r="L53" s="6" t="n">
        <v>6000</v>
      </c>
      <c r="M53" s="6" t="n">
        <v>20</v>
      </c>
      <c r="N53" s="6" t="n">
        <v>1</v>
      </c>
      <c r="O53" s="6" t="n"/>
      <c r="P53" s="6" t="n">
        <v>3072</v>
      </c>
      <c r="Q53" s="6" t="n">
        <v>0.875</v>
      </c>
      <c r="R53">
        <f>M53+IF(N53&gt;1,N(O53)*(N53-1),0)</f>
        <v/>
      </c>
      <c r="S53">
        <f>IFERROR(L53*MAX(N53,1)/R53*IF(ISBLANK(K52),1,K52),0)</f>
        <v/>
      </c>
      <c r="AB53" s="7" t="inlineStr">
        <is>
          <t>^Warhead_Bullet_Medium, ^Warhead_Bullet_Light</t>
        </is>
      </c>
    </row>
    <row r="54">
      <c r="B54" s="7" t="inlineStr">
        <is>
          <t xml:space="preserve">  ↳ Fremen_RPG</t>
        </is>
      </c>
      <c r="C54" s="7" t="inlineStr">
        <is>
          <t>Armament@SECONDARY</t>
        </is>
      </c>
      <c r="L54" s="6" t="n">
        <v>5200</v>
      </c>
      <c r="M54" s="6" t="n">
        <v>45</v>
      </c>
      <c r="N54" s="6" t="n">
        <v>1</v>
      </c>
      <c r="O54" s="6" t="n"/>
      <c r="P54" s="6" t="n">
        <v>4864</v>
      </c>
      <c r="Q54" s="6" t="n">
        <v>1.25</v>
      </c>
      <c r="R54">
        <f>M54+IF(N54&gt;1,N(O54)*(N54-1),0)</f>
        <v/>
      </c>
      <c r="S54">
        <f>IFERROR(L54*MAX(N54,1)/R54*IF(ISBLANK(K52),1,K52),0)</f>
        <v/>
      </c>
      <c r="AB54" s="7" t="inlineStr">
        <is>
          <t>^Warhead_MissileAP_Heavy</t>
        </is>
      </c>
    </row>
    <row r="55">
      <c r="A55" t="inlineStr">
        <is>
          <t>d2k</t>
        </is>
      </c>
      <c r="B55" t="inlineStr">
        <is>
          <t>ordos_saboteur</t>
        </is>
      </c>
      <c r="C55" t="inlineStr">
        <is>
          <t>Saboteur</t>
        </is>
      </c>
      <c r="D55" s="6" t="inlineStr">
        <is>
          <t>Infantry</t>
        </is>
      </c>
      <c r="E55" s="6" t="n">
        <v>12000</v>
      </c>
      <c r="F55" s="6" t="n">
        <v>100</v>
      </c>
      <c r="G55" t="inlineStr">
        <is>
          <t>None</t>
        </is>
      </c>
      <c r="H55" s="6" t="n">
        <v>1</v>
      </c>
      <c r="I55" s="6" t="n">
        <v>1</v>
      </c>
      <c r="J55" s="6" t="n">
        <v>1</v>
      </c>
      <c r="K55" s="6" t="n"/>
      <c r="X55" s="6" t="n">
        <v>300</v>
      </c>
    </row>
    <row r="56">
      <c r="B56" s="7" t="inlineStr">
        <is>
          <t xml:space="preserve">  ↳ GenericC4</t>
        </is>
      </c>
      <c r="C56" s="7" t="inlineStr">
        <is>
          <t>Armament@c4</t>
        </is>
      </c>
      <c r="L56" s="6" t="n"/>
      <c r="M56" s="6" t="n">
        <v>20</v>
      </c>
      <c r="N56" s="6" t="n">
        <v>1</v>
      </c>
      <c r="O56" s="6" t="n"/>
      <c r="P56" s="6" t="n">
        <v>2000</v>
      </c>
      <c r="Q56" s="6" t="n">
        <v>1</v>
      </c>
      <c r="R56">
        <f>M56+IF(N56&gt;1,N(O56)*(N56-1),0)</f>
        <v/>
      </c>
      <c r="S56">
        <f>IFERROR(L56*MAX(N56,1)/R56*IF(ISBLANK(K55),1,K55),0)</f>
        <v/>
      </c>
      <c r="AB56" s="7" t="inlineStr"/>
    </row>
    <row r="57">
      <c r="A57" s="4" t="inlineStr">
        <is>
          <t>Medic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</row>
    <row r="58">
      <c r="A58" t="inlineStr">
        <is>
          <t>redalert</t>
        </is>
      </c>
      <c r="B58" t="inlineStr">
        <is>
          <t>ra1_allies_medic</t>
        </is>
      </c>
      <c r="C58" t="inlineStr">
        <is>
          <t>Medic</t>
        </is>
      </c>
      <c r="D58" s="6" t="inlineStr">
        <is>
          <t>Medic</t>
        </is>
      </c>
      <c r="E58" s="6" t="n">
        <v>10000</v>
      </c>
      <c r="F58" s="6" t="n">
        <v>50</v>
      </c>
      <c r="G58" t="inlineStr">
        <is>
          <t>None</t>
        </is>
      </c>
      <c r="H58" s="6" t="n">
        <v>1</v>
      </c>
      <c r="I58" s="6" t="n">
        <v>1</v>
      </c>
      <c r="J58" s="6" t="n">
        <v>1</v>
      </c>
      <c r="K58" s="6" t="n"/>
      <c r="P58">
        <f>MAX(P60)</f>
        <v/>
      </c>
      <c r="S58">
        <f>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(((E58/5000)+(F58/50)+(S58/0)+((P58/0)*J58))*500/4+(((E58/5000)*(F58/50))+(((P58/0)*J58)*(S58/0)))*500/2+((E58/5000)*(F58/50)*((P58/0)*J58)*(S58/0))*500)*(H58/1.0)/3</f>
        <v/>
      </c>
      <c r="X58" s="6" t="n">
        <v>500</v>
      </c>
      <c r="Y58">
        <f>IFERROR(W58-X58,"")</f>
        <v/>
      </c>
      <c r="Z58">
        <f>IFERROR(ABS(Y58)/MAX(X58,1),"")</f>
        <v/>
      </c>
      <c r="AA58">
        <f>IFERROR(ROUND(((3*X58-(((E58/5000)+(F58/50)+(S58/0))*500/4+((E58/5000)*(F58/50))*500/2)*(H58/1.0))/(500/4+((S58/0))*500/2+((E58/5000)*(F58/50)*(S58/0))*500)*(H58/1.0)*0)/J58,-1),"")</f>
        <v/>
      </c>
    </row>
    <row r="59">
      <c r="B59" s="7" t="inlineStr">
        <is>
          <t xml:space="preserve">  ↳ dummytargeting</t>
        </is>
      </c>
      <c r="C59" s="7" t="inlineStr">
        <is>
          <t>Armament@Dummy</t>
        </is>
      </c>
      <c r="L59" s="6" t="n"/>
      <c r="M59" s="6" t="n"/>
      <c r="N59" s="6" t="n">
        <v>1</v>
      </c>
      <c r="O59" s="6" t="n"/>
      <c r="P59" s="6" t="n">
        <v>10000</v>
      </c>
      <c r="Q59" s="6" t="n">
        <v>1</v>
      </c>
      <c r="R59">
        <f>M59+IF(N59&gt;1,N(O59)*(N59-1),0)</f>
        <v/>
      </c>
      <c r="S59">
        <f>IFERROR(L59*MAX(N59,1)/R59*IF(ISBLANK(K58),1,K58),0)</f>
        <v/>
      </c>
      <c r="AB59" s="7" t="inlineStr"/>
    </row>
    <row r="60">
      <c r="B60" s="7" t="inlineStr">
        <is>
          <t xml:space="preserve">  ↳ Heal</t>
        </is>
      </c>
      <c r="C60" s="7" t="inlineStr">
        <is>
          <t>Armament</t>
        </is>
      </c>
      <c r="L60" s="6" t="n">
        <v>-3000</v>
      </c>
      <c r="M60" s="6" t="n">
        <v>75</v>
      </c>
      <c r="N60" s="6" t="n">
        <v>1</v>
      </c>
      <c r="O60" s="6" t="n"/>
      <c r="P60" s="6" t="n">
        <v>5000</v>
      </c>
      <c r="Q60" s="6" t="n">
        <v>1</v>
      </c>
      <c r="R60">
        <f>M60+IF(N60&gt;1,N(O60)*(N60-1),0)</f>
        <v/>
      </c>
      <c r="S60">
        <f>IFERROR(L60*MAX(N60,1)/R60*IF(ISBLANK(K58),1,K58),0)</f>
        <v/>
      </c>
      <c r="AB60" s="7" t="inlineStr">
        <is>
          <t>^HealingWeapon</t>
        </is>
      </c>
    </row>
    <row r="61">
      <c r="B61" s="7" t="inlineStr">
        <is>
          <t xml:space="preserve">  ↳ Heal</t>
        </is>
      </c>
      <c r="C61" s="7" t="inlineStr">
        <is>
          <t>Armament@GARRISONED</t>
        </is>
      </c>
      <c r="L61" s="6" t="n">
        <v>-3000</v>
      </c>
      <c r="M61" s="6" t="n">
        <v>75</v>
      </c>
      <c r="N61" s="6" t="n">
        <v>1</v>
      </c>
      <c r="O61" s="6" t="n"/>
      <c r="P61" s="6" t="n">
        <v>5000</v>
      </c>
      <c r="Q61" s="6" t="n">
        <v>1</v>
      </c>
      <c r="R61">
        <f>M61+IF(N61&gt;1,N(O61)*(N61-1),0)</f>
        <v/>
      </c>
      <c r="S61">
        <f>IFERROR(L61*MAX(N61,1)/R61*IF(ISBLANK(K58),1,K58),0)</f>
        <v/>
      </c>
      <c r="AB61" s="7" t="inlineStr">
        <is>
          <t>^HealingWeapon</t>
        </is>
      </c>
    </row>
    <row r="62">
      <c r="A62" t="inlineStr">
        <is>
          <t>tiberiansun</t>
        </is>
      </c>
      <c r="B62" t="inlineStr">
        <is>
          <t>ts_gdi_medic</t>
        </is>
      </c>
      <c r="C62" t="inlineStr">
        <is>
          <t>Medic</t>
        </is>
      </c>
      <c r="D62" s="6" t="inlineStr">
        <is>
          <t>Medic</t>
        </is>
      </c>
      <c r="E62" s="6" t="n">
        <v>10000</v>
      </c>
      <c r="F62" s="6" t="n">
        <v>50</v>
      </c>
      <c r="G62" t="inlineStr">
        <is>
          <t>None</t>
        </is>
      </c>
      <c r="H62" s="6" t="n">
        <v>1</v>
      </c>
      <c r="I62" s="6" t="n">
        <v>1</v>
      </c>
      <c r="J62" s="6" t="n">
        <v>1</v>
      </c>
      <c r="K62" s="6" t="n"/>
      <c r="P62">
        <f>MAX(P64)</f>
        <v/>
      </c>
      <c r="S62">
        <f>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(((E62/5000)+(F62/50)+(S62/0)+((P62/0)*J62))*500/4+(((E62/5000)*(F62/50))+(((P62/0)*J62)*(S62/0)))*500/2+((E62/5000)*(F62/50)*((P62/0)*J62)*(S62/0))*500)*(H62/1.0)/3</f>
        <v/>
      </c>
      <c r="X62" s="6" t="n">
        <v>500</v>
      </c>
      <c r="Y62">
        <f>IFERROR(W62-X62,"")</f>
        <v/>
      </c>
      <c r="Z62">
        <f>IFERROR(ABS(Y62)/MAX(X62,1),"")</f>
        <v/>
      </c>
      <c r="AA62">
        <f>IFERROR(ROUND(((3*X62-(((E62/5000)+(F62/50)+(S62/0))*500/4+((E62/5000)*(F62/50))*500/2)*(H62/1.0))/(500/4+((S62/0))*500/2+((E62/5000)*(F62/50)*(S62/0))*500)*(H62/1.0)*0)/J62,-1),"")</f>
        <v/>
      </c>
    </row>
    <row r="63">
      <c r="B63" s="7" t="inlineStr">
        <is>
          <t xml:space="preserve">  ↳ dummytargeting</t>
        </is>
      </c>
      <c r="C63" s="7" t="inlineStr">
        <is>
          <t>Armament@Dummy</t>
        </is>
      </c>
      <c r="L63" s="6" t="n"/>
      <c r="M63" s="6" t="n"/>
      <c r="N63" s="6" t="n">
        <v>1</v>
      </c>
      <c r="O63" s="6" t="n"/>
      <c r="P63" s="6" t="n">
        <v>10000</v>
      </c>
      <c r="Q63" s="6" t="n">
        <v>1</v>
      </c>
      <c r="R63">
        <f>M63+IF(N63&gt;1,N(O63)*(N63-1),0)</f>
        <v/>
      </c>
      <c r="S63">
        <f>IFERROR(L63*MAX(N63,1)/R63*IF(ISBLANK(K62),1,K62),0)</f>
        <v/>
      </c>
      <c r="AB63" s="7" t="inlineStr"/>
    </row>
    <row r="64">
      <c r="B64" s="7" t="inlineStr">
        <is>
          <t xml:space="preserve">  ↳ Heal</t>
        </is>
      </c>
      <c r="C64" s="7" t="inlineStr">
        <is>
          <t>Armament</t>
        </is>
      </c>
      <c r="L64" s="6" t="n">
        <v>-3000</v>
      </c>
      <c r="M64" s="6" t="n">
        <v>75</v>
      </c>
      <c r="N64" s="6" t="n">
        <v>1</v>
      </c>
      <c r="O64" s="6" t="n"/>
      <c r="P64" s="6" t="n">
        <v>5000</v>
      </c>
      <c r="Q64" s="6" t="n">
        <v>1</v>
      </c>
      <c r="R64">
        <f>M64+IF(N64&gt;1,N(O64)*(N64-1),0)</f>
        <v/>
      </c>
      <c r="S64">
        <f>IFERROR(L64*MAX(N64,1)/R64*IF(ISBLANK(K62),1,K62),0)</f>
        <v/>
      </c>
      <c r="AB64" s="7" t="inlineStr">
        <is>
          <t>^HealingWeapon</t>
        </is>
      </c>
    </row>
    <row r="65">
      <c r="B65" s="7" t="inlineStr">
        <is>
          <t xml:space="preserve">  ↳ Heal</t>
        </is>
      </c>
      <c r="C65" s="7" t="inlineStr">
        <is>
          <t>Armament@GARRISONED</t>
        </is>
      </c>
      <c r="L65" s="6" t="n">
        <v>-3000</v>
      </c>
      <c r="M65" s="6" t="n">
        <v>75</v>
      </c>
      <c r="N65" s="6" t="n">
        <v>1</v>
      </c>
      <c r="O65" s="6" t="n"/>
      <c r="P65" s="6" t="n">
        <v>5000</v>
      </c>
      <c r="Q65" s="6" t="n">
        <v>1</v>
      </c>
      <c r="R65">
        <f>M65+IF(N65&gt;1,N(O65)*(N65-1),0)</f>
        <v/>
      </c>
      <c r="S65">
        <f>IFERROR(L65*MAX(N65,1)/R65*IF(ISBLANK(K62),1,K62),0)</f>
        <v/>
      </c>
      <c r="AB65" s="7" t="inlineStr">
        <is>
          <t>^HealingWeapon</t>
        </is>
      </c>
    </row>
    <row r="66">
      <c r="A66" t="inlineStr">
        <is>
          <t>starcraft</t>
        </is>
      </c>
      <c r="B66" t="inlineStr">
        <is>
          <t>terran_medic</t>
        </is>
      </c>
      <c r="C66" t="inlineStr">
        <is>
          <t>Medic</t>
        </is>
      </c>
      <c r="D66" s="6" t="inlineStr">
        <is>
          <t>Medic</t>
        </is>
      </c>
      <c r="E66" s="6" t="n">
        <v>60000</v>
      </c>
      <c r="F66" s="6" t="n">
        <v>60</v>
      </c>
      <c r="G66" t="inlineStr">
        <is>
          <t>None</t>
        </is>
      </c>
      <c r="H66" s="6" t="n">
        <v>1</v>
      </c>
      <c r="I66" s="6" t="n">
        <v>1</v>
      </c>
      <c r="J66" s="6" t="n">
        <v>1</v>
      </c>
      <c r="K66" s="6" t="n"/>
      <c r="P66">
        <f>MAX(P67,P68)</f>
        <v/>
      </c>
      <c r="S66">
        <f>S67+S68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(((E66/5000)+(F66/50)+(S66/0)+((P66/0)*J66))*500/4+(((E66/5000)*(F66/50))+(((P66/0)*J66)*(S66/0)))*500/2+((E66/5000)*(F66/50)*((P66/0)*J66)*(S66/0))*500)*(H66/1.0)/3</f>
        <v/>
      </c>
      <c r="X66" s="6" t="n">
        <v>600</v>
      </c>
      <c r="Y66">
        <f>IFERROR(W66-X66,"")</f>
        <v/>
      </c>
      <c r="Z66">
        <f>IFERROR(ABS(Y66)/MAX(X66,1),"")</f>
        <v/>
      </c>
      <c r="AA66">
        <f>IFERROR(ROUND(((3*X66-(((E66/5000)+(F66/50)+(S66/0))*500/4+((E66/5000)*(F66/50))*500/2)*(H66/1.0))/(500/4+((S66/0))*500/2+((E66/5000)*(F66/50)*(S66/0))*500)*(H66/1.0)*0)/J66,-1),"")</f>
        <v/>
      </c>
    </row>
    <row r="67">
      <c r="B67" s="7" t="inlineStr">
        <is>
          <t xml:space="preserve">  ↳ MedicFlare</t>
        </is>
      </c>
      <c r="C67" s="7" t="inlineStr">
        <is>
          <t>Armament@Flare</t>
        </is>
      </c>
      <c r="L67" s="6" t="n">
        <v>7000</v>
      </c>
      <c r="M67" s="6" t="n">
        <v>60</v>
      </c>
      <c r="N67" s="6" t="n">
        <v>1</v>
      </c>
      <c r="O67" s="6" t="n"/>
      <c r="P67" s="6" t="n">
        <v>6000</v>
      </c>
      <c r="Q67" s="6" t="n">
        <v>1</v>
      </c>
      <c r="R67">
        <f>M67+IF(N67&gt;1,N(O67)*(N67-1),0)</f>
        <v/>
      </c>
      <c r="S67">
        <f>IFERROR(L67*MAX(N67,1)/R67*IF(ISBLANK(K66),1,K66),0)</f>
        <v/>
      </c>
      <c r="AB67" s="7" t="inlineStr">
        <is>
          <t>^LightFlameWeapon, ^FlakWeapon, ^LaserWeapon</t>
        </is>
      </c>
    </row>
    <row r="68">
      <c r="B68" s="7" t="inlineStr">
        <is>
          <t xml:space="preserve">  ↳ MedicHeal</t>
        </is>
      </c>
      <c r="C68" s="7" t="inlineStr">
        <is>
          <t>Armament@Heal</t>
        </is>
      </c>
      <c r="L68" s="6" t="n">
        <v>-3000</v>
      </c>
      <c r="M68" s="6" t="n">
        <v>10</v>
      </c>
      <c r="N68" s="6" t="n">
        <v>1</v>
      </c>
      <c r="O68" s="6" t="n"/>
      <c r="P68" s="6" t="n">
        <v>6000</v>
      </c>
      <c r="Q68" s="6" t="n">
        <v>1</v>
      </c>
      <c r="R68">
        <f>M68+IF(N68&gt;1,N(O68)*(N68-1),0)</f>
        <v/>
      </c>
      <c r="S68">
        <f>IFERROR(L68*MAX(N68,1)/R68*IF(ISBLANK(K66),1,K66),0)</f>
        <v/>
      </c>
      <c r="AB68" s="7" t="inlineStr">
        <is>
          <t>^HealingWeapon</t>
        </is>
      </c>
    </row>
    <row r="69">
      <c r="B69" s="7" t="inlineStr">
        <is>
          <t xml:space="preserve">  ↳ MedicFlare</t>
        </is>
      </c>
      <c r="C69" s="7" t="inlineStr">
        <is>
          <t>Armament@FlareGARRISONED</t>
        </is>
      </c>
      <c r="L69" s="6" t="n">
        <v>7000</v>
      </c>
      <c r="M69" s="6" t="n">
        <v>60</v>
      </c>
      <c r="N69" s="6" t="n">
        <v>1</v>
      </c>
      <c r="O69" s="6" t="n"/>
      <c r="P69" s="6" t="n">
        <v>6000</v>
      </c>
      <c r="Q69" s="6" t="n">
        <v>1</v>
      </c>
      <c r="R69">
        <f>M69+IF(N69&gt;1,N(O69)*(N69-1),0)</f>
        <v/>
      </c>
      <c r="S69">
        <f>IFERROR(L69*MAX(N69,1)/R69*IF(ISBLANK(K66),1,K66),0)</f>
        <v/>
      </c>
      <c r="AB69" s="7" t="inlineStr">
        <is>
          <t>^LightFlameWeapon, ^FlakWeapon, ^LaserWeapon</t>
        </is>
      </c>
    </row>
    <row r="70">
      <c r="A70" s="4" t="inlineStr">
        <is>
          <t>Mechanic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</row>
    <row r="71">
      <c r="A71" t="inlineStr">
        <is>
          <t>redalert</t>
        </is>
      </c>
      <c r="B71" t="inlineStr">
        <is>
          <t>ra1_allies_mechanic</t>
        </is>
      </c>
      <c r="C71" t="inlineStr">
        <is>
          <t>Mechanic</t>
        </is>
      </c>
      <c r="D71" s="6" t="inlineStr">
        <is>
          <t>Mechanic</t>
        </is>
      </c>
      <c r="E71" s="6" t="n">
        <v>7500</v>
      </c>
      <c r="F71" s="6" t="n">
        <v>50</v>
      </c>
      <c r="G71" t="inlineStr">
        <is>
          <t>None</t>
        </is>
      </c>
      <c r="H71" s="6" t="n">
        <v>0.7333</v>
      </c>
      <c r="I71" s="6" t="n">
        <v>1</v>
      </c>
      <c r="J71" s="6" t="n">
        <v>1</v>
      </c>
      <c r="K71" s="6" t="n"/>
      <c r="P71">
        <f>MAX(P73)</f>
        <v/>
      </c>
      <c r="S71">
        <f>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(((E71/5000)+(F71/50)+(S71/0)+((P71/0)*J71))*500/4+(((E71/5000)*(F71/50))+(((P71/0)*J71)*(S71/0)))*500/2+((E71/5000)*(F71/50)*((P71/0)*J71)*(S71/0))*500)*(H71/1.0)/3</f>
        <v/>
      </c>
      <c r="X71" s="6" t="n">
        <v>500</v>
      </c>
      <c r="Y71">
        <f>IFERROR(W71-X71,"")</f>
        <v/>
      </c>
      <c r="Z71">
        <f>IFERROR(ABS(Y71)/MAX(X71,1),"")</f>
        <v/>
      </c>
      <c r="AA71">
        <f>IFERROR(ROUND(((3*X71-(((E71/5000)+(F71/50)+(S71/0))*500/4+((E71/5000)*(F71/50))*500/2)*(H71/1.0))/(500/4+((S71/0))*500/2+((E71/5000)*(F71/50)*(S71/0))*500)*(H71/1.0)*0)/J71,-1),"")</f>
        <v/>
      </c>
    </row>
    <row r="72">
      <c r="B72" s="7" t="inlineStr">
        <is>
          <t xml:space="preserve">  ↳ dummytargeting</t>
        </is>
      </c>
      <c r="C72" s="7" t="inlineStr">
        <is>
          <t>Armament@Dummy</t>
        </is>
      </c>
      <c r="L72" s="6" t="n"/>
      <c r="M72" s="6" t="n"/>
      <c r="N72" s="6" t="n">
        <v>1</v>
      </c>
      <c r="O72" s="6" t="n"/>
      <c r="P72" s="6" t="n">
        <v>10000</v>
      </c>
      <c r="Q72" s="6" t="n">
        <v>1</v>
      </c>
      <c r="R72">
        <f>M72+IF(N72&gt;1,N(O72)*(N72-1),0)</f>
        <v/>
      </c>
      <c r="S72">
        <f>IFERROR(L72*MAX(N72,1)/R72*IF(ISBLANK(K71),1,K71),0)</f>
        <v/>
      </c>
      <c r="AB72" s="7" t="inlineStr"/>
    </row>
    <row r="73">
      <c r="B73" s="7" t="inlineStr">
        <is>
          <t xml:space="preserve">  ↳ Repair</t>
        </is>
      </c>
      <c r="C73" s="7" t="inlineStr">
        <is>
          <t>Armament</t>
        </is>
      </c>
      <c r="L73" s="6" t="n">
        <v>-3000</v>
      </c>
      <c r="M73" s="6" t="n">
        <v>75</v>
      </c>
      <c r="N73" s="6" t="n">
        <v>10</v>
      </c>
      <c r="O73" s="6" t="n">
        <v>1</v>
      </c>
      <c r="P73" s="6" t="n">
        <v>5000</v>
      </c>
      <c r="Q73" s="6" t="n">
        <v>1</v>
      </c>
      <c r="R73">
        <f>M73+IF(N73&gt;1,N(O73)*(N73-1),0)</f>
        <v/>
      </c>
      <c r="S73">
        <f>IFERROR(L73*MAX(N73,1)/R73*IF(ISBLANK(K71),1,K71),0)</f>
        <v/>
      </c>
      <c r="AB73" s="7" t="inlineStr">
        <is>
          <t>^RepairWeapon</t>
        </is>
      </c>
    </row>
    <row r="74">
      <c r="B74" s="7" t="inlineStr">
        <is>
          <t xml:space="preserve">  ↳ Repair</t>
        </is>
      </c>
      <c r="C74" s="7" t="inlineStr">
        <is>
          <t>Armament@GARRISONED</t>
        </is>
      </c>
      <c r="L74" s="6" t="n">
        <v>-3000</v>
      </c>
      <c r="M74" s="6" t="n">
        <v>75</v>
      </c>
      <c r="N74" s="6" t="n">
        <v>10</v>
      </c>
      <c r="O74" s="6" t="n">
        <v>1</v>
      </c>
      <c r="P74" s="6" t="n">
        <v>5000</v>
      </c>
      <c r="Q74" s="6" t="n">
        <v>1</v>
      </c>
      <c r="R74">
        <f>M74+IF(N74&gt;1,N(O74)*(N74-1),0)</f>
        <v/>
      </c>
      <c r="S74">
        <f>IFERROR(L74*MAX(N74,1)/R74*IF(ISBLANK(K71),1,K71),0)</f>
        <v/>
      </c>
      <c r="AB74" s="7" t="inlineStr">
        <is>
          <t>^RepairWeapon</t>
        </is>
      </c>
    </row>
    <row r="75">
      <c r="A75" t="inlineStr">
        <is>
          <t>tiberiansun</t>
        </is>
      </c>
      <c r="B75" t="inlineStr">
        <is>
          <t>cabal_engineer</t>
        </is>
      </c>
      <c r="C75" t="inlineStr">
        <is>
          <t>CABAL Engineer</t>
        </is>
      </c>
      <c r="D75" s="6" t="inlineStr">
        <is>
          <t>Mechanic</t>
        </is>
      </c>
      <c r="E75" s="6" t="n">
        <v>20000</v>
      </c>
      <c r="F75" s="6" t="n">
        <v>40</v>
      </c>
      <c r="G75" t="inlineStr">
        <is>
          <t>None</t>
        </is>
      </c>
      <c r="H75" s="6" t="n">
        <v>1</v>
      </c>
      <c r="I75" s="6" t="n">
        <v>1</v>
      </c>
      <c r="J75" s="6" t="n">
        <v>1</v>
      </c>
      <c r="K75" s="6" t="n"/>
      <c r="P75">
        <f>MAX(P77)</f>
        <v/>
      </c>
      <c r="S75">
        <f>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(((E75/5000)+(F75/50)+(S75/0)+((P75/0)*J75))*500/4+(((E75/5000)*(F75/50))+(((P75/0)*J75)*(S75/0)))*500/2+((E75/5000)*(F75/50)*((P75/0)*J75)*(S75/0))*500)*(H75/1.0)/3</f>
        <v/>
      </c>
      <c r="X75" s="6" t="n">
        <v>800</v>
      </c>
      <c r="Y75">
        <f>IFERROR(W75-X75,"")</f>
        <v/>
      </c>
      <c r="Z75">
        <f>IFERROR(ABS(Y75)/MAX(X75,1),"")</f>
        <v/>
      </c>
      <c r="AA75">
        <f>IFERROR(ROUND(((3*X75-(((E75/5000)+(F75/50)+(S75/0))*500/4+((E75/5000)*(F75/50))*500/2)*(H75/1.0))/(500/4+((S75/0))*500/2+((E75/5000)*(F75/50)*(S75/0))*500)*(H75/1.0)*0)/J75,-1),"")</f>
        <v/>
      </c>
    </row>
    <row r="76">
      <c r="B76" s="7" t="inlineStr">
        <is>
          <t xml:space="preserve">  ↳ dummytargeting</t>
        </is>
      </c>
      <c r="C76" s="7" t="inlineStr">
        <is>
          <t>Armament@Dummy</t>
        </is>
      </c>
      <c r="L76" s="6" t="n"/>
      <c r="M76" s="6" t="n"/>
      <c r="N76" s="6" t="n">
        <v>1</v>
      </c>
      <c r="O76" s="6" t="n"/>
      <c r="P76" s="6" t="n">
        <v>10000</v>
      </c>
      <c r="Q76" s="6" t="n">
        <v>1</v>
      </c>
      <c r="R76">
        <f>M76+IF(N76&gt;1,N(O76)*(N76-1),0)</f>
        <v/>
      </c>
      <c r="S76">
        <f>IFERROR(L76*MAX(N76,1)/R76*IF(ISBLANK(K75),1,K75),0)</f>
        <v/>
      </c>
      <c r="AB76" s="7" t="inlineStr"/>
    </row>
    <row r="77">
      <c r="B77" s="7" t="inlineStr">
        <is>
          <t xml:space="preserve">  ↳ CabalEngineerRepairBeam</t>
        </is>
      </c>
      <c r="C77" s="7" t="inlineStr">
        <is>
          <t>Armament@REPAIRBEAM</t>
        </is>
      </c>
      <c r="L77" s="6" t="n">
        <v>-2600</v>
      </c>
      <c r="M77" s="6" t="n">
        <v>31</v>
      </c>
      <c r="N77" s="6" t="n">
        <v>10</v>
      </c>
      <c r="O77" s="6" t="n">
        <v>1</v>
      </c>
      <c r="P77" s="6" t="n">
        <v>6128</v>
      </c>
      <c r="Q77" s="6" t="n">
        <v>1</v>
      </c>
      <c r="R77">
        <f>M77+IF(N77&gt;1,N(O77)*(N77-1),0)</f>
        <v/>
      </c>
      <c r="S77">
        <f>IFERROR(L77*MAX(N77,1)/R77*IF(ISBLANK(K75),1,K75),0)</f>
        <v/>
      </c>
      <c r="AB77" s="7" t="inlineStr">
        <is>
          <t>^RepairWeapon</t>
        </is>
      </c>
    </row>
    <row r="78">
      <c r="A78" s="4" t="inlineStr">
        <is>
          <t>ScoutInfantry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</row>
    <row r="79">
      <c r="A79" t="inlineStr">
        <is>
          <t>tiberiandawn</t>
        </is>
      </c>
      <c r="B79" t="inlineStr">
        <is>
          <t>E1</t>
        </is>
      </c>
      <c r="C79" t="inlineStr">
        <is>
          <t>GDI Minigunner</t>
        </is>
      </c>
      <c r="D79" s="6" t="inlineStr">
        <is>
          <t>ScoutInfantry</t>
        </is>
      </c>
      <c r="E79" s="6" t="n">
        <v>31000</v>
      </c>
      <c r="F79" s="6" t="n">
        <v>63</v>
      </c>
      <c r="G79" t="inlineStr">
        <is>
          <t>None</t>
        </is>
      </c>
      <c r="H79" s="6" t="n">
        <v>1</v>
      </c>
      <c r="I79" s="6" t="n">
        <v>1</v>
      </c>
      <c r="J79" s="6" t="n">
        <v>1</v>
      </c>
      <c r="K79" s="6" t="n"/>
      <c r="P79">
        <f>MAX(P80,P82)</f>
        <v/>
      </c>
      <c r="S79">
        <f>S80+S82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(((E79/20000)+(F79/60)+(S79/60)+((P79/5000)*J79))*100/4+(((E79/20000)*(F79/60))+(((P79/5000)*J79)*(S79/60)))*100/2+((E79/20000)*(F79/60)*((P79/5000)*J79)*(S79/60))*100)*(H79/1.0)/3</f>
        <v/>
      </c>
      <c r="X79" s="6" t="n">
        <v>100</v>
      </c>
      <c r="Y79">
        <f>IFERROR(W79-X79,"")</f>
        <v/>
      </c>
      <c r="Z79">
        <f>IFERROR(ABS(Y79)/MAX(X79,1),"")</f>
        <v/>
      </c>
      <c r="AA79">
        <f>IFERROR(ROUND(((3*X79-(((E79/20000)+(F79/60)+(S79/60))*100/4+((E79/20000)*(F79/60))*100/2)*(H79/1.0))/(100/4+((S79/60))*100/2+((E79/20000)*(F79/60)*(S79/60))*100)*(H79/1.0)*5000)/J79,-1),"")</f>
        <v/>
      </c>
    </row>
    <row r="80">
      <c r="B80" s="7" t="inlineStr">
        <is>
          <t xml:space="preserve">  ↳ td_gdi_minigunner_minigun</t>
        </is>
      </c>
      <c r="C80" s="7" t="inlineStr">
        <is>
          <t>Armament@PRIMARY</t>
        </is>
      </c>
      <c r="L80" s="6" t="n">
        <v>2000</v>
      </c>
      <c r="M80" s="6" t="n">
        <v>50</v>
      </c>
      <c r="N80" s="6" t="n">
        <v>4</v>
      </c>
      <c r="O80" s="6" t="n">
        <v>3</v>
      </c>
      <c r="P80" s="6" t="n">
        <v>5499</v>
      </c>
      <c r="Q80" s="6" t="n">
        <v>0.75</v>
      </c>
      <c r="R80">
        <f>M80+IF(N80&gt;1,N(O80)*(N80-1),0)</f>
        <v/>
      </c>
      <c r="S80">
        <f>IFERROR(L80*MAX(N80,1)/R80*IF(ISBLANK(K79),1,K79),0)</f>
        <v/>
      </c>
      <c r="AB80" s="7" t="inlineStr">
        <is>
          <t>^Warhead_Bullet_Light</t>
        </is>
      </c>
    </row>
    <row r="81">
      <c r="B81" s="7" t="inlineStr">
        <is>
          <t xml:space="preserve">  ↳ td_gdi_minigunner_minigun</t>
        </is>
      </c>
      <c r="C81" s="7" t="inlineStr">
        <is>
          <t>Armament@GARRISONED</t>
        </is>
      </c>
      <c r="L81" s="6" t="n">
        <v>2000</v>
      </c>
      <c r="M81" s="6" t="n">
        <v>50</v>
      </c>
      <c r="N81" s="6" t="n">
        <v>4</v>
      </c>
      <c r="O81" s="6" t="n">
        <v>3</v>
      </c>
      <c r="P81" s="6" t="n">
        <v>5499</v>
      </c>
      <c r="Q81" s="6" t="n">
        <v>0.75</v>
      </c>
      <c r="R81">
        <f>M81+IF(N81&gt;1,N(O81)*(N81-1),0)</f>
        <v/>
      </c>
      <c r="S81">
        <f>IFERROR(L81*MAX(N81,1)/R81*IF(ISBLANK(K79),1,K79),0)</f>
        <v/>
      </c>
      <c r="AB81" s="7" t="inlineStr">
        <is>
          <t>^Warhead_Bullet_Light</t>
        </is>
      </c>
    </row>
    <row r="82">
      <c r="B82" s="7" t="inlineStr">
        <is>
          <t xml:space="preserve">  ↳ td_gdi_minigunner_minigun_ap</t>
        </is>
      </c>
      <c r="C82" s="7" t="inlineStr">
        <is>
          <t>Armament@Upgrade</t>
        </is>
      </c>
      <c r="L82" s="6" t="n">
        <v>4000</v>
      </c>
      <c r="M82" s="6" t="n">
        <v>45</v>
      </c>
      <c r="N82" s="6" t="n">
        <v>4</v>
      </c>
      <c r="O82" s="6" t="n">
        <v>3</v>
      </c>
      <c r="P82" s="6" t="n">
        <v>4600</v>
      </c>
      <c r="Q82" s="6" t="n">
        <v>1</v>
      </c>
      <c r="R82">
        <f>M82+IF(N82&gt;1,N(O82)*(N82-1),0)</f>
        <v/>
      </c>
      <c r="S82">
        <f>IFERROR(L82*MAX(N82,1)/R82*IF(ISBLANK(K79),1,K79),0)</f>
        <v/>
      </c>
      <c r="AB82" s="7" t="inlineStr">
        <is>
          <t>^Warhead_Bullet_Medium</t>
        </is>
      </c>
    </row>
    <row r="83">
      <c r="B83" s="7" t="inlineStr">
        <is>
          <t xml:space="preserve">  ↳ td_gdi_minigunner_minigun_ap</t>
        </is>
      </c>
      <c r="C83" s="7" t="inlineStr">
        <is>
          <t>Armament@UpgradeGARRISONED</t>
        </is>
      </c>
      <c r="L83" s="6" t="n">
        <v>4000</v>
      </c>
      <c r="M83" s="6" t="n">
        <v>45</v>
      </c>
      <c r="N83" s="6" t="n">
        <v>4</v>
      </c>
      <c r="O83" s="6" t="n">
        <v>3</v>
      </c>
      <c r="P83" s="6" t="n">
        <v>4600</v>
      </c>
      <c r="Q83" s="6" t="n">
        <v>1</v>
      </c>
      <c r="R83">
        <f>M83+IF(N83&gt;1,N(O83)*(N83-1),0)</f>
        <v/>
      </c>
      <c r="S83">
        <f>IFERROR(L83*MAX(N83,1)/R83*IF(ISBLANK(K79),1,K79),0)</f>
        <v/>
      </c>
      <c r="AB83" s="7" t="inlineStr">
        <is>
          <t>^Warhead_Bullet_Medium</t>
        </is>
      </c>
    </row>
    <row r="84">
      <c r="A84" t="inlineStr">
        <is>
          <t>tiberiandawn</t>
        </is>
      </c>
      <c r="B84" t="inlineStr">
        <is>
          <t>td_gdi_minigunner</t>
        </is>
      </c>
      <c r="C84" t="inlineStr">
        <is>
          <t>GDI Minigunner</t>
        </is>
      </c>
      <c r="D84" s="6" t="inlineStr">
        <is>
          <t>ScoutInfantry</t>
        </is>
      </c>
      <c r="E84" s="6" t="n">
        <v>31000</v>
      </c>
      <c r="F84" s="6" t="n">
        <v>63</v>
      </c>
      <c r="G84" t="inlineStr">
        <is>
          <t>None</t>
        </is>
      </c>
      <c r="H84" s="6" t="n">
        <v>1</v>
      </c>
      <c r="I84" s="6" t="n">
        <v>1</v>
      </c>
      <c r="J84" s="6" t="n">
        <v>1</v>
      </c>
      <c r="K84" s="6" t="n">
        <v>0.0024</v>
      </c>
      <c r="P84">
        <f>MAX(P85,P87)</f>
        <v/>
      </c>
      <c r="S84">
        <f>S85+S87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(((E84/20000)+(F84/60)+(S84/60)+((P84/5000)*J84))*100/4+(((E84/20000)*(F84/60))+(((P84/5000)*J84)*(S84/60)))*100/2+((E84/20000)*(F84/60)*((P84/5000)*J84)*(S84/60))*100)*(H84/1.0)/3</f>
        <v/>
      </c>
      <c r="X84" s="6" t="n">
        <v>100</v>
      </c>
      <c r="Y84">
        <f>IFERROR(W84-X84,"")</f>
        <v/>
      </c>
      <c r="Z84">
        <f>IFERROR(ABS(Y84)/MAX(X84,1),"")</f>
        <v/>
      </c>
      <c r="AA84">
        <f>IFERROR(ROUND(((3*X84-(((E84/20000)+(F84/60)+(S84/60))*100/4+((E84/20000)*(F84/60))*100/2)*(H84/1.0))/(100/4+((S84/60))*100/2+((E84/20000)*(F84/60)*(S84/60))*100)*(H84/1.0)*5000)/J84,-1),"")</f>
        <v/>
      </c>
    </row>
    <row r="85">
      <c r="B85" s="7" t="inlineStr">
        <is>
          <t xml:space="preserve">  ↳ td_gdi_minigunner_minigun</t>
        </is>
      </c>
      <c r="C85" s="7" t="inlineStr">
        <is>
          <t>Armament@PRIMARY</t>
        </is>
      </c>
      <c r="L85" s="6" t="n">
        <v>2000</v>
      </c>
      <c r="M85" s="6" t="n">
        <v>50</v>
      </c>
      <c r="N85" s="6" t="n">
        <v>4</v>
      </c>
      <c r="O85" s="6" t="n">
        <v>3</v>
      </c>
      <c r="P85" s="6" t="n">
        <v>5499</v>
      </c>
      <c r="Q85" s="6" t="n">
        <v>0.75</v>
      </c>
      <c r="R85">
        <f>M85+IF(N85&gt;1,N(O85)*(N85-1),0)</f>
        <v/>
      </c>
      <c r="S85">
        <f>IFERROR(L85*MAX(N85,1)/R85*IF(ISBLANK(K84),1,K84),0)</f>
        <v/>
      </c>
      <c r="AB85" s="7" t="inlineStr">
        <is>
          <t>^Warhead_Bullet_Light</t>
        </is>
      </c>
    </row>
    <row r="86">
      <c r="B86" s="7" t="inlineStr">
        <is>
          <t xml:space="preserve">  ↳ td_gdi_minigunner_minigun</t>
        </is>
      </c>
      <c r="C86" s="7" t="inlineStr">
        <is>
          <t>Armament@GARRISONED</t>
        </is>
      </c>
      <c r="L86" s="6" t="n">
        <v>2000</v>
      </c>
      <c r="M86" s="6" t="n">
        <v>50</v>
      </c>
      <c r="N86" s="6" t="n">
        <v>4</v>
      </c>
      <c r="O86" s="6" t="n">
        <v>3</v>
      </c>
      <c r="P86" s="6" t="n">
        <v>5499</v>
      </c>
      <c r="Q86" s="6" t="n">
        <v>0.75</v>
      </c>
      <c r="R86">
        <f>M86+IF(N86&gt;1,N(O86)*(N86-1),0)</f>
        <v/>
      </c>
      <c r="S86">
        <f>IFERROR(L86*MAX(N86,1)/R86*IF(ISBLANK(K84),1,K84),0)</f>
        <v/>
      </c>
      <c r="AB86" s="7" t="inlineStr">
        <is>
          <t>^Warhead_Bullet_Light</t>
        </is>
      </c>
    </row>
    <row r="87">
      <c r="B87" s="7" t="inlineStr">
        <is>
          <t xml:space="preserve">  ↳ td_gdi_minigunner_minigun_ap</t>
        </is>
      </c>
      <c r="C87" s="7" t="inlineStr">
        <is>
          <t>Armament@Upgrade</t>
        </is>
      </c>
      <c r="L87" s="6" t="n">
        <v>4000</v>
      </c>
      <c r="M87" s="6" t="n">
        <v>45</v>
      </c>
      <c r="N87" s="6" t="n">
        <v>4</v>
      </c>
      <c r="O87" s="6" t="n">
        <v>3</v>
      </c>
      <c r="P87" s="6" t="n">
        <v>4600</v>
      </c>
      <c r="Q87" s="6" t="n">
        <v>1</v>
      </c>
      <c r="R87">
        <f>M87+IF(N87&gt;1,N(O87)*(N87-1),0)</f>
        <v/>
      </c>
      <c r="S87">
        <f>IFERROR(L87*MAX(N87,1)/R87*IF(ISBLANK(K84),1,K84),0)</f>
        <v/>
      </c>
      <c r="AB87" s="7" t="inlineStr">
        <is>
          <t>^Warhead_Bullet_Medium</t>
        </is>
      </c>
    </row>
    <row r="88">
      <c r="B88" s="7" t="inlineStr">
        <is>
          <t xml:space="preserve">  ↳ td_gdi_minigunner_minigun_ap</t>
        </is>
      </c>
      <c r="C88" s="7" t="inlineStr">
        <is>
          <t>Armament@UpgradeGARRISONED</t>
        </is>
      </c>
      <c r="L88" s="6" t="n">
        <v>4000</v>
      </c>
      <c r="M88" s="6" t="n">
        <v>45</v>
      </c>
      <c r="N88" s="6" t="n">
        <v>4</v>
      </c>
      <c r="O88" s="6" t="n">
        <v>3</v>
      </c>
      <c r="P88" s="6" t="n">
        <v>4600</v>
      </c>
      <c r="Q88" s="6" t="n">
        <v>1</v>
      </c>
      <c r="R88">
        <f>M88+IF(N88&gt;1,N(O88)*(N88-1),0)</f>
        <v/>
      </c>
      <c r="S88">
        <f>IFERROR(L88*MAX(N88,1)/R88*IF(ISBLANK(K84),1,K84),0)</f>
        <v/>
      </c>
      <c r="AB88" s="7" t="inlineStr">
        <is>
          <t>^Warhead_Bullet_Medium</t>
        </is>
      </c>
    </row>
    <row r="89">
      <c r="A89" t="inlineStr">
        <is>
          <t>tiberiandawn</t>
        </is>
      </c>
      <c r="B89" t="inlineStr">
        <is>
          <t>td_nod_minigunner</t>
        </is>
      </c>
      <c r="C89" t="inlineStr">
        <is>
          <t>Nod Minigunner</t>
        </is>
      </c>
      <c r="D89" s="6" t="inlineStr">
        <is>
          <t>ScoutInfantry</t>
        </is>
      </c>
      <c r="E89" s="6" t="n">
        <v>30000</v>
      </c>
      <c r="F89" s="6" t="n">
        <v>66</v>
      </c>
      <c r="G89" t="inlineStr">
        <is>
          <t>None</t>
        </is>
      </c>
      <c r="H89" s="6" t="n">
        <v>1</v>
      </c>
      <c r="I89" s="6" t="n">
        <v>1</v>
      </c>
      <c r="J89" s="6" t="n">
        <v>1</v>
      </c>
      <c r="K89" s="6" t="n">
        <v>0.0029</v>
      </c>
      <c r="P89">
        <f>MAX(P90,P92)</f>
        <v/>
      </c>
      <c r="S89">
        <f>S90+S92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(((E89/20000)+(F89/60)+(S89/60)+((P89/5000)*J89))*100/4+(((E89/20000)*(F89/60))+(((P89/5000)*J89)*(S89/60)))*100/2+((E89/20000)*(F89/60)*((P89/5000)*J89)*(S89/60))*100)*(H89/1.0)/3</f>
        <v/>
      </c>
      <c r="X89" s="6" t="n">
        <v>100</v>
      </c>
      <c r="Y89">
        <f>IFERROR(W89-X89,"")</f>
        <v/>
      </c>
      <c r="Z89">
        <f>IFERROR(ABS(Y89)/MAX(X89,1),"")</f>
        <v/>
      </c>
      <c r="AA89">
        <f>IFERROR(ROUND(((3*X89-(((E89/20000)+(F89/60)+(S89/60))*100/4+((E89/20000)*(F89/60))*100/2)*(H89/1.0))/(100/4+((S89/60))*100/2+((E89/20000)*(F89/60)*(S89/60))*100)*(H89/1.0)*5000)/J89,-1),"")</f>
        <v/>
      </c>
    </row>
    <row r="90">
      <c r="B90" s="7" t="inlineStr">
        <is>
          <t xml:space="preserve">  ↳ td_nod_minigunner_minigun</t>
        </is>
      </c>
      <c r="C90" s="7" t="inlineStr">
        <is>
          <t>Armament@PRIMARY</t>
        </is>
      </c>
      <c r="L90" s="6" t="n">
        <v>2000</v>
      </c>
      <c r="M90" s="6" t="n">
        <v>50</v>
      </c>
      <c r="N90" s="6" t="n">
        <v>4</v>
      </c>
      <c r="O90" s="6" t="n">
        <v>2</v>
      </c>
      <c r="P90" s="6" t="n">
        <v>4609</v>
      </c>
      <c r="Q90" s="6" t="n">
        <v>0.75</v>
      </c>
      <c r="R90">
        <f>M90+IF(N90&gt;1,N(O90)*(N90-1),0)</f>
        <v/>
      </c>
      <c r="S90">
        <f>IFERROR(L90*MAX(N90,1)/R90*IF(ISBLANK(K89),1,K89),0)</f>
        <v/>
      </c>
      <c r="AB90" s="7" t="inlineStr">
        <is>
          <t>^Warhead_Bullet_Light</t>
        </is>
      </c>
    </row>
    <row r="91">
      <c r="B91" s="7" t="inlineStr">
        <is>
          <t xml:space="preserve">  ↳ td_nod_minigunner_minigun</t>
        </is>
      </c>
      <c r="C91" s="7" t="inlineStr">
        <is>
          <t>Armament@GARRISONED</t>
        </is>
      </c>
      <c r="L91" s="6" t="n">
        <v>2000</v>
      </c>
      <c r="M91" s="6" t="n">
        <v>50</v>
      </c>
      <c r="N91" s="6" t="n">
        <v>4</v>
      </c>
      <c r="O91" s="6" t="n">
        <v>2</v>
      </c>
      <c r="P91" s="6" t="n">
        <v>4609</v>
      </c>
      <c r="Q91" s="6" t="n">
        <v>0.75</v>
      </c>
      <c r="R91">
        <f>M91+IF(N91&gt;1,N(O91)*(N91-1),0)</f>
        <v/>
      </c>
      <c r="S91">
        <f>IFERROR(L91*MAX(N91,1)/R91*IF(ISBLANK(K89),1,K89),0)</f>
        <v/>
      </c>
      <c r="AB91" s="7" t="inlineStr">
        <is>
          <t>^Warhead_Bullet_Light</t>
        </is>
      </c>
    </row>
    <row r="92">
      <c r="B92" s="7" t="inlineStr">
        <is>
          <t xml:space="preserve">  ↳ td_nod_minigunner_minigun_laser</t>
        </is>
      </c>
      <c r="C92" s="7" t="inlineStr">
        <is>
          <t>Armament@Upgrade</t>
        </is>
      </c>
      <c r="L92" s="6" t="n">
        <v>6000</v>
      </c>
      <c r="M92" s="6" t="n">
        <v>40</v>
      </c>
      <c r="N92" s="6" t="n">
        <v>4</v>
      </c>
      <c r="O92" s="6" t="n">
        <v>2</v>
      </c>
      <c r="P92" s="6" t="n">
        <v>4500</v>
      </c>
      <c r="Q92" s="6" t="n">
        <v>1</v>
      </c>
      <c r="R92">
        <f>M92+IF(N92&gt;1,N(O92)*(N92-1),0)</f>
        <v/>
      </c>
      <c r="S92">
        <f>IFERROR(L92*MAX(N92,1)/R92*IF(ISBLANK(K89),1,K89),0)</f>
        <v/>
      </c>
      <c r="AB92" s="7" t="inlineStr">
        <is>
          <t>^SmallArms, ^Chaingun, ^LaserWeapon</t>
        </is>
      </c>
    </row>
    <row r="93">
      <c r="B93" s="7" t="inlineStr">
        <is>
          <t xml:space="preserve">  ↳ td_nod_minigunner_minigun_laser</t>
        </is>
      </c>
      <c r="C93" s="7" t="inlineStr">
        <is>
          <t>Armament@UpgradeGARRISONED</t>
        </is>
      </c>
      <c r="L93" s="6" t="n">
        <v>6000</v>
      </c>
      <c r="M93" s="6" t="n">
        <v>40</v>
      </c>
      <c r="N93" s="6" t="n">
        <v>4</v>
      </c>
      <c r="O93" s="6" t="n">
        <v>2</v>
      </c>
      <c r="P93" s="6" t="n">
        <v>4500</v>
      </c>
      <c r="Q93" s="6" t="n">
        <v>1</v>
      </c>
      <c r="R93">
        <f>M93+IF(N93&gt;1,N(O93)*(N93-1),0)</f>
        <v/>
      </c>
      <c r="S93">
        <f>IFERROR(L93*MAX(N93,1)/R93*IF(ISBLANK(K89),1,K89),0)</f>
        <v/>
      </c>
      <c r="AB93" s="7" t="inlineStr">
        <is>
          <t>^SmallArms, ^Chaingun, ^LaserWeapon</t>
        </is>
      </c>
    </row>
    <row r="94">
      <c r="A94" t="inlineStr">
        <is>
          <t>shared</t>
        </is>
      </c>
      <c r="B94" t="inlineStr">
        <is>
          <t>ra1_allies_rifleinfantry</t>
        </is>
      </c>
      <c r="C94" t="inlineStr">
        <is>
          <t>Rifle Infantry</t>
        </is>
      </c>
      <c r="D94" s="6" t="inlineStr">
        <is>
          <t>ScoutInfantry</t>
        </is>
      </c>
      <c r="E94" s="6" t="n">
        <v>27000</v>
      </c>
      <c r="F94" s="6" t="n">
        <v>55</v>
      </c>
      <c r="G94" t="inlineStr">
        <is>
          <t>None</t>
        </is>
      </c>
      <c r="H94" s="6" t="n">
        <v>1</v>
      </c>
      <c r="I94" s="6" t="n">
        <v>1</v>
      </c>
      <c r="J94" s="6" t="n">
        <v>1</v>
      </c>
      <c r="K94" s="6" t="n">
        <v>0.004699999999999999</v>
      </c>
      <c r="P94">
        <f>MAX(P95,P97)</f>
        <v/>
      </c>
      <c r="S94">
        <f>S95+S97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(((E94/20000)+(F94/60)+(S94/60)+((P94/5000)*J94))*100/4+(((E94/20000)*(F94/60))+(((P94/5000)*J94)*(S94/60)))*100/2+((E94/20000)*(F94/60)*((P94/5000)*J94)*(S94/60))*100)*(H94/1.0)/3</f>
        <v/>
      </c>
      <c r="X94" s="6" t="n">
        <v>100</v>
      </c>
      <c r="Y94">
        <f>IFERROR(W94-X94,"")</f>
        <v/>
      </c>
      <c r="Z94">
        <f>IFERROR(ABS(Y94)/MAX(X94,1),"")</f>
        <v/>
      </c>
      <c r="AA94">
        <f>IFERROR(ROUND(((3*X94-(((E94/20000)+(F94/60)+(S94/60))*100/4+((E94/20000)*(F94/60))*100/2)*(H94/1.0))/(100/4+((S94/60))*100/2+((E94/20000)*(F94/60)*(S94/60))*100)*(H94/1.0)*5000)/J94,-1),"")</f>
        <v/>
      </c>
    </row>
    <row r="95">
      <c r="B95" s="7" t="inlineStr">
        <is>
          <t xml:space="preserve">  ↳ ra1_allies_rifleinfantry_carbine</t>
        </is>
      </c>
      <c r="C95" s="7" t="inlineStr">
        <is>
          <t>Armament@PRIMARY</t>
        </is>
      </c>
      <c r="L95" s="6" t="n">
        <v>2000</v>
      </c>
      <c r="M95" s="6" t="n">
        <v>50</v>
      </c>
      <c r="N95" s="6" t="n">
        <v>3</v>
      </c>
      <c r="O95" s="6" t="n">
        <v>4</v>
      </c>
      <c r="P95" s="6" t="n">
        <v>5500</v>
      </c>
      <c r="Q95" s="6" t="n">
        <v>0.75</v>
      </c>
      <c r="R95">
        <f>M95+IF(N95&gt;1,N(O95)*(N95-1),0)</f>
        <v/>
      </c>
      <c r="S95">
        <f>IFERROR(L95*MAX(N95,1)/R95*IF(ISBLANK(K94),1,K94),0)</f>
        <v/>
      </c>
      <c r="AB95" s="7" t="inlineStr">
        <is>
          <t>^Warhead_Bullet_Light</t>
        </is>
      </c>
    </row>
    <row r="96">
      <c r="B96" s="7" t="inlineStr">
        <is>
          <t xml:space="preserve">  ↳ ra1_allies_rifleinfantry_carbine</t>
        </is>
      </c>
      <c r="C96" s="7" t="inlineStr">
        <is>
          <t>Armament@GARRISONED</t>
        </is>
      </c>
      <c r="L96" s="6" t="n">
        <v>2000</v>
      </c>
      <c r="M96" s="6" t="n">
        <v>50</v>
      </c>
      <c r="N96" s="6" t="n">
        <v>3</v>
      </c>
      <c r="O96" s="6" t="n">
        <v>4</v>
      </c>
      <c r="P96" s="6" t="n">
        <v>5500</v>
      </c>
      <c r="Q96" s="6" t="n">
        <v>0.75</v>
      </c>
      <c r="R96">
        <f>M96+IF(N96&gt;1,N(O96)*(N96-1),0)</f>
        <v/>
      </c>
      <c r="S96">
        <f>IFERROR(L96*MAX(N96,1)/R96*IF(ISBLANK(K94),1,K94),0)</f>
        <v/>
      </c>
      <c r="AB96" s="7" t="inlineStr">
        <is>
          <t>^Warhead_Bullet_Light</t>
        </is>
      </c>
    </row>
    <row r="97">
      <c r="B97" s="7" t="inlineStr">
        <is>
          <t xml:space="preserve">  ↳ ra1_allies_rifleinfantry_carbine_cryo</t>
        </is>
      </c>
      <c r="C97" s="7" t="inlineStr">
        <is>
          <t>Armament@Upgrade</t>
        </is>
      </c>
      <c r="L97" s="6" t="n">
        <v>2000</v>
      </c>
      <c r="M97" s="6" t="n">
        <v>50</v>
      </c>
      <c r="N97" s="6" t="n">
        <v>3</v>
      </c>
      <c r="O97" s="6" t="n">
        <v>4</v>
      </c>
      <c r="P97" s="6" t="n">
        <v>5500</v>
      </c>
      <c r="Q97" s="6" t="n">
        <v>0.75</v>
      </c>
      <c r="R97">
        <f>M97+IF(N97&gt;1,N(O97)*(N97-1),0)</f>
        <v/>
      </c>
      <c r="S97">
        <f>IFERROR(L97*MAX(N97,1)/R97*IF(ISBLANK(K94),1,K94),0)</f>
        <v/>
      </c>
      <c r="AB97" s="7" t="inlineStr">
        <is>
          <t>^Warhead_Bullet_Light</t>
        </is>
      </c>
    </row>
    <row r="98">
      <c r="B98" s="7" t="inlineStr">
        <is>
          <t xml:space="preserve">  ↳ ra1_allies_rifleinfantry_carbine_cryo</t>
        </is>
      </c>
      <c r="C98" s="7" t="inlineStr">
        <is>
          <t>Armament@UpgradeGARRISONED</t>
        </is>
      </c>
      <c r="L98" s="6" t="n">
        <v>2000</v>
      </c>
      <c r="M98" s="6" t="n">
        <v>50</v>
      </c>
      <c r="N98" s="6" t="n">
        <v>3</v>
      </c>
      <c r="O98" s="6" t="n">
        <v>4</v>
      </c>
      <c r="P98" s="6" t="n">
        <v>5500</v>
      </c>
      <c r="Q98" s="6" t="n">
        <v>0.75</v>
      </c>
      <c r="R98">
        <f>M98+IF(N98&gt;1,N(O98)*(N98-1),0)</f>
        <v/>
      </c>
      <c r="S98">
        <f>IFERROR(L98*MAX(N98,1)/R98*IF(ISBLANK(K94),1,K94),0)</f>
        <v/>
      </c>
      <c r="AB98" s="7" t="inlineStr">
        <is>
          <t>^Warhead_Bullet_Light</t>
        </is>
      </c>
    </row>
    <row r="99">
      <c r="A99" t="inlineStr">
        <is>
          <t>redalert</t>
        </is>
      </c>
      <c r="B99" t="inlineStr">
        <is>
          <t>ra1_soviets_ak47conscript</t>
        </is>
      </c>
      <c r="C99" t="inlineStr">
        <is>
          <t>AK-47 Conscript</t>
        </is>
      </c>
      <c r="D99" s="6" t="inlineStr">
        <is>
          <t>ScoutInfantry</t>
        </is>
      </c>
      <c r="E99" s="6" t="n">
        <v>44000</v>
      </c>
      <c r="F99" s="6" t="n">
        <v>71</v>
      </c>
      <c r="G99" t="inlineStr">
        <is>
          <t>None</t>
        </is>
      </c>
      <c r="H99" s="6" t="n">
        <v>1</v>
      </c>
      <c r="I99" s="6" t="n">
        <v>1</v>
      </c>
      <c r="J99" s="6" t="n">
        <v>1</v>
      </c>
      <c r="K99" s="6" t="n">
        <v>0.0014</v>
      </c>
      <c r="P99">
        <f>MAX(P100)</f>
        <v/>
      </c>
      <c r="S99">
        <f>S100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(((E99/20000)+(F99/60)+(S99/60)+((P99/5000)*J99))*100/4+(((E99/20000)*(F99/60))+(((P99/5000)*J99)*(S99/60)))*100/2+((E99/20000)*(F99/60)*((P99/5000)*J99)*(S99/60))*100)*(H99/1.0)/3</f>
        <v/>
      </c>
      <c r="X99" s="6" t="n">
        <v>200</v>
      </c>
      <c r="Y99">
        <f>IFERROR(W99-X99,"")</f>
        <v/>
      </c>
      <c r="Z99">
        <f>IFERROR(ABS(Y99)/MAX(X99,1),"")</f>
        <v/>
      </c>
      <c r="AA99">
        <f>IFERROR(ROUND(((3*X99-(((E99/20000)+(F99/60)+(S99/60))*100/4+((E99/20000)*(F99/60))*100/2)*(H99/1.0))/(100/4+((S99/60))*100/2+((E99/20000)*(F99/60)*(S99/60))*100)*(H99/1.0)*5000)/J99,-1),"")</f>
        <v/>
      </c>
    </row>
    <row r="100">
      <c r="B100" s="7" t="inlineStr">
        <is>
          <t xml:space="preserve">  ↳ ra1_soviets_ak47conscript_rifle</t>
        </is>
      </c>
      <c r="C100" s="7" t="inlineStr">
        <is>
          <t>Armament</t>
        </is>
      </c>
      <c r="L100" s="6" t="n">
        <v>4000</v>
      </c>
      <c r="M100" s="6" t="n">
        <v>11</v>
      </c>
      <c r="N100" s="6" t="n">
        <v>3</v>
      </c>
      <c r="O100" s="6" t="n">
        <v>2</v>
      </c>
      <c r="P100" s="6" t="n">
        <v>4822</v>
      </c>
      <c r="Q100" s="6" t="n">
        <v>0.875</v>
      </c>
      <c r="R100">
        <f>M100+IF(N100&gt;1,N(O100)*(N100-1),0)</f>
        <v/>
      </c>
      <c r="S100">
        <f>IFERROR(L100*MAX(N100,1)/R100*IF(ISBLANK(K99),1,K99),0)</f>
        <v/>
      </c>
      <c r="AB100" s="7" t="inlineStr">
        <is>
          <t>^Warhead_Bullet_Light, ^Warhead_Bullet_Medium</t>
        </is>
      </c>
    </row>
    <row r="101">
      <c r="B101" s="7" t="inlineStr">
        <is>
          <t xml:space="preserve">  ↳ ra1_soviets_ak47conscript_rifle</t>
        </is>
      </c>
      <c r="C101" s="7" t="inlineStr">
        <is>
          <t>Armament@GARRISONED</t>
        </is>
      </c>
      <c r="L101" s="6" t="n">
        <v>4000</v>
      </c>
      <c r="M101" s="6" t="n">
        <v>11</v>
      </c>
      <c r="N101" s="6" t="n">
        <v>3</v>
      </c>
      <c r="O101" s="6" t="n">
        <v>2</v>
      </c>
      <c r="P101" s="6" t="n">
        <v>4822</v>
      </c>
      <c r="Q101" s="6" t="n">
        <v>0.875</v>
      </c>
      <c r="R101">
        <f>M101+IF(N101&gt;1,N(O101)*(N101-1),0)</f>
        <v/>
      </c>
      <c r="S101">
        <f>IFERROR(L101*MAX(N101,1)/R101*IF(ISBLANK(K99),1,K99),0)</f>
        <v/>
      </c>
      <c r="AB101" s="7" t="inlineStr">
        <is>
          <t>^Warhead_Bullet_Light, ^Warhead_Bullet_Medium</t>
        </is>
      </c>
    </row>
    <row r="102">
      <c r="A102" t="inlineStr">
        <is>
          <t>redalert</t>
        </is>
      </c>
      <c r="B102" t="inlineStr">
        <is>
          <t>ra1_soviets_rifleinfantry</t>
        </is>
      </c>
      <c r="C102" t="inlineStr">
        <is>
          <t>Rifle Infantry</t>
        </is>
      </c>
      <c r="D102" s="6" t="inlineStr">
        <is>
          <t>ScoutInfantry</t>
        </is>
      </c>
      <c r="E102" s="6" t="n">
        <v>34000</v>
      </c>
      <c r="F102" s="6" t="n">
        <v>54</v>
      </c>
      <c r="G102" t="inlineStr">
        <is>
          <t>None</t>
        </is>
      </c>
      <c r="H102" s="6" t="n">
        <v>1</v>
      </c>
      <c r="I102" s="6" t="n">
        <v>1</v>
      </c>
      <c r="J102" s="6" t="n">
        <v>1</v>
      </c>
      <c r="K102" s="6" t="n">
        <v>0.0042</v>
      </c>
      <c r="P102">
        <f>MAX(P103,P105)</f>
        <v/>
      </c>
      <c r="S102">
        <f>S103+S105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(((E102/20000)+(F102/60)+(S102/60)+((P102/5000)*J102))*100/4+(((E102/20000)*(F102/60))+(((P102/5000)*J102)*(S102/60)))*100/2+((E102/20000)*(F102/60)*((P102/5000)*J102)*(S102/60))*100)*(H102/1.0)/3</f>
        <v/>
      </c>
      <c r="X102" s="6" t="n">
        <v>100</v>
      </c>
      <c r="Y102">
        <f>IFERROR(W102-X102,"")</f>
        <v/>
      </c>
      <c r="Z102">
        <f>IFERROR(ABS(Y102)/MAX(X102,1),"")</f>
        <v/>
      </c>
      <c r="AA102">
        <f>IFERROR(ROUND(((3*X102-(((E102/20000)+(F102/60)+(S102/60))*100/4+((E102/20000)*(F102/60))*100/2)*(H102/1.0))/(100/4+((S102/60))*100/2+((E102/20000)*(F102/60)*(S102/60))*100)*(H102/1.0)*5000)/J102,-1),"")</f>
        <v/>
      </c>
    </row>
    <row r="103">
      <c r="B103" s="7" t="inlineStr">
        <is>
          <t xml:space="preserve">  ↳ ra1_soviets_rifleinfantry_carbine</t>
        </is>
      </c>
      <c r="C103" s="7" t="inlineStr">
        <is>
          <t>Armament@PRIMARY</t>
        </is>
      </c>
      <c r="L103" s="6" t="n">
        <v>2000</v>
      </c>
      <c r="M103" s="6" t="n">
        <v>50</v>
      </c>
      <c r="N103" s="6" t="n">
        <v>3</v>
      </c>
      <c r="O103" s="6" t="n">
        <v>5</v>
      </c>
      <c r="P103" s="6" t="n">
        <v>4668</v>
      </c>
      <c r="Q103" s="6" t="n">
        <v>0.75</v>
      </c>
      <c r="R103">
        <f>M103+IF(N103&gt;1,N(O103)*(N103-1),0)</f>
        <v/>
      </c>
      <c r="S103">
        <f>IFERROR(L103*MAX(N103,1)/R103*IF(ISBLANK(K102),1,K102),0)</f>
        <v/>
      </c>
      <c r="AB103" s="7" t="inlineStr">
        <is>
          <t>^Warhead_Bullet_Light</t>
        </is>
      </c>
    </row>
    <row r="104">
      <c r="B104" s="7" t="inlineStr">
        <is>
          <t xml:space="preserve">  ↳ ra1_soviets_rifleinfantry_carbine</t>
        </is>
      </c>
      <c r="C104" s="7" t="inlineStr">
        <is>
          <t>Armament@GARRISONED</t>
        </is>
      </c>
      <c r="L104" s="6" t="n">
        <v>2000</v>
      </c>
      <c r="M104" s="6" t="n">
        <v>50</v>
      </c>
      <c r="N104" s="6" t="n">
        <v>3</v>
      </c>
      <c r="O104" s="6" t="n">
        <v>5</v>
      </c>
      <c r="P104" s="6" t="n">
        <v>4668</v>
      </c>
      <c r="Q104" s="6" t="n">
        <v>0.75</v>
      </c>
      <c r="R104">
        <f>M104+IF(N104&gt;1,N(O104)*(N104-1),0)</f>
        <v/>
      </c>
      <c r="S104">
        <f>IFERROR(L104*MAX(N104,1)/R104*IF(ISBLANK(K102),1,K102),0)</f>
        <v/>
      </c>
      <c r="AB104" s="7" t="inlineStr">
        <is>
          <t>^Warhead_Bullet_Light</t>
        </is>
      </c>
    </row>
    <row r="105">
      <c r="B105" s="7" t="inlineStr">
        <is>
          <t xml:space="preserve">  ↳ ra1_soviets_rifleinfantry_carbine_incendiary</t>
        </is>
      </c>
      <c r="C105" s="7" t="inlineStr">
        <is>
          <t>Armament@Upgrade</t>
        </is>
      </c>
      <c r="L105" s="6" t="n">
        <v>4000</v>
      </c>
      <c r="M105" s="6" t="n">
        <v>50</v>
      </c>
      <c r="N105" s="6" t="n">
        <v>3</v>
      </c>
      <c r="O105" s="6" t="n">
        <v>5</v>
      </c>
      <c r="P105" s="6" t="n">
        <v>4668</v>
      </c>
      <c r="Q105" s="6" t="n">
        <v>0.75</v>
      </c>
      <c r="R105">
        <f>M105+IF(N105&gt;1,N(O105)*(N105-1),0)</f>
        <v/>
      </c>
      <c r="S105">
        <f>IFERROR(L105*MAX(N105,1)/R105*IF(ISBLANK(K102),1,K102),0)</f>
        <v/>
      </c>
      <c r="AB105" s="7" t="inlineStr">
        <is>
          <t>^Warhead_Flame_Light, ^Warhead_Bullet_Light</t>
        </is>
      </c>
    </row>
    <row r="106">
      <c r="B106" s="7" t="inlineStr">
        <is>
          <t xml:space="preserve">  ↳ ra1_soviets_rifleinfantry_carbine_incendiary</t>
        </is>
      </c>
      <c r="C106" s="7" t="inlineStr">
        <is>
          <t>Armament@UpgradeGARRISONED</t>
        </is>
      </c>
      <c r="L106" s="6" t="n">
        <v>4000</v>
      </c>
      <c r="M106" s="6" t="n">
        <v>50</v>
      </c>
      <c r="N106" s="6" t="n">
        <v>3</v>
      </c>
      <c r="O106" s="6" t="n">
        <v>5</v>
      </c>
      <c r="P106" s="6" t="n">
        <v>4668</v>
      </c>
      <c r="Q106" s="6" t="n">
        <v>0.75</v>
      </c>
      <c r="R106">
        <f>M106+IF(N106&gt;1,N(O106)*(N106-1),0)</f>
        <v/>
      </c>
      <c r="S106">
        <f>IFERROR(L106*MAX(N106,1)/R106*IF(ISBLANK(K102),1,K102),0)</f>
        <v/>
      </c>
      <c r="AB106" s="7" t="inlineStr">
        <is>
          <t>^Warhead_Flame_Light, ^Warhead_Bullet_Light</t>
        </is>
      </c>
    </row>
    <row r="107">
      <c r="A107" t="inlineStr">
        <is>
          <t>redalert</t>
        </is>
      </c>
      <c r="B107" t="inlineStr">
        <is>
          <t>ra1_allies_raspy</t>
        </is>
      </c>
      <c r="C107" t="inlineStr">
        <is>
          <t>Spy</t>
        </is>
      </c>
      <c r="D107" s="6" t="inlineStr">
        <is>
          <t>ScoutInfantry</t>
        </is>
      </c>
      <c r="E107" s="6" t="n">
        <v>5000</v>
      </c>
      <c r="F107" s="6" t="n">
        <v>60</v>
      </c>
      <c r="G107" t="inlineStr">
        <is>
          <t>None</t>
        </is>
      </c>
      <c r="H107" s="6" t="n">
        <v>0.7674</v>
      </c>
      <c r="I107" s="6" t="n">
        <v>1</v>
      </c>
      <c r="J107" s="6" t="n">
        <v>1</v>
      </c>
      <c r="K107" s="6" t="n"/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(((E107/5000)+(F107/50)+(S107/0)+((P107/0)*J107))*500/4+(((E107/5000)*(F107/50))+(((P107/0)*J107)*(S107/0)))*500/2+((E107/5000)*(F107/50)*((P107/0)*J107)*(S107/0))*500)*(H107/1.0)/3</f>
        <v/>
      </c>
      <c r="X107" s="6" t="n">
        <v>500</v>
      </c>
      <c r="Y107">
        <f>IFERROR(W107-X107,"")</f>
        <v/>
      </c>
      <c r="Z107">
        <f>IFERROR(ABS(Y107)/MAX(X107,1),"")</f>
        <v/>
      </c>
      <c r="AA107">
        <f>IFERROR(ROUND(((3*X107-(((E107/5000)+(F107/50)+(S107/0))*500/4+((E107/5000)*(F107/50))*500/2)*(H107/1.0))/(500/4+((S107/0))*500/2+((E107/5000)*(F107/50)*(S107/0))*500)*(H107/1.0)*0)/J107,-1),"")</f>
        <v/>
      </c>
    </row>
    <row r="108">
      <c r="B108" s="7" t="inlineStr">
        <is>
          <t xml:space="preserve">  ↳ SilencedPPK</t>
        </is>
      </c>
      <c r="C108" s="7" t="inlineStr">
        <is>
          <t>Armament</t>
        </is>
      </c>
      <c r="L108" s="6" t="n">
        <v>15000</v>
      </c>
      <c r="M108" s="6" t="n">
        <v>80</v>
      </c>
      <c r="N108" s="6" t="n">
        <v>1</v>
      </c>
      <c r="O108" s="6" t="n"/>
      <c r="P108" s="6" t="n">
        <v>2560</v>
      </c>
      <c r="Q108" s="6" t="n">
        <v>1</v>
      </c>
      <c r="R108">
        <f>M108+IF(N108&gt;1,N(O108)*(N108-1),0)</f>
        <v/>
      </c>
      <c r="S108">
        <f>IFERROR(L108*MAX(N108,1)/R108*IF(ISBLANK(K107),1,K107),0)</f>
        <v/>
      </c>
      <c r="AB108" s="7" t="inlineStr">
        <is>
          <t>^SnipeWeapon</t>
        </is>
      </c>
    </row>
    <row r="109">
      <c r="A109" t="inlineStr">
        <is>
          <t>tiberiansun</t>
        </is>
      </c>
      <c r="B109" t="inlineStr">
        <is>
          <t>ts_nod_lightinfantry</t>
        </is>
      </c>
      <c r="C109" t="inlineStr">
        <is>
          <t>Light Infantry</t>
        </is>
      </c>
      <c r="D109" s="6" t="inlineStr">
        <is>
          <t>ScoutInfantry</t>
        </is>
      </c>
      <c r="E109" s="6" t="n">
        <v>16000</v>
      </c>
      <c r="F109" s="6" t="n">
        <v>60</v>
      </c>
      <c r="G109" t="inlineStr">
        <is>
          <t>None</t>
        </is>
      </c>
      <c r="H109" s="6" t="n">
        <v>1</v>
      </c>
      <c r="I109" s="6" t="n">
        <v>1</v>
      </c>
      <c r="J109" s="6" t="n">
        <v>1</v>
      </c>
      <c r="K109" s="6" t="n"/>
      <c r="P109">
        <f>MAX(P110,P112)</f>
        <v/>
      </c>
      <c r="S109">
        <f>S110+S112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(((E109/20000)+(F109/60)+(S109/60)+((P109/5000)*J109))*100/4+(((E109/20000)*(F109/60))+(((P109/5000)*J109)*(S109/60)))*100/2+((E109/20000)*(F109/60)*((P109/5000)*J109)*(S109/60))*100)*(H109/1.0)/3</f>
        <v/>
      </c>
      <c r="X109" s="6" t="n">
        <v>120</v>
      </c>
      <c r="Y109">
        <f>IFERROR(W109-X109,"")</f>
        <v/>
      </c>
      <c r="Z109">
        <f>IFERROR(ABS(Y109)/MAX(X109,1),"")</f>
        <v/>
      </c>
      <c r="AA109">
        <f>IFERROR(ROUND(((3*X109-(((E109/20000)+(F109/60)+(S109/60))*100/4+((E109/20000)*(F109/60))*100/2)*(H109/1.0))/(100/4+((S109/60))*100/2+((E109/20000)*(F109/60)*(S109/60))*100)*(H109/1.0)*5000)/J109,-1),"")</f>
        <v/>
      </c>
    </row>
    <row r="110">
      <c r="B110" s="7" t="inlineStr">
        <is>
          <t xml:space="preserve">  ↳ TSMinigun</t>
        </is>
      </c>
      <c r="C110" s="7" t="inlineStr">
        <is>
          <t>Armament@PRIMARY</t>
        </is>
      </c>
      <c r="L110" s="6" t="n">
        <v>2000</v>
      </c>
      <c r="M110" s="6" t="n">
        <v>12</v>
      </c>
      <c r="N110" s="6" t="n">
        <v>1</v>
      </c>
      <c r="O110" s="6" t="n"/>
      <c r="P110" s="6" t="n">
        <v>4062</v>
      </c>
      <c r="Q110" s="6" t="n">
        <v>0.75</v>
      </c>
      <c r="R110">
        <f>M110+IF(N110&gt;1,N(O110)*(N110-1),0)</f>
        <v/>
      </c>
      <c r="S110">
        <f>IFERROR(L110*MAX(N110,1)/R110*IF(ISBLANK(K109),1,K109),0)</f>
        <v/>
      </c>
      <c r="AB110" s="7" t="inlineStr">
        <is>
          <t>^Warhead_Bullet_Light</t>
        </is>
      </c>
    </row>
    <row r="111">
      <c r="B111" s="7" t="inlineStr">
        <is>
          <t xml:space="preserve">  ↳ TSMinigun</t>
        </is>
      </c>
      <c r="C111" s="7" t="inlineStr">
        <is>
          <t>Armament@GARRISONED</t>
        </is>
      </c>
      <c r="L111" s="6" t="n">
        <v>2000</v>
      </c>
      <c r="M111" s="6" t="n">
        <v>12</v>
      </c>
      <c r="N111" s="6" t="n">
        <v>1</v>
      </c>
      <c r="O111" s="6" t="n"/>
      <c r="P111" s="6" t="n">
        <v>4062</v>
      </c>
      <c r="Q111" s="6" t="n">
        <v>0.75</v>
      </c>
      <c r="R111">
        <f>M111+IF(N111&gt;1,N(O111)*(N111-1),0)</f>
        <v/>
      </c>
      <c r="S111">
        <f>IFERROR(L111*MAX(N111,1)/R111*IF(ISBLANK(K109),1,K109),0)</f>
        <v/>
      </c>
      <c r="AB111" s="7" t="inlineStr">
        <is>
          <t>^Warhead_Bullet_Light</t>
        </is>
      </c>
    </row>
    <row r="112">
      <c r="B112" s="7" t="inlineStr">
        <is>
          <t xml:space="preserve">  ↳ TSLasergun</t>
        </is>
      </c>
      <c r="C112" s="7" t="inlineStr">
        <is>
          <t>Armament@UPGRADE</t>
        </is>
      </c>
      <c r="L112" s="6" t="n">
        <v>4000</v>
      </c>
      <c r="M112" s="6" t="n">
        <v>18</v>
      </c>
      <c r="N112" s="6" t="n">
        <v>1</v>
      </c>
      <c r="O112" s="6" t="n"/>
      <c r="P112" s="6" t="n">
        <v>4062</v>
      </c>
      <c r="Q112" s="6" t="n">
        <v>1</v>
      </c>
      <c r="R112">
        <f>M112+IF(N112&gt;1,N(O112)*(N112-1),0)</f>
        <v/>
      </c>
      <c r="S112">
        <f>IFERROR(L112*MAX(N112,1)/R112*IF(ISBLANK(K109),1,K109),0)</f>
        <v/>
      </c>
      <c r="AB112" s="7" t="inlineStr">
        <is>
          <t>^Warhead_Bullet_Light, ^Warhead_Laser_Heavy</t>
        </is>
      </c>
    </row>
    <row r="113">
      <c r="B113" s="7" t="inlineStr">
        <is>
          <t xml:space="preserve">  ↳ TSLasergun</t>
        </is>
      </c>
      <c r="C113" s="7" t="inlineStr">
        <is>
          <t>Armament@UPGRADEGARRISONED</t>
        </is>
      </c>
      <c r="L113" s="6" t="n">
        <v>4000</v>
      </c>
      <c r="M113" s="6" t="n">
        <v>18</v>
      </c>
      <c r="N113" s="6" t="n">
        <v>1</v>
      </c>
      <c r="O113" s="6" t="n"/>
      <c r="P113" s="6" t="n">
        <v>4062</v>
      </c>
      <c r="Q113" s="6" t="n">
        <v>1</v>
      </c>
      <c r="R113">
        <f>M113+IF(N113&gt;1,N(O113)*(N113-1),0)</f>
        <v/>
      </c>
      <c r="S113">
        <f>IFERROR(L113*MAX(N113,1)/R113*IF(ISBLANK(K109),1,K109),0)</f>
        <v/>
      </c>
      <c r="AB113" s="7" t="inlineStr">
        <is>
          <t>^Warhead_Bullet_Light, ^Warhead_Laser_Heavy</t>
        </is>
      </c>
    </row>
    <row r="114">
      <c r="A114" t="inlineStr">
        <is>
          <t>tiberiansun</t>
        </is>
      </c>
      <c r="B114" t="inlineStr">
        <is>
          <t>ts_gdi_lightinfantry</t>
        </is>
      </c>
      <c r="C114" t="inlineStr">
        <is>
          <t>Light Infantry</t>
        </is>
      </c>
      <c r="D114" s="6" t="inlineStr">
        <is>
          <t>ScoutInfantry</t>
        </is>
      </c>
      <c r="E114" s="6" t="n">
        <v>16000</v>
      </c>
      <c r="F114" s="6" t="n">
        <v>60</v>
      </c>
      <c r="G114" t="inlineStr">
        <is>
          <t>None</t>
        </is>
      </c>
      <c r="H114" s="6" t="n">
        <v>1</v>
      </c>
      <c r="I114" s="6" t="n">
        <v>1</v>
      </c>
      <c r="J114" s="6" t="n">
        <v>1</v>
      </c>
      <c r="K114" s="6" t="n"/>
      <c r="P114">
        <f>MAX(P115)</f>
        <v/>
      </c>
      <c r="S114">
        <f>S115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(((E114/20000)+(F114/60)+(S114/60)+((P114/5000)*J114))*100/4+(((E114/20000)*(F114/60))+(((P114/5000)*J114)*(S114/60)))*100/2+((E114/20000)*(F114/60)*((P114/5000)*J114)*(S114/60))*100)*(H114/1.0)/3</f>
        <v/>
      </c>
      <c r="X114" s="6" t="n">
        <v>120</v>
      </c>
      <c r="Y114">
        <f>IFERROR(W114-X114,"")</f>
        <v/>
      </c>
      <c r="Z114">
        <f>IFERROR(ABS(Y114)/MAX(X114,1),"")</f>
        <v/>
      </c>
      <c r="AA114">
        <f>IFERROR(ROUND(((3*X114-(((E114/20000)+(F114/60)+(S114/60))*100/4+((E114/20000)*(F114/60))*100/2)*(H114/1.0))/(100/4+((S114/60))*100/2+((E114/20000)*(F114/60)*(S114/60))*100)*(H114/1.0)*5000)/J114,-1),"")</f>
        <v/>
      </c>
    </row>
    <row r="115">
      <c r="B115" s="7" t="inlineStr">
        <is>
          <t xml:space="preserve">  ↳ TSMinigun</t>
        </is>
      </c>
      <c r="C115" s="7" t="inlineStr">
        <is>
          <t>Armament@PRIMARY</t>
        </is>
      </c>
      <c r="L115" s="6" t="n">
        <v>2000</v>
      </c>
      <c r="M115" s="6" t="n">
        <v>12</v>
      </c>
      <c r="N115" s="6" t="n">
        <v>1</v>
      </c>
      <c r="O115" s="6" t="n"/>
      <c r="P115" s="6" t="n">
        <v>4062</v>
      </c>
      <c r="Q115" s="6" t="n">
        <v>0.75</v>
      </c>
      <c r="R115">
        <f>M115+IF(N115&gt;1,N(O115)*(N115-1),0)</f>
        <v/>
      </c>
      <c r="S115">
        <f>IFERROR(L115*MAX(N115,1)/R115*IF(ISBLANK(K114),1,K114),0)</f>
        <v/>
      </c>
      <c r="AB115" s="7" t="inlineStr">
        <is>
          <t>^Warhead_Bullet_Light</t>
        </is>
      </c>
    </row>
    <row r="116">
      <c r="B116" s="7" t="inlineStr">
        <is>
          <t xml:space="preserve">  ↳ TSMinigun</t>
        </is>
      </c>
      <c r="C116" s="7" t="inlineStr">
        <is>
          <t>Armament@GARRISONED</t>
        </is>
      </c>
      <c r="L116" s="6" t="n">
        <v>2000</v>
      </c>
      <c r="M116" s="6" t="n">
        <v>12</v>
      </c>
      <c r="N116" s="6" t="n">
        <v>1</v>
      </c>
      <c r="O116" s="6" t="n"/>
      <c r="P116" s="6" t="n">
        <v>4062</v>
      </c>
      <c r="Q116" s="6" t="n">
        <v>0.75</v>
      </c>
      <c r="R116">
        <f>M116+IF(N116&gt;1,N(O116)*(N116-1),0)</f>
        <v/>
      </c>
      <c r="S116">
        <f>IFERROR(L116*MAX(N116,1)/R116*IF(ISBLANK(K114),1,K114),0)</f>
        <v/>
      </c>
      <c r="AB116" s="7" t="inlineStr">
        <is>
          <t>^Warhead_Bullet_Light</t>
        </is>
      </c>
    </row>
    <row r="117">
      <c r="A117" t="inlineStr">
        <is>
          <t>tiberiansun</t>
        </is>
      </c>
      <c r="B117" t="inlineStr">
        <is>
          <t>forgotten_mutant</t>
        </is>
      </c>
      <c r="C117" t="inlineStr">
        <is>
          <t>actor_forgotten_mutant.name</t>
        </is>
      </c>
      <c r="D117" s="6" t="inlineStr">
        <is>
          <t>ScoutInfantry</t>
        </is>
      </c>
      <c r="E117" s="6" t="n">
        <v>45000</v>
      </c>
      <c r="F117" s="6" t="n">
        <v>65</v>
      </c>
      <c r="G117" t="inlineStr">
        <is>
          <t>None</t>
        </is>
      </c>
      <c r="H117" s="6" t="n">
        <v>1</v>
      </c>
      <c r="I117" s="6" t="n">
        <v>1</v>
      </c>
      <c r="J117" s="6" t="n">
        <v>1</v>
      </c>
      <c r="K117" s="6" t="n">
        <v>0.003</v>
      </c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(((E117/20000)+(F117/60)+(S117/60)+((P117/5000)*J117))*100/4+(((E117/20000)*(F117/60))+(((P117/5000)*J117)*(S117/60)))*100/2+((E117/20000)*(F117/60)*((P117/5000)*J117)*(S117/60))*100)*(H117/1.0)/3</f>
        <v/>
      </c>
      <c r="X117" s="6" t="n">
        <v>160</v>
      </c>
      <c r="Y117">
        <f>IFERROR(W117-X117,"")</f>
        <v/>
      </c>
      <c r="Z117">
        <f>IFERROR(ABS(Y117)/MAX(X117,1),"")</f>
        <v/>
      </c>
      <c r="AA117">
        <f>IFERROR(ROUND(((3*X117-(((E117/20000)+(F117/60)+(S117/60))*100/4+((E117/20000)*(F117/60))*100/2)*(H117/1.0))/(100/4+((S117/60))*100/2+((E117/20000)*(F117/60)*(S117/60))*100)*(H117/1.0)*5000)/J117,-1),"")</f>
        <v/>
      </c>
    </row>
    <row r="118">
      <c r="B118" s="7" t="inlineStr">
        <is>
          <t xml:space="preserve">  ↳ forgotten_mutant_dualwield</t>
        </is>
      </c>
      <c r="C118" s="7" t="inlineStr">
        <is>
          <t>Armament@PRIMARY</t>
        </is>
      </c>
      <c r="L118" s="6" t="n">
        <v>2000</v>
      </c>
      <c r="M118" s="6" t="n">
        <v>18</v>
      </c>
      <c r="N118" s="6" t="n">
        <v>2</v>
      </c>
      <c r="O118" s="6" t="n"/>
      <c r="P118" s="6" t="n">
        <v>5219</v>
      </c>
      <c r="Q118" s="6" t="n">
        <v>0.75</v>
      </c>
      <c r="R118">
        <f>M118+IF(N118&gt;1,N(O118)*(N118-1),0)</f>
        <v/>
      </c>
      <c r="S118">
        <f>IFERROR(L118*MAX(N118,1)/R118*IF(ISBLANK(K117),1,K117),0)</f>
        <v/>
      </c>
      <c r="AB118" s="7" t="inlineStr">
        <is>
          <t>^Warhead_Bullet_Light</t>
        </is>
      </c>
    </row>
    <row r="119">
      <c r="B119" s="7" t="inlineStr">
        <is>
          <t xml:space="preserve">  ↳ forgotten_mutant_dualwield</t>
        </is>
      </c>
      <c r="C119" s="7" t="inlineStr">
        <is>
          <t>Armament@GARRISONED</t>
        </is>
      </c>
      <c r="L119" s="6" t="n">
        <v>2000</v>
      </c>
      <c r="M119" s="6" t="n">
        <v>18</v>
      </c>
      <c r="N119" s="6" t="n">
        <v>2</v>
      </c>
      <c r="O119" s="6" t="n"/>
      <c r="P119" s="6" t="n">
        <v>5219</v>
      </c>
      <c r="Q119" s="6" t="n">
        <v>0.75</v>
      </c>
      <c r="R119">
        <f>M119+IF(N119&gt;1,N(O119)*(N119-1),0)</f>
        <v/>
      </c>
      <c r="S119">
        <f>IFERROR(L119*MAX(N119,1)/R119*IF(ISBLANK(K117),1,K117),0)</f>
        <v/>
      </c>
      <c r="AB119" s="7" t="inlineStr">
        <is>
          <t>^Warhead_Bullet_Light</t>
        </is>
      </c>
    </row>
    <row r="120">
      <c r="A120" t="inlineStr">
        <is>
          <t>tiberiansun</t>
        </is>
      </c>
      <c r="B120" t="inlineStr">
        <is>
          <t>forgotten_mutant_sp</t>
        </is>
      </c>
      <c r="C120" t="inlineStr">
        <is>
          <t>actor_forgotten_mutant.name</t>
        </is>
      </c>
      <c r="D120" s="6" t="inlineStr">
        <is>
          <t>ScoutInfantry</t>
        </is>
      </c>
      <c r="E120" s="6" t="n">
        <v>45000</v>
      </c>
      <c r="F120" s="6" t="n">
        <v>65</v>
      </c>
      <c r="G120" t="inlineStr">
        <is>
          <t>None</t>
        </is>
      </c>
      <c r="H120" s="6" t="n">
        <v>1</v>
      </c>
      <c r="I120" s="6" t="n">
        <v>1</v>
      </c>
      <c r="J120" s="6" t="n">
        <v>1</v>
      </c>
      <c r="K120" s="6" t="n"/>
      <c r="P120">
        <f>MAX(P121)</f>
        <v/>
      </c>
      <c r="S120">
        <f>S121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(((E120/20000)+(F120/60)+(S120/60)+((P120/5000)*J120))*100/4+(((E120/20000)*(F120/60))+(((P120/5000)*J120)*(S120/60)))*100/2+((E120/20000)*(F120/60)*((P120/5000)*J120)*(S120/60))*100)*(H120/1.0)/3</f>
        <v/>
      </c>
      <c r="X120" s="6" t="n">
        <v>160</v>
      </c>
      <c r="Y120">
        <f>IFERROR(W120-X120,"")</f>
        <v/>
      </c>
      <c r="Z120">
        <f>IFERROR(ABS(Y120)/MAX(X120,1),"")</f>
        <v/>
      </c>
      <c r="AA120">
        <f>IFERROR(ROUND(((3*X120-(((E120/20000)+(F120/60)+(S120/60))*100/4+((E120/20000)*(F120/60))*100/2)*(H120/1.0))/(100/4+((S120/60))*100/2+((E120/20000)*(F120/60)*(S120/60))*100)*(H120/1.0)*5000)/J120,-1),"")</f>
        <v/>
      </c>
    </row>
    <row r="121">
      <c r="B121" s="7" t="inlineStr">
        <is>
          <t xml:space="preserve">  ↳ forgotten_mutant_dualwield</t>
        </is>
      </c>
      <c r="C121" s="7" t="inlineStr">
        <is>
          <t>Armament@PRIMARY</t>
        </is>
      </c>
      <c r="L121" s="6" t="n">
        <v>2000</v>
      </c>
      <c r="M121" s="6" t="n">
        <v>18</v>
      </c>
      <c r="N121" s="6" t="n">
        <v>2</v>
      </c>
      <c r="O121" s="6" t="n"/>
      <c r="P121" s="6" t="n">
        <v>5219</v>
      </c>
      <c r="Q121" s="6" t="n">
        <v>0.75</v>
      </c>
      <c r="R121">
        <f>M121+IF(N121&gt;1,N(O121)*(N121-1),0)</f>
        <v/>
      </c>
      <c r="S121">
        <f>IFERROR(L121*MAX(N121,1)/R121*IF(ISBLANK(K120),1,K120),0)</f>
        <v/>
      </c>
      <c r="AB121" s="7" t="inlineStr">
        <is>
          <t>^Warhead_Bullet_Light</t>
        </is>
      </c>
    </row>
    <row r="122">
      <c r="B122" s="7" t="inlineStr">
        <is>
          <t xml:space="preserve">  ↳ forgotten_mutant_dualwield</t>
        </is>
      </c>
      <c r="C122" s="7" t="inlineStr">
        <is>
          <t>Armament@GARRISONED</t>
        </is>
      </c>
      <c r="L122" s="6" t="n">
        <v>2000</v>
      </c>
      <c r="M122" s="6" t="n">
        <v>18</v>
      </c>
      <c r="N122" s="6" t="n">
        <v>2</v>
      </c>
      <c r="O122" s="6" t="n"/>
      <c r="P122" s="6" t="n">
        <v>5219</v>
      </c>
      <c r="Q122" s="6" t="n">
        <v>0.75</v>
      </c>
      <c r="R122">
        <f>M122+IF(N122&gt;1,N(O122)*(N122-1),0)</f>
        <v/>
      </c>
      <c r="S122">
        <f>IFERROR(L122*MAX(N122,1)/R122*IF(ISBLANK(K120),1,K120),0)</f>
        <v/>
      </c>
      <c r="AB122" s="7" t="inlineStr">
        <is>
          <t>^Warhead_Bullet_Light</t>
        </is>
      </c>
    </row>
    <row r="123">
      <c r="A123" t="inlineStr">
        <is>
          <t>tiberiansun</t>
        </is>
      </c>
      <c r="B123" t="inlineStr">
        <is>
          <t>forgotten_mutant_wild</t>
        </is>
      </c>
      <c r="C123" t="inlineStr">
        <is>
          <t>actor_forgotten_mutant.name</t>
        </is>
      </c>
      <c r="D123" s="6" t="inlineStr">
        <is>
          <t>ScoutInfantry</t>
        </is>
      </c>
      <c r="E123" s="6" t="n">
        <v>45000</v>
      </c>
      <c r="F123" s="6" t="n">
        <v>65</v>
      </c>
      <c r="G123" t="inlineStr">
        <is>
          <t>None</t>
        </is>
      </c>
      <c r="H123" s="6" t="n">
        <v>1</v>
      </c>
      <c r="I123" s="6" t="n">
        <v>1</v>
      </c>
      <c r="J123" s="6" t="n">
        <v>1</v>
      </c>
      <c r="K123" s="6" t="n"/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(((E123/20000)+(F123/60)+(S123/60)+((P123/5000)*J123))*100/4+(((E123/20000)*(F123/60))+(((P123/5000)*J123)*(S123/60)))*100/2+((E123/20000)*(F123/60)*((P123/5000)*J123)*(S123/60))*100)*(H123/1.0)/3</f>
        <v/>
      </c>
      <c r="X123" s="6" t="n">
        <v>160</v>
      </c>
      <c r="Y123">
        <f>IFERROR(W123-X123,"")</f>
        <v/>
      </c>
      <c r="Z123">
        <f>IFERROR(ABS(Y123)/MAX(X123,1),"")</f>
        <v/>
      </c>
      <c r="AA123">
        <f>IFERROR(ROUND(((3*X123-(((E123/20000)+(F123/60)+(S123/60))*100/4+((E123/20000)*(F123/60))*100/2)*(H123/1.0))/(100/4+((S123/60))*100/2+((E123/20000)*(F123/60)*(S123/60))*100)*(H123/1.0)*5000)/J123,-1),"")</f>
        <v/>
      </c>
    </row>
    <row r="124">
      <c r="B124" s="7" t="inlineStr">
        <is>
          <t xml:space="preserve">  ↳ forgotten_mutant_dualwield</t>
        </is>
      </c>
      <c r="C124" s="7" t="inlineStr">
        <is>
          <t>Armament@PRIMARY</t>
        </is>
      </c>
      <c r="L124" s="6" t="n">
        <v>2000</v>
      </c>
      <c r="M124" s="6" t="n">
        <v>18</v>
      </c>
      <c r="N124" s="6" t="n">
        <v>2</v>
      </c>
      <c r="O124" s="6" t="n"/>
      <c r="P124" s="6" t="n">
        <v>5219</v>
      </c>
      <c r="Q124" s="6" t="n">
        <v>0.75</v>
      </c>
      <c r="R124">
        <f>M124+IF(N124&gt;1,N(O124)*(N124-1),0)</f>
        <v/>
      </c>
      <c r="S124">
        <f>IFERROR(L124*MAX(N124,1)/R124*IF(ISBLANK(K123),1,K123),0)</f>
        <v/>
      </c>
      <c r="AB124" s="7" t="inlineStr">
        <is>
          <t>^Warhead_Bullet_Light</t>
        </is>
      </c>
    </row>
    <row r="125">
      <c r="B125" s="7" t="inlineStr">
        <is>
          <t xml:space="preserve">  ↳ forgotten_mutant_dualwield</t>
        </is>
      </c>
      <c r="C125" s="7" t="inlineStr">
        <is>
          <t>Armament@GARRISONED</t>
        </is>
      </c>
      <c r="L125" s="6" t="n">
        <v>2000</v>
      </c>
      <c r="M125" s="6" t="n">
        <v>18</v>
      </c>
      <c r="N125" s="6" t="n">
        <v>2</v>
      </c>
      <c r="O125" s="6" t="n"/>
      <c r="P125" s="6" t="n">
        <v>5219</v>
      </c>
      <c r="Q125" s="6" t="n">
        <v>0.75</v>
      </c>
      <c r="R125">
        <f>M125+IF(N125&gt;1,N(O125)*(N125-1),0)</f>
        <v/>
      </c>
      <c r="S125">
        <f>IFERROR(L125*MAX(N125,1)/R125*IF(ISBLANK(K123),1,K123),0)</f>
        <v/>
      </c>
      <c r="AB125" s="7" t="inlineStr">
        <is>
          <t>^Warhead_Bullet_Light</t>
        </is>
      </c>
    </row>
    <row r="126">
      <c r="A126" t="inlineStr">
        <is>
          <t>tiberiansun</t>
        </is>
      </c>
      <c r="B126" t="inlineStr">
        <is>
          <t>forgotten_mutantsoldier</t>
        </is>
      </c>
      <c r="C126" t="inlineStr">
        <is>
          <t>actor_forgotten_mutantsoldier.name</t>
        </is>
      </c>
      <c r="D126" s="6" t="inlineStr">
        <is>
          <t>ScoutInfantry</t>
        </is>
      </c>
      <c r="E126" s="6" t="n">
        <v>40000</v>
      </c>
      <c r="F126" s="6" t="n">
        <v>60</v>
      </c>
      <c r="G126" t="inlineStr">
        <is>
          <t>None</t>
        </is>
      </c>
      <c r="H126" s="6" t="n">
        <v>1</v>
      </c>
      <c r="I126" s="6" t="n">
        <v>1</v>
      </c>
      <c r="J126" s="6" t="n">
        <v>1</v>
      </c>
      <c r="K126" s="6" t="n">
        <v>0.01</v>
      </c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(((E126/20000)+(F126/60)+(S126/60)+((P126/5000)*J126))*100/4+(((E126/20000)*(F126/60))+(((P126/5000)*J126)*(S126/60)))*100/2+((E126/20000)*(F126/60)*((P126/5000)*J126)*(S126/60))*100)*(H126/1.0)/3</f>
        <v/>
      </c>
      <c r="X126" s="6" t="n">
        <v>250</v>
      </c>
      <c r="Y126">
        <f>IFERROR(W126-X126,"")</f>
        <v/>
      </c>
      <c r="Z126">
        <f>IFERROR(ABS(Y126)/MAX(X126,1),"")</f>
        <v/>
      </c>
      <c r="AA126">
        <f>IFERROR(ROUND(((3*X126-(((E126/20000)+(F126/60)+(S126/60))*100/4+((E126/20000)*(F126/60))*100/2)*(H126/1.0))/(100/4+((S126/60))*100/2+((E126/20000)*(F126/60)*(S126/60))*100)*(H126/1.0)*5000)/J126,-1),"")</f>
        <v/>
      </c>
    </row>
    <row r="127">
      <c r="B127" s="7" t="inlineStr">
        <is>
          <t xml:space="preserve">  ↳ forgotten_mutantsoldier_rifle</t>
        </is>
      </c>
      <c r="C127" s="7" t="inlineStr">
        <is>
          <t>Armament@PRIMARY</t>
        </is>
      </c>
      <c r="L127" s="6" t="n">
        <v>8000</v>
      </c>
      <c r="M127" s="6" t="n">
        <v>50</v>
      </c>
      <c r="N127" s="6" t="n">
        <v>1</v>
      </c>
      <c r="O127" s="6" t="n"/>
      <c r="P127" s="6" t="n">
        <v>5000</v>
      </c>
      <c r="Q127" s="6" t="n">
        <v>0.75</v>
      </c>
      <c r="R127">
        <f>M127+IF(N127&gt;1,N(O127)*(N127-1),0)</f>
        <v/>
      </c>
      <c r="S127">
        <f>IFERROR(L127*MAX(N127,1)/R127*IF(ISBLANK(K126),1,K126),0)</f>
        <v/>
      </c>
      <c r="AB127" s="7" t="inlineStr">
        <is>
          <t>^Warhead_Bullet_Light</t>
        </is>
      </c>
    </row>
    <row r="128">
      <c r="B128" s="7" t="inlineStr">
        <is>
          <t xml:space="preserve">  ↳ forgotten_mutantsoldier_rifle</t>
        </is>
      </c>
      <c r="C128" s="7" t="inlineStr">
        <is>
          <t>Armament@GARRISONED</t>
        </is>
      </c>
      <c r="L128" s="6" t="n">
        <v>8000</v>
      </c>
      <c r="M128" s="6" t="n">
        <v>50</v>
      </c>
      <c r="N128" s="6" t="n">
        <v>1</v>
      </c>
      <c r="O128" s="6" t="n"/>
      <c r="P128" s="6" t="n">
        <v>5000</v>
      </c>
      <c r="Q128" s="6" t="n">
        <v>0.75</v>
      </c>
      <c r="R128">
        <f>M128+IF(N128&gt;1,N(O128)*(N128-1),0)</f>
        <v/>
      </c>
      <c r="S128">
        <f>IFERROR(L128*MAX(N128,1)/R128*IF(ISBLANK(K126),1,K126),0)</f>
        <v/>
      </c>
      <c r="AB128" s="7" t="inlineStr">
        <is>
          <t>^Warhead_Bullet_Light</t>
        </is>
      </c>
    </row>
    <row r="129">
      <c r="A129" t="inlineStr">
        <is>
          <t>tiberiansun</t>
        </is>
      </c>
      <c r="B129" t="inlineStr">
        <is>
          <t>forgotten_mutantsoldier_sp</t>
        </is>
      </c>
      <c r="C129" t="inlineStr">
        <is>
          <t>actor_forgotten_mutantsoldier.name</t>
        </is>
      </c>
      <c r="D129" s="6" t="inlineStr">
        <is>
          <t>ScoutInfantry</t>
        </is>
      </c>
      <c r="E129" s="6" t="n">
        <v>40000</v>
      </c>
      <c r="F129" s="6" t="n">
        <v>60</v>
      </c>
      <c r="G129" t="inlineStr">
        <is>
          <t>None</t>
        </is>
      </c>
      <c r="H129" s="6" t="n">
        <v>1</v>
      </c>
      <c r="I129" s="6" t="n">
        <v>1</v>
      </c>
      <c r="J129" s="6" t="n">
        <v>1</v>
      </c>
      <c r="K129" s="6" t="n"/>
      <c r="P129">
        <f>MAX(P130)</f>
        <v/>
      </c>
      <c r="S129">
        <f>S130</f>
        <v/>
      </c>
      <c r="T129">
        <f>(E129/100000+F129/100+(P129/1000)*J129/5+S129/200)*200*I129*H129</f>
        <v/>
      </c>
      <c r="U129">
        <f>((E129*F129/25000)+((P129/1000)*J129*S129/2.5))*I129*H129</f>
        <v/>
      </c>
      <c r="V129">
        <f>(E129*F129*(P129/1000)*J129*S129*I129*H129)/12500000</f>
        <v/>
      </c>
      <c r="W129">
        <f>(((E129/20000)+(F129/60)+(S129/60)+((P129/5000)*J129))*100/4+(((E129/20000)*(F129/60))+(((P129/5000)*J129)*(S129/60)))*100/2+((E129/20000)*(F129/60)*((P129/5000)*J129)*(S129/60))*100)*(H129/1.0)/3</f>
        <v/>
      </c>
      <c r="X129" s="6" t="n">
        <v>250</v>
      </c>
      <c r="Y129">
        <f>IFERROR(W129-X129,"")</f>
        <v/>
      </c>
      <c r="Z129">
        <f>IFERROR(ABS(Y129)/MAX(X129,1),"")</f>
        <v/>
      </c>
      <c r="AA129">
        <f>IFERROR(ROUND(((3*X129-(((E129/20000)+(F129/60)+(S129/60))*100/4+((E129/20000)*(F129/60))*100/2)*(H129/1.0))/(100/4+((S129/60))*100/2+((E129/20000)*(F129/60)*(S129/60))*100)*(H129/1.0)*5000)/J129,-1),"")</f>
        <v/>
      </c>
    </row>
    <row r="130">
      <c r="B130" s="7" t="inlineStr">
        <is>
          <t xml:space="preserve">  ↳ forgotten_mutantsoldier_rifle</t>
        </is>
      </c>
      <c r="C130" s="7" t="inlineStr">
        <is>
          <t>Armament@PRIMARY</t>
        </is>
      </c>
      <c r="L130" s="6" t="n">
        <v>8000</v>
      </c>
      <c r="M130" s="6" t="n">
        <v>50</v>
      </c>
      <c r="N130" s="6" t="n">
        <v>1</v>
      </c>
      <c r="O130" s="6" t="n"/>
      <c r="P130" s="6" t="n">
        <v>5000</v>
      </c>
      <c r="Q130" s="6" t="n">
        <v>0.75</v>
      </c>
      <c r="R130">
        <f>M130+IF(N130&gt;1,N(O130)*(N130-1),0)</f>
        <v/>
      </c>
      <c r="S130">
        <f>IFERROR(L130*MAX(N130,1)/R130*IF(ISBLANK(K129),1,K129),0)</f>
        <v/>
      </c>
      <c r="AB130" s="7" t="inlineStr">
        <is>
          <t>^Warhead_Bullet_Light</t>
        </is>
      </c>
    </row>
    <row r="131">
      <c r="B131" s="7" t="inlineStr">
        <is>
          <t xml:space="preserve">  ↳ forgotten_mutantsoldier_rifle</t>
        </is>
      </c>
      <c r="C131" s="7" t="inlineStr">
        <is>
          <t>Armament@GARRISONED</t>
        </is>
      </c>
      <c r="L131" s="6" t="n">
        <v>8000</v>
      </c>
      <c r="M131" s="6" t="n">
        <v>50</v>
      </c>
      <c r="N131" s="6" t="n">
        <v>1</v>
      </c>
      <c r="O131" s="6" t="n"/>
      <c r="P131" s="6" t="n">
        <v>5000</v>
      </c>
      <c r="Q131" s="6" t="n">
        <v>0.75</v>
      </c>
      <c r="R131">
        <f>M131+IF(N131&gt;1,N(O131)*(N131-1),0)</f>
        <v/>
      </c>
      <c r="S131">
        <f>IFERROR(L131*MAX(N131,1)/R131*IF(ISBLANK(K129),1,K129),0)</f>
        <v/>
      </c>
      <c r="AB131" s="7" t="inlineStr">
        <is>
          <t>^Warhead_Bullet_Light</t>
        </is>
      </c>
    </row>
    <row r="132">
      <c r="A132" t="inlineStr">
        <is>
          <t>shared</t>
        </is>
      </c>
      <c r="B132" t="inlineStr">
        <is>
          <t>ra2e2.black</t>
        </is>
      </c>
      <c r="C132" t="inlineStr">
        <is>
          <t>Black Operation Soldier</t>
        </is>
      </c>
      <c r="D132" s="6" t="inlineStr">
        <is>
          <t>ScoutInfantry</t>
        </is>
      </c>
      <c r="E132" s="6" t="n">
        <v>25000</v>
      </c>
      <c r="F132" s="6" t="n">
        <v>58</v>
      </c>
      <c r="G132" t="inlineStr">
        <is>
          <t>None</t>
        </is>
      </c>
      <c r="H132" s="6" t="n">
        <v>1</v>
      </c>
      <c r="I132" s="6" t="n">
        <v>1</v>
      </c>
      <c r="J132" s="6" t="n">
        <v>1</v>
      </c>
      <c r="K132" s="6" t="n"/>
      <c r="P132">
        <f>MAX(P133,P134)</f>
        <v/>
      </c>
      <c r="S132">
        <f>S133+S134</f>
        <v/>
      </c>
      <c r="T132">
        <f>(E132/100000+F132/100+(P132/1000)*J132/5+S132/200)*200*I132*H132</f>
        <v/>
      </c>
      <c r="U132">
        <f>((E132*F132/25000)+((P132/1000)*J132*S132/2.5))*I132*H132</f>
        <v/>
      </c>
      <c r="V132">
        <f>(E132*F132*(P132/1000)*J132*S132*I132*H132)/12500000</f>
        <v/>
      </c>
      <c r="W132">
        <f>(((E132/20000)+(F132/60)+(S132/60)+((P132/5000)*J132))*100/4+(((E132/20000)*(F132/60))+(((P132/5000)*J132)*(S132/60)))*100/2+((E132/20000)*(F132/60)*((P132/5000)*J132)*(S132/60))*100)*(H132/1.0)/3</f>
        <v/>
      </c>
      <c r="X132" s="6" t="n">
        <v>150</v>
      </c>
      <c r="Y132">
        <f>IFERROR(W132-X132,"")</f>
        <v/>
      </c>
      <c r="Z132">
        <f>IFERROR(ABS(Y132)/MAX(X132,1),"")</f>
        <v/>
      </c>
      <c r="AA132">
        <f>IFERROR(ROUND(((3*X132-(((E132/20000)+(F132/60)+(S132/60))*100/4+((E132/20000)*(F132/60))*100/2)*(H132/1.0))/(100/4+((S132/60))*100/2+((E132/20000)*(F132/60)*(S132/60))*100)*(H132/1.0)*5000)/J132,-1),"")</f>
        <v/>
      </c>
    </row>
    <row r="133">
      <c r="B133" s="7" t="inlineStr">
        <is>
          <t xml:space="preserve">  ↳ ra2_soviets_conscript_carbine</t>
        </is>
      </c>
      <c r="C133" s="7" t="inlineStr">
        <is>
          <t>Armament@PRIMARY</t>
        </is>
      </c>
      <c r="L133" s="6" t="n">
        <v>2000</v>
      </c>
      <c r="M133" s="6" t="n">
        <v>18</v>
      </c>
      <c r="N133" s="6" t="n">
        <v>1</v>
      </c>
      <c r="O133" s="6" t="n"/>
      <c r="P133" s="6" t="n">
        <v>4500</v>
      </c>
      <c r="Q133" s="6" t="n">
        <v>0.75</v>
      </c>
      <c r="R133">
        <f>M133+IF(N133&gt;1,N(O133)*(N133-1),0)</f>
        <v/>
      </c>
      <c r="S133">
        <f>IFERROR(L133*MAX(N133,1)/R133*IF(ISBLANK(K132),1,K132),0)</f>
        <v/>
      </c>
      <c r="AB133" s="7" t="inlineStr">
        <is>
          <t>^Warhead_Bullet_Light</t>
        </is>
      </c>
    </row>
    <row r="134">
      <c r="B134" s="7" t="inlineStr">
        <is>
          <t xml:space="preserve">  ↳ ra2_soviets_conscript_carbine_elite</t>
        </is>
      </c>
      <c r="C134" s="7" t="inlineStr">
        <is>
          <t>Armament@ELITE</t>
        </is>
      </c>
      <c r="L134" s="6" t="n">
        <v>2000</v>
      </c>
      <c r="M134" s="6" t="n">
        <v>18</v>
      </c>
      <c r="N134" s="6" t="n">
        <v>2</v>
      </c>
      <c r="O134" s="6" t="n">
        <v>3</v>
      </c>
      <c r="P134" s="6" t="n">
        <v>5500</v>
      </c>
      <c r="Q134" s="6" t="n">
        <v>0.75</v>
      </c>
      <c r="R134">
        <f>M134+IF(N134&gt;1,N(O134)*(N134-1),0)</f>
        <v/>
      </c>
      <c r="S134">
        <f>IFERROR(L134*MAX(N134,1)/R134*IF(ISBLANK(K132),1,K132),0)</f>
        <v/>
      </c>
      <c r="AB134" s="7" t="inlineStr">
        <is>
          <t>^Warhead_Bullet_Light</t>
        </is>
      </c>
    </row>
    <row r="135">
      <c r="B135" s="7" t="inlineStr">
        <is>
          <t xml:space="preserve">  ↳ RA2vulcan3</t>
        </is>
      </c>
      <c r="C135" s="7" t="inlineStr">
        <is>
          <t>Armament@GARRISONED</t>
        </is>
      </c>
      <c r="L135" s="6" t="n">
        <v>4000</v>
      </c>
      <c r="M135" s="6" t="n">
        <v>50</v>
      </c>
      <c r="N135" s="6" t="n">
        <v>3</v>
      </c>
      <c r="O135" s="6" t="n">
        <v>2</v>
      </c>
      <c r="P135" s="6" t="n">
        <v>5724</v>
      </c>
      <c r="Q135" s="6" t="n">
        <v>0.875</v>
      </c>
      <c r="R135">
        <f>M135+IF(N135&gt;1,N(O135)*(N135-1),0)</f>
        <v/>
      </c>
      <c r="S135">
        <f>IFERROR(L135*MAX(N135,1)/R135*IF(ISBLANK(K132),1,K132),0)</f>
        <v/>
      </c>
      <c r="AB135" s="7" t="inlineStr">
        <is>
          <t>^Warhead_Bullet_Light, ^Warhead_Bullet_Medium</t>
        </is>
      </c>
    </row>
    <row r="136">
      <c r="A136" t="inlineStr">
        <is>
          <t>redalert2</t>
        </is>
      </c>
      <c r="B136" t="inlineStr">
        <is>
          <t>ra2_allies_gi</t>
        </is>
      </c>
      <c r="C136" t="inlineStr">
        <is>
          <t>G.I.</t>
        </is>
      </c>
      <c r="D136" s="6" t="inlineStr">
        <is>
          <t>ScoutInfantry</t>
        </is>
      </c>
      <c r="E136" s="6" t="n">
        <v>50000</v>
      </c>
      <c r="F136" s="6" t="n">
        <v>50</v>
      </c>
      <c r="G136" t="inlineStr">
        <is>
          <t>None</t>
        </is>
      </c>
      <c r="H136" s="6" t="n">
        <v>1</v>
      </c>
      <c r="I136" s="6" t="n">
        <v>1</v>
      </c>
      <c r="J136" s="6" t="n">
        <v>1.25</v>
      </c>
      <c r="K136" s="6" t="n">
        <v>0.0025</v>
      </c>
      <c r="P136">
        <f>MAX(P137,P138,P139)</f>
        <v/>
      </c>
      <c r="S136">
        <f>S137+S138+S139</f>
        <v/>
      </c>
      <c r="T136">
        <f>(E136/100000+F136/100+(P136/1000)*J136/5+S136/200)*200*I136*H136</f>
        <v/>
      </c>
      <c r="U136">
        <f>((E136*F136/25000)+((P136/1000)*J136*S136/2.5))*I136*H136</f>
        <v/>
      </c>
      <c r="V136">
        <f>(E136*F136*(P136/1000)*J136*S136*I136*H136)/12500000</f>
        <v/>
      </c>
      <c r="W136">
        <f>(((E136/20000)+(F136/60)+(S136/60)+((P136/5000)*J136))*100/4+(((E136/20000)*(F136/60))+(((P136/5000)*J136)*(S136/60)))*100/2+((E136/20000)*(F136/60)*((P136/5000)*J136)*(S136/60))*100)*(H136/1.0)/3</f>
        <v/>
      </c>
      <c r="X136" s="6" t="n">
        <v>200</v>
      </c>
      <c r="Y136">
        <f>IFERROR(W136-X136,"")</f>
        <v/>
      </c>
      <c r="Z136">
        <f>IFERROR(ABS(Y136)/MAX(X136,1),"")</f>
        <v/>
      </c>
      <c r="AA136">
        <f>IFERROR(ROUND(((3*X136-(((E136/20000)+(F136/60)+(S136/60))*100/4+((E136/20000)*(F136/60))*100/2)*(H136/1.0))/(100/4+((S136/60))*100/2+((E136/20000)*(F136/60)*(S136/60))*100)*(H136/1.0)*5000)/J136,-1),"")</f>
        <v/>
      </c>
    </row>
    <row r="137">
      <c r="B137" s="7" t="inlineStr">
        <is>
          <t xml:space="preserve">  ↳ ra2_allies_gi_mg</t>
        </is>
      </c>
      <c r="C137" s="7" t="inlineStr">
        <is>
          <t>Armament@PRIMARY</t>
        </is>
      </c>
      <c r="L137" s="6" t="n">
        <v>2000</v>
      </c>
      <c r="M137" s="6" t="n">
        <v>15</v>
      </c>
      <c r="N137" s="6" t="n">
        <v>3</v>
      </c>
      <c r="O137" s="6" t="n">
        <v>2</v>
      </c>
      <c r="P137" s="6" t="n">
        <v>4680</v>
      </c>
      <c r="Q137" s="6" t="n">
        <v>0.75</v>
      </c>
      <c r="R137">
        <f>M137+IF(N137&gt;1,N(O137)*(N137-1),0)</f>
        <v/>
      </c>
      <c r="S137">
        <f>IFERROR(L137*MAX(N137,1)/R137*IF(ISBLANK(K136),1,K136),0)</f>
        <v/>
      </c>
      <c r="AB137" s="7" t="inlineStr">
        <is>
          <t>^Warhead_Bullet_Light</t>
        </is>
      </c>
    </row>
    <row r="138">
      <c r="B138" s="7" t="inlineStr">
        <is>
          <t xml:space="preserve">  ↳ ra2_allies_gi_para</t>
        </is>
      </c>
      <c r="C138" s="7" t="inlineStr">
        <is>
          <t>Armament@PRIMARY2</t>
        </is>
      </c>
      <c r="L138" s="6" t="n">
        <v>2000</v>
      </c>
      <c r="M138" s="6" t="n">
        <v>19</v>
      </c>
      <c r="N138" s="6" t="n">
        <v>3</v>
      </c>
      <c r="O138" s="6" t="n">
        <v>3</v>
      </c>
      <c r="P138" s="6" t="n">
        <v>5500</v>
      </c>
      <c r="Q138" s="6" t="n">
        <v>1</v>
      </c>
      <c r="R138">
        <f>M138+IF(N138&gt;1,N(O138)*(N138-1),0)</f>
        <v/>
      </c>
      <c r="S138">
        <f>IFERROR(L138*MAX(N138,1)/R138*IF(ISBLANK(K136),1,K136),0)</f>
        <v/>
      </c>
      <c r="AB138" s="7" t="inlineStr">
        <is>
          <t>^Warhead_Bullet_Medium</t>
        </is>
      </c>
    </row>
    <row r="139">
      <c r="B139" s="7" t="inlineStr">
        <is>
          <t xml:space="preserve">  ↳ ra2_allies_gi_para</t>
        </is>
      </c>
      <c r="C139" s="7" t="inlineStr">
        <is>
          <t>Armament@DEPLOYED</t>
        </is>
      </c>
      <c r="L139" s="6" t="n">
        <v>2000</v>
      </c>
      <c r="M139" s="6" t="n">
        <v>19</v>
      </c>
      <c r="N139" s="6" t="n">
        <v>3</v>
      </c>
      <c r="O139" s="6" t="n">
        <v>3</v>
      </c>
      <c r="P139" s="6" t="n">
        <v>5500</v>
      </c>
      <c r="Q139" s="6" t="n">
        <v>1</v>
      </c>
      <c r="R139">
        <f>M139+IF(N139&gt;1,N(O139)*(N139-1),0)</f>
        <v/>
      </c>
      <c r="S139">
        <f>IFERROR(L139*MAX(N139,1)/R139*IF(ISBLANK(K136),1,K136),0)</f>
        <v/>
      </c>
      <c r="AB139" s="7" t="inlineStr">
        <is>
          <t>^Warhead_Bullet_Medium</t>
        </is>
      </c>
    </row>
    <row r="140">
      <c r="B140" s="7" t="inlineStr">
        <is>
          <t xml:space="preserve">  ↳ RA2vulcan2</t>
        </is>
      </c>
      <c r="C140" s="7" t="inlineStr">
        <is>
          <t>Armament@GARRISONED</t>
        </is>
      </c>
      <c r="L140" s="6" t="n">
        <v>4000</v>
      </c>
      <c r="M140" s="6" t="n">
        <v>25</v>
      </c>
      <c r="N140" s="6" t="n">
        <v>3</v>
      </c>
      <c r="O140" s="6" t="n">
        <v>2</v>
      </c>
      <c r="P140" s="6" t="n">
        <v>5724</v>
      </c>
      <c r="Q140" s="6" t="n">
        <v>0.875</v>
      </c>
      <c r="R140">
        <f>M140+IF(N140&gt;1,N(O140)*(N140-1),0)</f>
        <v/>
      </c>
      <c r="S140">
        <f>IFERROR(L140*MAX(N140,1)/R140*IF(ISBLANK(K136),1,K136),0)</f>
        <v/>
      </c>
      <c r="AB140" s="7" t="inlineStr">
        <is>
          <t>^Warhead_Bullet_Light, ^Warhead_Bullet_Medium</t>
        </is>
      </c>
    </row>
    <row r="141">
      <c r="A141" t="inlineStr">
        <is>
          <t>redalert2</t>
        </is>
      </c>
      <c r="B141" t="inlineStr">
        <is>
          <t>ra2_allies_ra2spy</t>
        </is>
      </c>
      <c r="C141" t="inlineStr">
        <is>
          <t>Spy</t>
        </is>
      </c>
      <c r="D141" s="6" t="inlineStr">
        <is>
          <t>ScoutInfantry</t>
        </is>
      </c>
      <c r="E141" s="6" t="n">
        <v>5000</v>
      </c>
      <c r="F141" s="6" t="n">
        <v>60</v>
      </c>
      <c r="G141" t="inlineStr">
        <is>
          <t>None</t>
        </is>
      </c>
      <c r="H141" s="6" t="n">
        <v>0.8639</v>
      </c>
      <c r="I141" s="6" t="n">
        <v>1</v>
      </c>
      <c r="J141" s="6" t="n">
        <v>1</v>
      </c>
      <c r="K141" s="6" t="n"/>
      <c r="X141" s="6" t="n">
        <v>500</v>
      </c>
    </row>
    <row r="142">
      <c r="A142" t="inlineStr">
        <is>
          <t>redalert2</t>
        </is>
      </c>
      <c r="B142" t="inlineStr">
        <is>
          <t>ra2_soviets_conscript</t>
        </is>
      </c>
      <c r="C142" t="inlineStr">
        <is>
          <t>Conscript</t>
        </is>
      </c>
      <c r="D142" s="6" t="inlineStr">
        <is>
          <t>ScoutInfantry</t>
        </is>
      </c>
      <c r="E142" s="6" t="n">
        <v>26000</v>
      </c>
      <c r="F142" s="6" t="n">
        <v>58</v>
      </c>
      <c r="G142" t="inlineStr">
        <is>
          <t>None</t>
        </is>
      </c>
      <c r="H142" s="6" t="n">
        <v>1</v>
      </c>
      <c r="I142" s="6" t="n">
        <v>1</v>
      </c>
      <c r="J142" s="6" t="n">
        <v>1</v>
      </c>
      <c r="K142" s="6" t="n">
        <v>0.0019</v>
      </c>
      <c r="P142">
        <f>MAX(P143,P144)</f>
        <v/>
      </c>
      <c r="S142">
        <f>S143+S144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(((E142/20000)+(F142/60)+(S142/60)+((P142/5000)*J142))*100/4+(((E142/20000)*(F142/60))+(((P142/5000)*J142)*(S142/60)))*100/2+((E142/20000)*(F142/60)*((P142/5000)*J142)*(S142/60))*100)*(H142/1.0)/3</f>
        <v/>
      </c>
      <c r="X142" s="6" t="n">
        <v>100</v>
      </c>
      <c r="Y142">
        <f>IFERROR(W142-X142,"")</f>
        <v/>
      </c>
      <c r="Z142">
        <f>IFERROR(ABS(Y142)/MAX(X142,1),"")</f>
        <v/>
      </c>
      <c r="AA142">
        <f>IFERROR(ROUND(((3*X142-(((E142/20000)+(F142/60)+(S142/60))*100/4+((E142/20000)*(F142/60))*100/2)*(H142/1.0))/(100/4+((S142/60))*100/2+((E142/20000)*(F142/60)*(S142/60))*100)*(H142/1.0)*5000)/J142,-1),"")</f>
        <v/>
      </c>
    </row>
    <row r="143">
      <c r="B143" s="7" t="inlineStr">
        <is>
          <t xml:space="preserve">  ↳ ra2_soviets_conscript_carbine</t>
        </is>
      </c>
      <c r="C143" s="7" t="inlineStr">
        <is>
          <t>Armament@PRIMARY</t>
        </is>
      </c>
      <c r="L143" s="6" t="n">
        <v>2000</v>
      </c>
      <c r="M143" s="6" t="n">
        <v>18</v>
      </c>
      <c r="N143" s="6" t="n">
        <v>1</v>
      </c>
      <c r="O143" s="6" t="n"/>
      <c r="P143" s="6" t="n">
        <v>4500</v>
      </c>
      <c r="Q143" s="6" t="n">
        <v>0.75</v>
      </c>
      <c r="R143">
        <f>M143+IF(N143&gt;1,N(O143)*(N143-1),0)</f>
        <v/>
      </c>
      <c r="S143">
        <f>IFERROR(L143*MAX(N143,1)/R143*IF(ISBLANK(K142),1,K142),0)</f>
        <v/>
      </c>
      <c r="AB143" s="7" t="inlineStr">
        <is>
          <t>^Warhead_Bullet_Light</t>
        </is>
      </c>
    </row>
    <row r="144">
      <c r="B144" s="7" t="inlineStr">
        <is>
          <t xml:space="preserve">  ↳ ra2_soviets_conscript_carbine_elite</t>
        </is>
      </c>
      <c r="C144" s="7" t="inlineStr">
        <is>
          <t>Armament@ELITE</t>
        </is>
      </c>
      <c r="L144" s="6" t="n">
        <v>2000</v>
      </c>
      <c r="M144" s="6" t="n">
        <v>18</v>
      </c>
      <c r="N144" s="6" t="n">
        <v>2</v>
      </c>
      <c r="O144" s="6" t="n">
        <v>3</v>
      </c>
      <c r="P144" s="6" t="n">
        <v>5500</v>
      </c>
      <c r="Q144" s="6" t="n">
        <v>0.75</v>
      </c>
      <c r="R144">
        <f>M144+IF(N144&gt;1,N(O144)*(N144-1),0)</f>
        <v/>
      </c>
      <c r="S144">
        <f>IFERROR(L144*MAX(N144,1)/R144*IF(ISBLANK(K142),1,K142),0)</f>
        <v/>
      </c>
      <c r="AB144" s="7" t="inlineStr">
        <is>
          <t>^Warhead_Bullet_Light</t>
        </is>
      </c>
    </row>
    <row r="145">
      <c r="B145" s="7" t="inlineStr">
        <is>
          <t xml:space="preserve">  ↳ RA2vulcan3</t>
        </is>
      </c>
      <c r="C145" s="7" t="inlineStr">
        <is>
          <t>Armament@GARRISONED</t>
        </is>
      </c>
      <c r="L145" s="6" t="n">
        <v>4000</v>
      </c>
      <c r="M145" s="6" t="n">
        <v>50</v>
      </c>
      <c r="N145" s="6" t="n">
        <v>3</v>
      </c>
      <c r="O145" s="6" t="n">
        <v>2</v>
      </c>
      <c r="P145" s="6" t="n">
        <v>5724</v>
      </c>
      <c r="Q145" s="6" t="n">
        <v>0.875</v>
      </c>
      <c r="R145">
        <f>M145+IF(N145&gt;1,N(O145)*(N145-1),0)</f>
        <v/>
      </c>
      <c r="S145">
        <f>IFERROR(L145*MAX(N145,1)/R145*IF(ISBLANK(K142),1,K142),0)</f>
        <v/>
      </c>
      <c r="AB145" s="7" t="inlineStr">
        <is>
          <t>^Warhead_Bullet_Light, ^Warhead_Bullet_Medium</t>
        </is>
      </c>
    </row>
    <row r="146">
      <c r="A146" t="inlineStr">
        <is>
          <t>redalert2</t>
        </is>
      </c>
      <c r="B146" t="inlineStr">
        <is>
          <t>yuri_clone</t>
        </is>
      </c>
      <c r="C146" t="inlineStr">
        <is>
          <t>Yuri Clone</t>
        </is>
      </c>
      <c r="D146" s="6" t="inlineStr">
        <is>
          <t>ScoutInfantry</t>
        </is>
      </c>
      <c r="E146" s="6" t="n">
        <v>5000</v>
      </c>
      <c r="F146" s="6" t="n">
        <v>50</v>
      </c>
      <c r="G146" t="inlineStr">
        <is>
          <t>None</t>
        </is>
      </c>
      <c r="H146" s="6" t="n">
        <v>0.8824</v>
      </c>
      <c r="I146" s="6" t="n">
        <v>1</v>
      </c>
      <c r="J146" s="6" t="n">
        <v>1</v>
      </c>
      <c r="K146" s="6" t="n"/>
      <c r="P146">
        <f>MAX(P147)</f>
        <v/>
      </c>
      <c r="S146">
        <f>S147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(((E146/5000)+(F146/50)+(S146/0)+((P146/0)*J146))*500/4+(((E146/5000)*(F146/50))+(((P146/0)*J146)*(S146/0)))*500/2+((E146/5000)*(F146/50)*((P146/0)*J146)*(S146/0))*500)*(H146/1.0)/3</f>
        <v/>
      </c>
      <c r="X146" s="6" t="n">
        <v>500</v>
      </c>
      <c r="Y146">
        <f>IFERROR(W146-X146,"")</f>
        <v/>
      </c>
      <c r="Z146">
        <f>IFERROR(ABS(Y146)/MAX(X146,1),"")</f>
        <v/>
      </c>
      <c r="AA146">
        <f>IFERROR(ROUND(((3*X146-(((E146/5000)+(F146/50)+(S146/0))*500/4+((E146/5000)*(F146/50))*500/2)*(H146/1.0))/(500/4+((S146/0))*500/2+((E146/5000)*(F146/50)*(S146/0))*500)*(H146/1.0)*0)/J146,-1),"")</f>
        <v/>
      </c>
    </row>
    <row r="147">
      <c r="B147" s="7" t="inlineStr">
        <is>
          <t xml:space="preserve">  ↳ RA2MindControl</t>
        </is>
      </c>
      <c r="C147" s="7" t="inlineStr">
        <is>
          <t>Armament@CONTROL</t>
        </is>
      </c>
      <c r="L147" s="6" t="n">
        <v>0</v>
      </c>
      <c r="M147" s="6" t="n">
        <v>75</v>
      </c>
      <c r="N147" s="6" t="n">
        <v>1</v>
      </c>
      <c r="O147" s="6" t="n"/>
      <c r="P147" s="6" t="n">
        <v>7000</v>
      </c>
      <c r="Q147" s="6" t="n">
        <v>1</v>
      </c>
      <c r="R147">
        <f>M147+IF(N147&gt;1,N(O147)*(N147-1),0)</f>
        <v/>
      </c>
      <c r="S147">
        <f>IFERROR(L147*MAX(N147,1)/R147*IF(ISBLANK(K146),1,K146),0)</f>
        <v/>
      </c>
      <c r="AB147" s="7" t="inlineStr"/>
    </row>
    <row r="148">
      <c r="A148" t="inlineStr">
        <is>
          <t>redalert2mod</t>
        </is>
      </c>
      <c r="B148" t="inlineStr">
        <is>
          <t>asianalliance_asianmilitia</t>
        </is>
      </c>
      <c r="C148" t="inlineStr">
        <is>
          <t>Asian Militia</t>
        </is>
      </c>
      <c r="D148" s="6" t="inlineStr">
        <is>
          <t>ScoutInfantry</t>
        </is>
      </c>
      <c r="E148" s="6" t="n">
        <v>24000</v>
      </c>
      <c r="F148" s="6" t="n">
        <v>53</v>
      </c>
      <c r="G148" t="inlineStr">
        <is>
          <t>None</t>
        </is>
      </c>
      <c r="H148" s="6" t="n">
        <v>1</v>
      </c>
      <c r="I148" s="6" t="n">
        <v>1</v>
      </c>
      <c r="J148" s="6" t="n">
        <v>1</v>
      </c>
      <c r="K148" s="6" t="n">
        <v>0.0083</v>
      </c>
      <c r="P148">
        <f>MAX(P149,P150,P151,P152)</f>
        <v/>
      </c>
      <c r="S148">
        <f>S149+S150+S151+S152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(((E148/20000)+(F148/60)+(S148/60)+((P148/5000)*J148))*100/4+(((E148/20000)*(F148/60))+(((P148/5000)*J148)*(S148/60)))*100/2+((E148/20000)*(F148/60)*((P148/5000)*J148)*(S148/60))*100)*(H148/1.0)/3</f>
        <v/>
      </c>
      <c r="X148" s="6" t="n">
        <v>110</v>
      </c>
      <c r="Y148">
        <f>IFERROR(W148-X148,"")</f>
        <v/>
      </c>
      <c r="Z148">
        <f>IFERROR(ABS(Y148)/MAX(X148,1),"")</f>
        <v/>
      </c>
      <c r="AA148">
        <f>IFERROR(ROUND(((3*X148-(((E148/20000)+(F148/60)+(S148/60))*100/4+((E148/20000)*(F148/60))*100/2)*(H148/1.0))/(100/4+((S148/60))*100/2+((E148/20000)*(F148/60)*(S148/60))*100)*(H148/1.0)*5000)/J148,-1),"")</f>
        <v/>
      </c>
    </row>
    <row r="149">
      <c r="B149" s="7" t="inlineStr">
        <is>
          <t xml:space="preserve">  ↳ asianalliance_asianmilitia_shotgun</t>
        </is>
      </c>
      <c r="C149" s="7" t="inlineStr">
        <is>
          <t>Armament@PRIMARY</t>
        </is>
      </c>
      <c r="L149" s="6" t="n">
        <v>6000</v>
      </c>
      <c r="M149" s="6" t="n">
        <v>50</v>
      </c>
      <c r="N149" s="6" t="n">
        <v>1</v>
      </c>
      <c r="O149" s="6" t="n"/>
      <c r="P149" s="6" t="n">
        <v>4500</v>
      </c>
      <c r="Q149" s="6" t="n">
        <v>0.75</v>
      </c>
      <c r="R149">
        <f>M149+IF(N149&gt;1,N(O149)*(N149-1),0)</f>
        <v/>
      </c>
      <c r="S149">
        <f>IFERROR(L149*MAX(N149,1)/R149*IF(ISBLANK(K148),1,K148),0)</f>
        <v/>
      </c>
      <c r="AB149" s="7" t="inlineStr">
        <is>
          <t>^Warhead_Bullet_Light</t>
        </is>
      </c>
    </row>
    <row r="150">
      <c r="B150" s="7" t="inlineStr">
        <is>
          <t xml:space="preserve">  ↳ asianalliance_asianmilitia_shotgun_elite</t>
        </is>
      </c>
      <c r="C150" s="7" t="inlineStr">
        <is>
          <t>Armament@ELITE</t>
        </is>
      </c>
      <c r="L150" s="6" t="n">
        <v>6000</v>
      </c>
      <c r="M150" s="6" t="n">
        <v>50</v>
      </c>
      <c r="N150" s="6" t="n">
        <v>2</v>
      </c>
      <c r="O150" s="6" t="n">
        <v>3</v>
      </c>
      <c r="P150" s="6" t="n">
        <v>5500</v>
      </c>
      <c r="Q150" s="6" t="n">
        <v>0.75</v>
      </c>
      <c r="R150">
        <f>M150+IF(N150&gt;1,N(O150)*(N150-1),0)</f>
        <v/>
      </c>
      <c r="S150">
        <f>IFERROR(L150*MAX(N150,1)/R150*IF(ISBLANK(K148),1,K148),0)</f>
        <v/>
      </c>
      <c r="AB150" s="7" t="inlineStr">
        <is>
          <t>^Warhead_Bullet_Light</t>
        </is>
      </c>
    </row>
    <row r="151">
      <c r="B151" s="7" t="inlineStr">
        <is>
          <t xml:space="preserve">  ↳ asianalliance_asianmilitia_grenade</t>
        </is>
      </c>
      <c r="C151" s="7" t="inlineStr">
        <is>
          <t>Armament@GRENADE</t>
        </is>
      </c>
      <c r="L151" s="6" t="n">
        <v>8000</v>
      </c>
      <c r="M151" s="6" t="n">
        <v>92</v>
      </c>
      <c r="N151" s="6" t="n">
        <v>1</v>
      </c>
      <c r="O151" s="6" t="n"/>
      <c r="P151" s="6" t="n">
        <v>4500</v>
      </c>
      <c r="Q151" s="6" t="n">
        <v>1</v>
      </c>
      <c r="R151">
        <f>M151+IF(N151&gt;1,N(O151)*(N151-1),0)</f>
        <v/>
      </c>
      <c r="S151">
        <f>IFERROR(L151*MAX(N151,1)/R151*IF(ISBLANK(K148),1,K148),0)</f>
        <v/>
      </c>
      <c r="AB151" s="7" t="inlineStr">
        <is>
          <t>^Warhead_Concussion_Medium, ^Warhead_CannonHE_Medium</t>
        </is>
      </c>
    </row>
    <row r="152">
      <c r="B152" s="7" t="inlineStr">
        <is>
          <t xml:space="preserve">  ↳ asianalliance_asianmilitia_grenade_elite</t>
        </is>
      </c>
      <c r="C152" s="7" t="inlineStr">
        <is>
          <t>Armament@GRENADEELITE</t>
        </is>
      </c>
      <c r="L152" s="6" t="n">
        <v>8000</v>
      </c>
      <c r="M152" s="6" t="n">
        <v>92</v>
      </c>
      <c r="N152" s="6" t="n">
        <v>2</v>
      </c>
      <c r="O152" s="6" t="n">
        <v>3</v>
      </c>
      <c r="P152" s="6" t="n">
        <v>5500</v>
      </c>
      <c r="Q152" s="6" t="n">
        <v>1</v>
      </c>
      <c r="R152">
        <f>M152+IF(N152&gt;1,N(O152)*(N152-1),0)</f>
        <v/>
      </c>
      <c r="S152">
        <f>IFERROR(L152*MAX(N152,1)/R152*IF(ISBLANK(K148),1,K148),0)</f>
        <v/>
      </c>
      <c r="AB152" s="7" t="inlineStr">
        <is>
          <t>^Warhead_Concussion_Medium, ^Warhead_CannonHE_Medium</t>
        </is>
      </c>
    </row>
    <row r="153">
      <c r="B153" s="7" t="inlineStr">
        <is>
          <t xml:space="preserve">  ↳ asianalliance_asianmilitia_shotgun</t>
        </is>
      </c>
      <c r="C153" s="7" t="inlineStr">
        <is>
          <t>Armament@GARRISONED</t>
        </is>
      </c>
      <c r="L153" s="6" t="n">
        <v>6000</v>
      </c>
      <c r="M153" s="6" t="n">
        <v>50</v>
      </c>
      <c r="N153" s="6" t="n">
        <v>1</v>
      </c>
      <c r="O153" s="6" t="n"/>
      <c r="P153" s="6" t="n">
        <v>4500</v>
      </c>
      <c r="Q153" s="6" t="n">
        <v>0.75</v>
      </c>
      <c r="R153">
        <f>M153+IF(N153&gt;1,N(O153)*(N153-1),0)</f>
        <v/>
      </c>
      <c r="S153">
        <f>IFERROR(L153*MAX(N153,1)/R153*IF(ISBLANK(K148),1,K148),0)</f>
        <v/>
      </c>
      <c r="AB153" s="7" t="inlineStr">
        <is>
          <t>^Warhead_Bullet_Light</t>
        </is>
      </c>
    </row>
    <row r="154">
      <c r="B154" s="7" t="inlineStr">
        <is>
          <t xml:space="preserve">  ↳ asianalliance_asianmilitia_shotgun_elite</t>
        </is>
      </c>
      <c r="C154" s="7" t="inlineStr">
        <is>
          <t>Armament@GARRISONEDELITE</t>
        </is>
      </c>
      <c r="L154" s="6" t="n">
        <v>6000</v>
      </c>
      <c r="M154" s="6" t="n">
        <v>50</v>
      </c>
      <c r="N154" s="6" t="n">
        <v>2</v>
      </c>
      <c r="O154" s="6" t="n">
        <v>3</v>
      </c>
      <c r="P154" s="6" t="n">
        <v>5500</v>
      </c>
      <c r="Q154" s="6" t="n">
        <v>0.75</v>
      </c>
      <c r="R154">
        <f>M154+IF(N154&gt;1,N(O154)*(N154-1),0)</f>
        <v/>
      </c>
      <c r="S154">
        <f>IFERROR(L154*MAX(N154,1)/R154*IF(ISBLANK(K148),1,K148),0)</f>
        <v/>
      </c>
      <c r="AB154" s="7" t="inlineStr">
        <is>
          <t>^Warhead_Bullet_Light</t>
        </is>
      </c>
    </row>
    <row r="155">
      <c r="B155" s="7" t="inlineStr">
        <is>
          <t xml:space="preserve">  ↳ asianalliance_asianmilitia_grenade</t>
        </is>
      </c>
      <c r="C155" s="7" t="inlineStr">
        <is>
          <t>Armament@GRENADEG</t>
        </is>
      </c>
      <c r="L155" s="6" t="n">
        <v>8000</v>
      </c>
      <c r="M155" s="6" t="n">
        <v>92</v>
      </c>
      <c r="N155" s="6" t="n">
        <v>1</v>
      </c>
      <c r="O155" s="6" t="n"/>
      <c r="P155" s="6" t="n">
        <v>4500</v>
      </c>
      <c r="Q155" s="6" t="n">
        <v>1</v>
      </c>
      <c r="R155">
        <f>M155+IF(N155&gt;1,N(O155)*(N155-1),0)</f>
        <v/>
      </c>
      <c r="S155">
        <f>IFERROR(L155*MAX(N155,1)/R155*IF(ISBLANK(K148),1,K148),0)</f>
        <v/>
      </c>
      <c r="AB155" s="7" t="inlineStr">
        <is>
          <t>^Warhead_Concussion_Medium, ^Warhead_CannonHE_Medium</t>
        </is>
      </c>
    </row>
    <row r="156">
      <c r="B156" s="7" t="inlineStr">
        <is>
          <t xml:space="preserve">  ↳ asianalliance_asianmilitia_grenade_elite</t>
        </is>
      </c>
      <c r="C156" s="7" t="inlineStr">
        <is>
          <t>Armament@GRENADEGE</t>
        </is>
      </c>
      <c r="L156" s="6" t="n">
        <v>8000</v>
      </c>
      <c r="M156" s="6" t="n">
        <v>92</v>
      </c>
      <c r="N156" s="6" t="n">
        <v>2</v>
      </c>
      <c r="O156" s="6" t="n">
        <v>3</v>
      </c>
      <c r="P156" s="6" t="n">
        <v>5500</v>
      </c>
      <c r="Q156" s="6" t="n">
        <v>1</v>
      </c>
      <c r="R156">
        <f>M156+IF(N156&gt;1,N(O156)*(N156-1),0)</f>
        <v/>
      </c>
      <c r="S156">
        <f>IFERROR(L156*MAX(N156,1)/R156*IF(ISBLANK(K148),1,K148),0)</f>
        <v/>
      </c>
      <c r="AB156" s="7" t="inlineStr">
        <is>
          <t>^Warhead_Concussion_Medium, ^Warhead_CannonHE_Medium</t>
        </is>
      </c>
    </row>
    <row r="157">
      <c r="A157" t="inlineStr">
        <is>
          <t>redalert2mod</t>
        </is>
      </c>
      <c r="B157" t="inlineStr">
        <is>
          <t>latinsyndicate_latinmilitia</t>
        </is>
      </c>
      <c r="C157" t="inlineStr">
        <is>
          <t>Latin Militia</t>
        </is>
      </c>
      <c r="D157" s="6" t="inlineStr">
        <is>
          <t>ScoutInfantry</t>
        </is>
      </c>
      <c r="E157" s="6" t="n">
        <v>25000</v>
      </c>
      <c r="F157" s="6" t="n">
        <v>51</v>
      </c>
      <c r="G157" t="inlineStr">
        <is>
          <t>None</t>
        </is>
      </c>
      <c r="H157" s="6" t="n">
        <v>1</v>
      </c>
      <c r="I157" s="6" t="n">
        <v>1</v>
      </c>
      <c r="J157" s="6" t="n">
        <v>1</v>
      </c>
      <c r="K157" s="6" t="n">
        <v>0.0039</v>
      </c>
      <c r="P157">
        <f>MAX(P158,P159,P160,P161)</f>
        <v/>
      </c>
      <c r="S157">
        <f>S158+S159+S160+S161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(((E157/20000)+(F157/60)+(S157/60)+((P157/5000)*J157))*100/4+(((E157/20000)*(F157/60))+(((P157/5000)*J157)*(S157/60)))*100/2+((E157/20000)*(F157/60)*((P157/5000)*J157)*(S157/60))*100)*(H157/1.0)/3</f>
        <v/>
      </c>
      <c r="X157" s="6" t="n">
        <v>130</v>
      </c>
      <c r="Y157">
        <f>IFERROR(W157-X157,"")</f>
        <v/>
      </c>
      <c r="Z157">
        <f>IFERROR(ABS(Y157)/MAX(X157,1),"")</f>
        <v/>
      </c>
      <c r="AA157">
        <f>IFERROR(ROUND(((3*X157-(((E157/20000)+(F157/60)+(S157/60))*100/4+((E157/20000)*(F157/60))*100/2)*(H157/1.0))/(100/4+((S157/60))*100/2+((E157/20000)*(F157/60)*(S157/60))*100)*(H157/1.0)*5000)/J157,-1),"")</f>
        <v/>
      </c>
    </row>
    <row r="158">
      <c r="B158" s="7" t="inlineStr">
        <is>
          <t xml:space="preserve">  ↳ latinsyndicate_latinmilitia_ak47</t>
        </is>
      </c>
      <c r="C158" s="7" t="inlineStr">
        <is>
          <t>Armament@PRIMARY</t>
        </is>
      </c>
      <c r="L158" s="6" t="n">
        <v>2000</v>
      </c>
      <c r="M158" s="6" t="n">
        <v>22</v>
      </c>
      <c r="N158" s="6" t="n">
        <v>3</v>
      </c>
      <c r="O158" s="6" t="n">
        <v>4</v>
      </c>
      <c r="P158" s="6" t="n">
        <v>5395</v>
      </c>
      <c r="Q158" s="6" t="n">
        <v>0.75</v>
      </c>
      <c r="R158">
        <f>M158+IF(N158&gt;1,N(O158)*(N158-1),0)</f>
        <v/>
      </c>
      <c r="S158">
        <f>IFERROR(L158*MAX(N158,1)/R158*IF(ISBLANK(K157),1,K157),0)</f>
        <v/>
      </c>
      <c r="AB158" s="7" t="inlineStr">
        <is>
          <t>^Warhead_Bullet_Light</t>
        </is>
      </c>
    </row>
    <row r="159">
      <c r="B159" s="7" t="inlineStr">
        <is>
          <t xml:space="preserve">  ↳ latinsyndicate_latinmilitia_ak47_elite</t>
        </is>
      </c>
      <c r="C159" s="7" t="inlineStr">
        <is>
          <t>Armament@ELITE</t>
        </is>
      </c>
      <c r="L159" s="6" t="n">
        <v>2000</v>
      </c>
      <c r="M159" s="6" t="n">
        <v>22</v>
      </c>
      <c r="N159" s="6" t="n">
        <v>6</v>
      </c>
      <c r="O159" s="6" t="n">
        <v>3</v>
      </c>
      <c r="P159" s="6" t="n">
        <v>5500</v>
      </c>
      <c r="Q159" s="6" t="n">
        <v>0.75</v>
      </c>
      <c r="R159">
        <f>M159+IF(N159&gt;1,N(O159)*(N159-1),0)</f>
        <v/>
      </c>
      <c r="S159">
        <f>IFERROR(L159*MAX(N159,1)/R159*IF(ISBLANK(K157),1,K157),0)</f>
        <v/>
      </c>
      <c r="AB159" s="7" t="inlineStr">
        <is>
          <t>^Warhead_Bullet_Light</t>
        </is>
      </c>
    </row>
    <row r="160">
      <c r="B160" s="7" t="inlineStr">
        <is>
          <t xml:space="preserve">  ↳ latinsyndicate_latinmilitia_molotov</t>
        </is>
      </c>
      <c r="C160" s="7" t="inlineStr">
        <is>
          <t>Armament@Molotov</t>
        </is>
      </c>
      <c r="L160" s="6" t="n">
        <v>8000</v>
      </c>
      <c r="M160" s="6" t="n">
        <v>93</v>
      </c>
      <c r="N160" s="6" t="n">
        <v>1</v>
      </c>
      <c r="O160" s="6" t="n"/>
      <c r="P160" s="6" t="n">
        <v>4500</v>
      </c>
      <c r="Q160" s="6" t="n">
        <v>0.75</v>
      </c>
      <c r="R160">
        <f>M160+IF(N160&gt;1,N(O160)*(N160-1),0)</f>
        <v/>
      </c>
      <c r="S160">
        <f>IFERROR(L160*MAX(N160,1)/R160*IF(ISBLANK(K157),1,K157),0)</f>
        <v/>
      </c>
      <c r="AB160" s="7" t="inlineStr">
        <is>
          <t>^Warhead_Flame_Light, ^Warhead_Demolition_Light</t>
        </is>
      </c>
    </row>
    <row r="161">
      <c r="B161" s="7" t="inlineStr">
        <is>
          <t xml:space="preserve">  ↳ latinsyndicate_latinmilitia_molotov_elite</t>
        </is>
      </c>
      <c r="C161" s="7" t="inlineStr">
        <is>
          <t>Armament@MolotovELITE</t>
        </is>
      </c>
      <c r="L161" s="6" t="n">
        <v>8000</v>
      </c>
      <c r="M161" s="6" t="n">
        <v>93</v>
      </c>
      <c r="N161" s="6" t="n">
        <v>2</v>
      </c>
      <c r="O161" s="6" t="n">
        <v>3</v>
      </c>
      <c r="P161" s="6" t="n">
        <v>5500</v>
      </c>
      <c r="Q161" s="6" t="n">
        <v>0.75</v>
      </c>
      <c r="R161">
        <f>M161+IF(N161&gt;1,N(O161)*(N161-1),0)</f>
        <v/>
      </c>
      <c r="S161">
        <f>IFERROR(L161*MAX(N161,1)/R161*IF(ISBLANK(K157),1,K157),0)</f>
        <v/>
      </c>
      <c r="AB161" s="7" t="inlineStr">
        <is>
          <t>^Warhead_Flame_Light, ^Warhead_Demolition_Light</t>
        </is>
      </c>
    </row>
    <row r="162">
      <c r="B162" s="7" t="inlineStr">
        <is>
          <t xml:space="preserve">  ↳ latinsyndicate_latinmilitia_ak47</t>
        </is>
      </c>
      <c r="C162" s="7" t="inlineStr">
        <is>
          <t>Armament@GARRISONED</t>
        </is>
      </c>
      <c r="L162" s="6" t="n">
        <v>2000</v>
      </c>
      <c r="M162" s="6" t="n">
        <v>22</v>
      </c>
      <c r="N162" s="6" t="n">
        <v>3</v>
      </c>
      <c r="O162" s="6" t="n">
        <v>4</v>
      </c>
      <c r="P162" s="6" t="n">
        <v>5395</v>
      </c>
      <c r="Q162" s="6" t="n">
        <v>0.75</v>
      </c>
      <c r="R162">
        <f>M162+IF(N162&gt;1,N(O162)*(N162-1),0)</f>
        <v/>
      </c>
      <c r="S162">
        <f>IFERROR(L162*MAX(N162,1)/R162*IF(ISBLANK(K157),1,K157),0)</f>
        <v/>
      </c>
      <c r="AB162" s="7" t="inlineStr">
        <is>
          <t>^Warhead_Bullet_Light</t>
        </is>
      </c>
    </row>
    <row r="163">
      <c r="B163" s="7" t="inlineStr">
        <is>
          <t xml:space="preserve">  ↳ latinsyndicate_latinmilitia_ak47_elite</t>
        </is>
      </c>
      <c r="C163" s="7" t="inlineStr">
        <is>
          <t>Armament@GARRISONEDELITE</t>
        </is>
      </c>
      <c r="L163" s="6" t="n">
        <v>2000</v>
      </c>
      <c r="M163" s="6" t="n">
        <v>22</v>
      </c>
      <c r="N163" s="6" t="n">
        <v>6</v>
      </c>
      <c r="O163" s="6" t="n">
        <v>3</v>
      </c>
      <c r="P163" s="6" t="n">
        <v>5500</v>
      </c>
      <c r="Q163" s="6" t="n">
        <v>0.75</v>
      </c>
      <c r="R163">
        <f>M163+IF(N163&gt;1,N(O163)*(N163-1),0)</f>
        <v/>
      </c>
      <c r="S163">
        <f>IFERROR(L163*MAX(N163,1)/R163*IF(ISBLANK(K157),1,K157),0)</f>
        <v/>
      </c>
      <c r="AB163" s="7" t="inlineStr">
        <is>
          <t>^Warhead_Bullet_Light</t>
        </is>
      </c>
    </row>
    <row r="164">
      <c r="B164" s="7" t="inlineStr">
        <is>
          <t xml:space="preserve">  ↳ latinsyndicate_latinmilitia_molotov</t>
        </is>
      </c>
      <c r="C164" s="7" t="inlineStr">
        <is>
          <t>Armament@MolotovGARRISONED</t>
        </is>
      </c>
      <c r="L164" s="6" t="n">
        <v>8000</v>
      </c>
      <c r="M164" s="6" t="n">
        <v>93</v>
      </c>
      <c r="N164" s="6" t="n">
        <v>1</v>
      </c>
      <c r="O164" s="6" t="n"/>
      <c r="P164" s="6" t="n">
        <v>4500</v>
      </c>
      <c r="Q164" s="6" t="n">
        <v>0.75</v>
      </c>
      <c r="R164">
        <f>M164+IF(N164&gt;1,N(O164)*(N164-1),0)</f>
        <v/>
      </c>
      <c r="S164">
        <f>IFERROR(L164*MAX(N164,1)/R164*IF(ISBLANK(K157),1,K157),0)</f>
        <v/>
      </c>
      <c r="AB164" s="7" t="inlineStr">
        <is>
          <t>^Warhead_Flame_Light, ^Warhead_Demolition_Light</t>
        </is>
      </c>
    </row>
    <row r="165">
      <c r="B165" s="7" t="inlineStr">
        <is>
          <t xml:space="preserve">  ↳ latinsyndicate_latinmilitia_molotov_elite</t>
        </is>
      </c>
      <c r="C165" s="7" t="inlineStr">
        <is>
          <t>Armament@MolotovGARRISONEDELITE</t>
        </is>
      </c>
      <c r="L165" s="6" t="n">
        <v>8000</v>
      </c>
      <c r="M165" s="6" t="n">
        <v>93</v>
      </c>
      <c r="N165" s="6" t="n">
        <v>2</v>
      </c>
      <c r="O165" s="6" t="n">
        <v>3</v>
      </c>
      <c r="P165" s="6" t="n">
        <v>5500</v>
      </c>
      <c r="Q165" s="6" t="n">
        <v>0.75</v>
      </c>
      <c r="R165">
        <f>M165+IF(N165&gt;1,N(O165)*(N165-1),0)</f>
        <v/>
      </c>
      <c r="S165">
        <f>IFERROR(L165*MAX(N165,1)/R165*IF(ISBLANK(K157),1,K157),0)</f>
        <v/>
      </c>
      <c r="AB165" s="7" t="inlineStr">
        <is>
          <t>^Warhead_Flame_Light, ^Warhead_Demolition_Light</t>
        </is>
      </c>
    </row>
    <row r="166">
      <c r="A166" t="inlineStr">
        <is>
          <t>redalert2mod</t>
        </is>
      </c>
      <c r="B166" t="inlineStr">
        <is>
          <t>conehead2.nax</t>
        </is>
      </c>
      <c r="C166" t="inlineStr">
        <is>
          <t>Conehead Leader</t>
        </is>
      </c>
      <c r="D166" s="6" t="inlineStr">
        <is>
          <t>ScoutInfantry</t>
        </is>
      </c>
      <c r="E166" s="6" t="n">
        <v>40000</v>
      </c>
      <c r="F166" s="6" t="n">
        <v>90</v>
      </c>
      <c r="G166" t="inlineStr">
        <is>
          <t>None</t>
        </is>
      </c>
      <c r="H166" s="6" t="n">
        <v>1</v>
      </c>
      <c r="I166" s="6" t="n">
        <v>1</v>
      </c>
      <c r="J166" s="6" t="n">
        <v>1</v>
      </c>
      <c r="K166" s="6" t="n"/>
      <c r="P166">
        <f>MAX(P167,P168)</f>
        <v/>
      </c>
      <c r="S166">
        <f>S167+S168</f>
        <v/>
      </c>
      <c r="T166">
        <f>(E166/100000+F166/100+(P166/1000)*J166/5+S166/200)*200*I166*H166</f>
        <v/>
      </c>
      <c r="U166">
        <f>((E166*F166/25000)+((P166/1000)*J166*S166/2.5))*I166*H166</f>
        <v/>
      </c>
      <c r="V166">
        <f>(E166*F166*(P166/1000)*J166*S166*I166*H166)/12500000</f>
        <v/>
      </c>
      <c r="W166">
        <f>(((E166/20000)+(F166/60)+(S166/60)+((P166/5000)*J166))*100/4+(((E166/20000)*(F166/60))+(((P166/5000)*J166)*(S166/60)))*100/2+((E166/20000)*(F166/60)*((P166/5000)*J166)*(S166/60))*100)*(H166/1.0)/3</f>
        <v/>
      </c>
      <c r="X166" s="6" t="n">
        <v>500</v>
      </c>
      <c r="Y166">
        <f>IFERROR(W166-X166,"")</f>
        <v/>
      </c>
      <c r="Z166">
        <f>IFERROR(ABS(Y166)/MAX(X166,1),"")</f>
        <v/>
      </c>
      <c r="AA166">
        <f>IFERROR(ROUND(((3*X166-(((E166/20000)+(F166/60)+(S166/60))*100/4+((E166/20000)*(F166/60))*100/2)*(H166/1.0))/(100/4+((S166/60))*100/2+((E166/20000)*(F166/60)*(S166/60))*100)*(H166/1.0)*5000)/J166,-1),"")</f>
        <v/>
      </c>
    </row>
    <row r="167">
      <c r="B167" s="7" t="inlineStr">
        <is>
          <t xml:space="preserve">  ↳ RA2PortaTesla</t>
        </is>
      </c>
      <c r="C167" s="7" t="inlineStr">
        <is>
          <t>Armament@PRIMARY</t>
        </is>
      </c>
      <c r="L167" s="6" t="n">
        <v>24000</v>
      </c>
      <c r="M167" s="6" t="n">
        <v>100</v>
      </c>
      <c r="N167" s="6" t="n">
        <v>1</v>
      </c>
      <c r="O167" s="6" t="n"/>
      <c r="P167" s="6" t="n">
        <v>5222</v>
      </c>
      <c r="Q167" s="6" t="n">
        <v>1.25</v>
      </c>
      <c r="R167">
        <f>M167+IF(N167&gt;1,N(O167)*(N167-1),0)</f>
        <v/>
      </c>
      <c r="S167">
        <f>IFERROR(L167*MAX(N167,1)/R167*IF(ISBLANK(K166),1,K166),0)</f>
        <v/>
      </c>
      <c r="AB167" s="7" t="inlineStr">
        <is>
          <t>^Warhead_Tesla_Heavy</t>
        </is>
      </c>
    </row>
    <row r="168">
      <c r="B168" s="7" t="inlineStr">
        <is>
          <t xml:space="preserve">  ↳ RA2PortaTesla</t>
        </is>
      </c>
      <c r="C168" s="7" t="inlineStr">
        <is>
          <t>Armament@ELITE</t>
        </is>
      </c>
      <c r="L168" s="6" t="n">
        <v>24000</v>
      </c>
      <c r="M168" s="6" t="n">
        <v>100</v>
      </c>
      <c r="N168" s="6" t="n">
        <v>1</v>
      </c>
      <c r="O168" s="6" t="n"/>
      <c r="P168" s="6" t="n">
        <v>5222</v>
      </c>
      <c r="Q168" s="6" t="n">
        <v>1.25</v>
      </c>
      <c r="R168">
        <f>M168+IF(N168&gt;1,N(O168)*(N168-1),0)</f>
        <v/>
      </c>
      <c r="S168">
        <f>IFERROR(L168*MAX(N168,1)/R168*IF(ISBLANK(K166),1,K166),0)</f>
        <v/>
      </c>
      <c r="AB168" s="7" t="inlineStr">
        <is>
          <t>^Warhead_Tesla_Heavy</t>
        </is>
      </c>
    </row>
    <row r="169">
      <c r="B169" s="7" t="inlineStr">
        <is>
          <t xml:space="preserve">  ↳ RA2PortaTesla</t>
        </is>
      </c>
      <c r="C169" s="7" t="inlineStr">
        <is>
          <t>Armament@GARRISONED</t>
        </is>
      </c>
      <c r="L169" s="6" t="n">
        <v>24000</v>
      </c>
      <c r="M169" s="6" t="n">
        <v>100</v>
      </c>
      <c r="N169" s="6" t="n">
        <v>1</v>
      </c>
      <c r="O169" s="6" t="n"/>
      <c r="P169" s="6" t="n">
        <v>5222</v>
      </c>
      <c r="Q169" s="6" t="n">
        <v>1.25</v>
      </c>
      <c r="R169">
        <f>M169+IF(N169&gt;1,N(O169)*(N169-1),0)</f>
        <v/>
      </c>
      <c r="S169">
        <f>IFERROR(L169*MAX(N169,1)/R169*IF(ISBLANK(K166),1,K166),0)</f>
        <v/>
      </c>
      <c r="AB169" s="7" t="inlineStr">
        <is>
          <t>^Warhead_Tesla_Heavy</t>
        </is>
      </c>
    </row>
    <row r="170">
      <c r="B170" s="7" t="inlineStr">
        <is>
          <t xml:space="preserve">  ↳ RA2PortaTesla</t>
        </is>
      </c>
      <c r="C170" s="7" t="inlineStr">
        <is>
          <t>Armament@GARRISONEDELITE</t>
        </is>
      </c>
      <c r="L170" s="6" t="n">
        <v>24000</v>
      </c>
      <c r="M170" s="6" t="n">
        <v>100</v>
      </c>
      <c r="N170" s="6" t="n">
        <v>1</v>
      </c>
      <c r="O170" s="6" t="n"/>
      <c r="P170" s="6" t="n">
        <v>5222</v>
      </c>
      <c r="Q170" s="6" t="n">
        <v>1.25</v>
      </c>
      <c r="R170">
        <f>M170+IF(N170&gt;1,N(O170)*(N170-1),0)</f>
        <v/>
      </c>
      <c r="S170">
        <f>IFERROR(L170*MAX(N170,1)/R170*IF(ISBLANK(K166),1,K166),0)</f>
        <v/>
      </c>
      <c r="AB170" s="7" t="inlineStr">
        <is>
          <t>^Warhead_Tesla_Heavy</t>
        </is>
      </c>
    </row>
    <row r="171">
      <c r="A171" t="inlineStr">
        <is>
          <t>redalert2mod</t>
        </is>
      </c>
      <c r="B171" t="inlineStr">
        <is>
          <t>naxis_coneheadsknights</t>
        </is>
      </c>
      <c r="C171" t="inlineStr">
        <is>
          <t>Coneheads Knights</t>
        </is>
      </c>
      <c r="D171" s="6" t="inlineStr">
        <is>
          <t>ScoutInfantry</t>
        </is>
      </c>
      <c r="E171" s="6" t="n">
        <v>20000</v>
      </c>
      <c r="F171" s="6" t="n">
        <v>90</v>
      </c>
      <c r="G171" t="inlineStr">
        <is>
          <t>None</t>
        </is>
      </c>
      <c r="H171" s="6" t="n">
        <v>0.6322</v>
      </c>
      <c r="I171" s="6" t="n">
        <v>1</v>
      </c>
      <c r="J171" s="6" t="n">
        <v>1</v>
      </c>
      <c r="K171" s="6" t="n"/>
      <c r="P171">
        <f>MAX(P172)</f>
        <v/>
      </c>
      <c r="S171">
        <f>S172</f>
        <v/>
      </c>
      <c r="T171">
        <f>(E171/100000+F171/100+(P171/1000)*J171/5+S171/200)*200*I171*H171</f>
        <v/>
      </c>
      <c r="U171">
        <f>((E171*F171/25000)+((P171/1000)*J171*S171/2.5))*I171*H171</f>
        <v/>
      </c>
      <c r="V171">
        <f>(E171*F171*(P171/1000)*J171*S171*I171*H171)/12500000</f>
        <v/>
      </c>
      <c r="W171">
        <f>(((E171/20000)+(F171/60)+(S171/60)+((P171/5000)*J171))*100/4+(((E171/20000)*(F171/60))+(((P171/5000)*J171)*(S171/60)))*100/2+((E171/20000)*(F171/60)*((P171/5000)*J171)*(S171/60))*100)*(H171/1.0)/3</f>
        <v/>
      </c>
      <c r="X171" s="6" t="n">
        <v>1000</v>
      </c>
      <c r="Y171">
        <f>IFERROR(W171-X171,"")</f>
        <v/>
      </c>
      <c r="Z171">
        <f>IFERROR(ABS(Y171)/MAX(X171,1),"")</f>
        <v/>
      </c>
      <c r="AA171">
        <f>IFERROR(ROUND(((3*X171-(((E171/20000)+(F171/60)+(S171/60))*100/4+((E171/20000)*(F171/60))*100/2)*(H171/1.0))/(100/4+((S171/60))*100/2+((E171/20000)*(F171/60)*(S171/60))*100)*(H171/1.0)*5000)/J171,-1),"")</f>
        <v/>
      </c>
    </row>
    <row r="172">
      <c r="B172" s="7" t="inlineStr">
        <is>
          <t xml:space="preserve">  ↳ wc2gruntslice</t>
        </is>
      </c>
      <c r="C172" s="7" t="inlineStr">
        <is>
          <t>Armament</t>
        </is>
      </c>
      <c r="L172" s="6" t="n">
        <v>16000</v>
      </c>
      <c r="M172" s="6" t="n">
        <v>18</v>
      </c>
      <c r="N172" s="6" t="n">
        <v>1</v>
      </c>
      <c r="O172" s="6" t="n"/>
      <c r="P172" s="6" t="n">
        <v>1555</v>
      </c>
      <c r="Q172" s="6" t="n">
        <v>1</v>
      </c>
      <c r="R172">
        <f>M172+IF(N172&gt;1,N(O172)*(N172-1),0)</f>
        <v/>
      </c>
      <c r="S172">
        <f>IFERROR(L172*MAX(N172,1)/R172*IF(ISBLANK(K171),1,K171),0)</f>
        <v/>
      </c>
      <c r="AB172" s="7" t="inlineStr">
        <is>
          <t>^Warhead_Melee_Medium</t>
        </is>
      </c>
    </row>
    <row r="173">
      <c r="B173" s="7" t="inlineStr">
        <is>
          <t xml:space="preserve">  ↳ NaxiRifleCons</t>
        </is>
      </c>
      <c r="C173" s="7" t="inlineStr">
        <is>
          <t>Armament@GARRISONED</t>
        </is>
      </c>
      <c r="L173" s="6" t="n">
        <v>4000</v>
      </c>
      <c r="M173" s="6" t="n">
        <v>100</v>
      </c>
      <c r="N173" s="6" t="n">
        <v>1</v>
      </c>
      <c r="O173" s="6" t="n"/>
      <c r="P173" s="6" t="n">
        <v>5501</v>
      </c>
      <c r="Q173" s="6" t="n">
        <v>0.75</v>
      </c>
      <c r="R173">
        <f>M173+IF(N173&gt;1,N(O173)*(N173-1),0)</f>
        <v/>
      </c>
      <c r="S173">
        <f>IFERROR(L173*MAX(N173,1)/R173*IF(ISBLANK(K171),1,K171),0)</f>
        <v/>
      </c>
      <c r="AB173" s="7" t="inlineStr">
        <is>
          <t>^Warhead_Bullet_Light</t>
        </is>
      </c>
    </row>
    <row r="174">
      <c r="B174" s="7" t="inlineStr">
        <is>
          <t xml:space="preserve">  ↳ NaxiRifleCons_elite</t>
        </is>
      </c>
      <c r="C174" s="7" t="inlineStr">
        <is>
          <t>Armament@GARRISONEDELITE</t>
        </is>
      </c>
      <c r="L174" s="6" t="n">
        <v>4000</v>
      </c>
      <c r="M174" s="6" t="n">
        <v>100</v>
      </c>
      <c r="N174" s="6" t="n">
        <v>2</v>
      </c>
      <c r="O174" s="6" t="n">
        <v>3</v>
      </c>
      <c r="P174" s="6" t="n">
        <v>6501</v>
      </c>
      <c r="Q174" s="6" t="n">
        <v>0.75</v>
      </c>
      <c r="R174">
        <f>M174+IF(N174&gt;1,N(O174)*(N174-1),0)</f>
        <v/>
      </c>
      <c r="S174">
        <f>IFERROR(L174*MAX(N174,1)/R174*IF(ISBLANK(K171),1,K171),0)</f>
        <v/>
      </c>
      <c r="AB174" s="7" t="inlineStr">
        <is>
          <t>^Warhead_Bullet_Light</t>
        </is>
      </c>
    </row>
    <row r="175">
      <c r="A175" t="inlineStr">
        <is>
          <t>redalert2mod</t>
        </is>
      </c>
      <c r="B175" t="inlineStr">
        <is>
          <t>naxis_naxiriflerecruit</t>
        </is>
      </c>
      <c r="C175" t="inlineStr">
        <is>
          <t>Naxi Rifle Recruit</t>
        </is>
      </c>
      <c r="D175" s="6" t="inlineStr">
        <is>
          <t>ScoutInfantry</t>
        </is>
      </c>
      <c r="E175" s="6" t="n">
        <v>21000</v>
      </c>
      <c r="F175" s="6" t="n">
        <v>48</v>
      </c>
      <c r="G175" t="inlineStr">
        <is>
          <t>None</t>
        </is>
      </c>
      <c r="H175" s="6" t="n">
        <v>1</v>
      </c>
      <c r="I175" s="6" t="n">
        <v>1</v>
      </c>
      <c r="J175" s="6" t="n">
        <v>1</v>
      </c>
      <c r="K175" s="6" t="n">
        <v>0.0067</v>
      </c>
      <c r="P175">
        <f>MAX(P176,P177)</f>
        <v/>
      </c>
      <c r="S175">
        <f>S176+S177</f>
        <v/>
      </c>
      <c r="T175">
        <f>(E175/100000+F175/100+(P175/1000)*J175/5+S175/200)*200*I175*H175</f>
        <v/>
      </c>
      <c r="U175">
        <f>((E175*F175/25000)+((P175/1000)*J175*S175/2.5))*I175*H175</f>
        <v/>
      </c>
      <c r="V175">
        <f>(E175*F175*(P175/1000)*J175*S175*I175*H175)/12500000</f>
        <v/>
      </c>
      <c r="W175">
        <f>(((E175/20000)+(F175/60)+(S175/60)+((P175/5000)*J175))*100/4+(((E175/20000)*(F175/60))+(((P175/5000)*J175)*(S175/60)))*100/2+((E175/20000)*(F175/60)*((P175/5000)*J175)*(S175/60))*100)*(H175/1.0)/3</f>
        <v/>
      </c>
      <c r="X175" s="6" t="n">
        <v>75</v>
      </c>
      <c r="Y175">
        <f>IFERROR(W175-X175,"")</f>
        <v/>
      </c>
      <c r="Z175">
        <f>IFERROR(ABS(Y175)/MAX(X175,1),"")</f>
        <v/>
      </c>
      <c r="AA175">
        <f>IFERROR(ROUND(((3*X175-(((E175/20000)+(F175/60)+(S175/60))*100/4+((E175/20000)*(F175/60))*100/2)*(H175/1.0))/(100/4+((S175/60))*100/2+((E175/20000)*(F175/60)*(S175/60))*100)*(H175/1.0)*5000)/J175,-1),"")</f>
        <v/>
      </c>
    </row>
    <row r="176">
      <c r="B176" s="7" t="inlineStr">
        <is>
          <t xml:space="preserve">  ↳ naxis_naxiriflerecruit_rifle</t>
        </is>
      </c>
      <c r="C176" s="7" t="inlineStr">
        <is>
          <t>Armament@PRIMARY</t>
        </is>
      </c>
      <c r="L176" s="6" t="n">
        <v>8000</v>
      </c>
      <c r="M176" s="6" t="n">
        <v>100</v>
      </c>
      <c r="N176" s="6" t="n">
        <v>1</v>
      </c>
      <c r="O176" s="6" t="n"/>
      <c r="P176" s="6" t="n">
        <v>5227</v>
      </c>
      <c r="Q176" s="6" t="n">
        <v>0.75</v>
      </c>
      <c r="R176">
        <f>M176+IF(N176&gt;1,N(O176)*(N176-1),0)</f>
        <v/>
      </c>
      <c r="S176">
        <f>IFERROR(L176*MAX(N176,1)/R176*IF(ISBLANK(K175),1,K175),0)</f>
        <v/>
      </c>
      <c r="AB176" s="7" t="inlineStr">
        <is>
          <t>^Warhead_Bullet_Light</t>
        </is>
      </c>
    </row>
    <row r="177">
      <c r="B177" s="7" t="inlineStr">
        <is>
          <t xml:space="preserve">  ↳ naxis_naxiriflerecruit_rifle_elite</t>
        </is>
      </c>
      <c r="C177" s="7" t="inlineStr">
        <is>
          <t>Armament@ELITE</t>
        </is>
      </c>
      <c r="L177" s="6" t="n">
        <v>8000</v>
      </c>
      <c r="M177" s="6" t="n">
        <v>100</v>
      </c>
      <c r="N177" s="6" t="n">
        <v>2</v>
      </c>
      <c r="O177" s="6" t="n">
        <v>3</v>
      </c>
      <c r="P177" s="6" t="n">
        <v>6500</v>
      </c>
      <c r="Q177" s="6" t="n">
        <v>0.75</v>
      </c>
      <c r="R177">
        <f>M177+IF(N177&gt;1,N(O177)*(N177-1),0)</f>
        <v/>
      </c>
      <c r="S177">
        <f>IFERROR(L177*MAX(N177,1)/R177*IF(ISBLANK(K175),1,K175),0)</f>
        <v/>
      </c>
      <c r="AB177" s="7" t="inlineStr">
        <is>
          <t>^Warhead_Bullet_Light</t>
        </is>
      </c>
    </row>
    <row r="178">
      <c r="B178" s="7" t="inlineStr">
        <is>
          <t xml:space="preserve">  ↳ naxis_naxiriflerecruit_rifle</t>
        </is>
      </c>
      <c r="C178" s="7" t="inlineStr">
        <is>
          <t>Armament@GARRISONED</t>
        </is>
      </c>
      <c r="L178" s="6" t="n">
        <v>8000</v>
      </c>
      <c r="M178" s="6" t="n">
        <v>100</v>
      </c>
      <c r="N178" s="6" t="n">
        <v>1</v>
      </c>
      <c r="O178" s="6" t="n"/>
      <c r="P178" s="6" t="n">
        <v>5227</v>
      </c>
      <c r="Q178" s="6" t="n">
        <v>0.75</v>
      </c>
      <c r="R178">
        <f>M178+IF(N178&gt;1,N(O178)*(N178-1),0)</f>
        <v/>
      </c>
      <c r="S178">
        <f>IFERROR(L178*MAX(N178,1)/R178*IF(ISBLANK(K175),1,K175),0)</f>
        <v/>
      </c>
      <c r="AB178" s="7" t="inlineStr">
        <is>
          <t>^Warhead_Bullet_Light</t>
        </is>
      </c>
    </row>
    <row r="179">
      <c r="B179" s="7" t="inlineStr">
        <is>
          <t xml:space="preserve">  ↳ naxis_naxiriflerecruit_rifle_elite</t>
        </is>
      </c>
      <c r="C179" s="7" t="inlineStr">
        <is>
          <t>Armament@GARRISONEDELITE</t>
        </is>
      </c>
      <c r="L179" s="6" t="n">
        <v>8000</v>
      </c>
      <c r="M179" s="6" t="n">
        <v>100</v>
      </c>
      <c r="N179" s="6" t="n">
        <v>2</v>
      </c>
      <c r="O179" s="6" t="n">
        <v>3</v>
      </c>
      <c r="P179" s="6" t="n">
        <v>6500</v>
      </c>
      <c r="Q179" s="6" t="n">
        <v>0.75</v>
      </c>
      <c r="R179">
        <f>M179+IF(N179&gt;1,N(O179)*(N179-1),0)</f>
        <v/>
      </c>
      <c r="S179">
        <f>IFERROR(L179*MAX(N179,1)/R179*IF(ISBLANK(K175),1,K175),0)</f>
        <v/>
      </c>
      <c r="AB179" s="7" t="inlineStr">
        <is>
          <t>^Warhead_Bullet_Light</t>
        </is>
      </c>
    </row>
    <row r="180">
      <c r="A180" t="inlineStr">
        <is>
          <t>redalert2mod</t>
        </is>
      </c>
      <c r="B180" t="inlineStr">
        <is>
          <t>naxis_naxiriflesoldier</t>
        </is>
      </c>
      <c r="C180" t="inlineStr">
        <is>
          <t>Naxi Rifle Soldier</t>
        </is>
      </c>
      <c r="D180" s="6" t="inlineStr">
        <is>
          <t>ScoutInfantry</t>
        </is>
      </c>
      <c r="E180" s="6" t="n">
        <v>20000</v>
      </c>
      <c r="F180" s="6" t="n">
        <v>60</v>
      </c>
      <c r="G180" t="inlineStr">
        <is>
          <t>None</t>
        </is>
      </c>
      <c r="H180" s="6" t="n">
        <v>1</v>
      </c>
      <c r="I180" s="6" t="n">
        <v>1</v>
      </c>
      <c r="J180" s="6" t="n">
        <v>1</v>
      </c>
      <c r="K180" s="6" t="n">
        <v>0.01</v>
      </c>
      <c r="P180">
        <f>MAX(P181,P182)</f>
        <v/>
      </c>
      <c r="S180">
        <f>S181+S182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(((E180/20000)+(F180/60)+(S180/60)+((P180/5000)*J180))*100/4+(((E180/20000)*(F180/60))+(((P180/5000)*J180)*(S180/60)))*100/2+((E180/20000)*(F180/60)*((P180/5000)*J180)*(S180/60))*100)*(H180/1.0)/3</f>
        <v/>
      </c>
      <c r="X180" s="6" t="n">
        <v>100</v>
      </c>
      <c r="Y180">
        <f>IFERROR(W180-X180,"")</f>
        <v/>
      </c>
      <c r="Z180">
        <f>IFERROR(ABS(Y180)/MAX(X180,1),"")</f>
        <v/>
      </c>
      <c r="AA180">
        <f>IFERROR(ROUND(((3*X180-(((E180/20000)+(F180/60)+(S180/60))*100/4+((E180/20000)*(F180/60))*100/2)*(H180/1.0))/(100/4+((S180/60))*100/2+((E180/20000)*(F180/60)*(S180/60))*100)*(H180/1.0)*5000)/J180,-1),"")</f>
        <v/>
      </c>
    </row>
    <row r="181">
      <c r="B181" s="7" t="inlineStr">
        <is>
          <t xml:space="preserve">  ↳ naxis_naxiriflesoldier_rifle</t>
        </is>
      </c>
      <c r="C181" s="7" t="inlineStr">
        <is>
          <t>Armament@PRIMARY</t>
        </is>
      </c>
      <c r="L181" s="6" t="n">
        <v>4000</v>
      </c>
      <c r="M181" s="6" t="n">
        <v>50</v>
      </c>
      <c r="N181" s="6" t="n">
        <v>1</v>
      </c>
      <c r="O181" s="6" t="n"/>
      <c r="P181" s="6" t="n">
        <v>5000</v>
      </c>
      <c r="Q181" s="6" t="n">
        <v>0.75</v>
      </c>
      <c r="R181">
        <f>M181+IF(N181&gt;1,N(O181)*(N181-1),0)</f>
        <v/>
      </c>
      <c r="S181">
        <f>IFERROR(L181*MAX(N181,1)/R181*IF(ISBLANK(K180),1,K180),0)</f>
        <v/>
      </c>
      <c r="AB181" s="7" t="inlineStr">
        <is>
          <t>^Warhead_Bullet_Light</t>
        </is>
      </c>
    </row>
    <row r="182">
      <c r="B182" s="7" t="inlineStr">
        <is>
          <t xml:space="preserve">  ↳ naxis_naxiriflesoldier_rifle_elite</t>
        </is>
      </c>
      <c r="C182" s="7" t="inlineStr">
        <is>
          <t>Armament@ELITE</t>
        </is>
      </c>
      <c r="L182" s="6" t="n">
        <v>4000</v>
      </c>
      <c r="M182" s="6" t="n">
        <v>50</v>
      </c>
      <c r="N182" s="6" t="n">
        <v>2</v>
      </c>
      <c r="O182" s="6" t="n">
        <v>3</v>
      </c>
      <c r="P182" s="6" t="n">
        <v>6500</v>
      </c>
      <c r="Q182" s="6" t="n">
        <v>0.75</v>
      </c>
      <c r="R182">
        <f>M182+IF(N182&gt;1,N(O182)*(N182-1),0)</f>
        <v/>
      </c>
      <c r="S182">
        <f>IFERROR(L182*MAX(N182,1)/R182*IF(ISBLANK(K180),1,K180),0)</f>
        <v/>
      </c>
      <c r="AB182" s="7" t="inlineStr">
        <is>
          <t>^Warhead_Bullet_Light</t>
        </is>
      </c>
    </row>
    <row r="183">
      <c r="B183" s="7" t="inlineStr">
        <is>
          <t xml:space="preserve">  ↳ naxis_naxiriflesoldier_rifle</t>
        </is>
      </c>
      <c r="C183" s="7" t="inlineStr">
        <is>
          <t>Armament@GARRISONED</t>
        </is>
      </c>
      <c r="L183" s="6" t="n">
        <v>4000</v>
      </c>
      <c r="M183" s="6" t="n">
        <v>50</v>
      </c>
      <c r="N183" s="6" t="n">
        <v>1</v>
      </c>
      <c r="O183" s="6" t="n"/>
      <c r="P183" s="6" t="n">
        <v>5000</v>
      </c>
      <c r="Q183" s="6" t="n">
        <v>0.75</v>
      </c>
      <c r="R183">
        <f>M183+IF(N183&gt;1,N(O183)*(N183-1),0)</f>
        <v/>
      </c>
      <c r="S183">
        <f>IFERROR(L183*MAX(N183,1)/R183*IF(ISBLANK(K180),1,K180),0)</f>
        <v/>
      </c>
      <c r="AB183" s="7" t="inlineStr">
        <is>
          <t>^Warhead_Bullet_Light</t>
        </is>
      </c>
    </row>
    <row r="184">
      <c r="B184" s="7" t="inlineStr">
        <is>
          <t xml:space="preserve">  ↳ naxis_naxiriflesoldier_rifle_elite</t>
        </is>
      </c>
      <c r="C184" s="7" t="inlineStr">
        <is>
          <t>Armament@GARRISONEDELITE</t>
        </is>
      </c>
      <c r="L184" s="6" t="n">
        <v>4000</v>
      </c>
      <c r="M184" s="6" t="n">
        <v>50</v>
      </c>
      <c r="N184" s="6" t="n">
        <v>2</v>
      </c>
      <c r="O184" s="6" t="n">
        <v>3</v>
      </c>
      <c r="P184" s="6" t="n">
        <v>6500</v>
      </c>
      <c r="Q184" s="6" t="n">
        <v>0.75</v>
      </c>
      <c r="R184">
        <f>M184+IF(N184&gt;1,N(O184)*(N184-1),0)</f>
        <v/>
      </c>
      <c r="S184">
        <f>IFERROR(L184*MAX(N184,1)/R184*IF(ISBLANK(K180),1,K180),0)</f>
        <v/>
      </c>
      <c r="AB184" s="7" t="inlineStr">
        <is>
          <t>^Warhead_Bullet_Light</t>
        </is>
      </c>
    </row>
    <row r="185">
      <c r="A185" t="inlineStr">
        <is>
          <t>redalert2mod</t>
        </is>
      </c>
      <c r="B185" t="inlineStr">
        <is>
          <t>naxis_slaveoverseer</t>
        </is>
      </c>
      <c r="C185" t="inlineStr">
        <is>
          <t>Slave Overseer</t>
        </is>
      </c>
      <c r="D185" s="6" t="inlineStr">
        <is>
          <t>ScoutInfantry</t>
        </is>
      </c>
      <c r="E185" s="6" t="n">
        <v>20000</v>
      </c>
      <c r="F185" s="6" t="n">
        <v>90</v>
      </c>
      <c r="G185" t="inlineStr">
        <is>
          <t>None</t>
        </is>
      </c>
      <c r="H185" s="6" t="n">
        <v>0.9649</v>
      </c>
      <c r="I185" s="6" t="n">
        <v>1</v>
      </c>
      <c r="J185" s="6" t="n">
        <v>1</v>
      </c>
      <c r="K185" s="6" t="n"/>
      <c r="P185">
        <f>MAX(P187,P188)</f>
        <v/>
      </c>
      <c r="S185">
        <f>S187+S188</f>
        <v/>
      </c>
      <c r="T185">
        <f>(E185/100000+F185/100+(P185/1000)*J185/5+S185/200)*200*I185*H185</f>
        <v/>
      </c>
      <c r="U185">
        <f>((E185*F185/25000)+((P185/1000)*J185*S185/2.5))*I185*H185</f>
        <v/>
      </c>
      <c r="V185">
        <f>(E185*F185*(P185/1000)*J185*S185*I185*H185)/12500000</f>
        <v/>
      </c>
      <c r="W185">
        <f>(((E185/5000)+(F185/50)+(S185/0)+((P185/0)*J185))*500/4+(((E185/5000)*(F185/50))+(((P185/0)*J185)*(S185/0)))*500/2+((E185/5000)*(F185/50)*((P185/0)*J185)*(S185/0))*500)*(H185/1.0)/3</f>
        <v/>
      </c>
      <c r="X185" s="6" t="n">
        <v>500</v>
      </c>
      <c r="Y185">
        <f>IFERROR(W185-X185,"")</f>
        <v/>
      </c>
      <c r="Z185">
        <f>IFERROR(ABS(Y185)/MAX(X185,1),"")</f>
        <v/>
      </c>
      <c r="AA185">
        <f>IFERROR(ROUND(((3*X185-(((E185/5000)+(F185/50)+(S185/0))*500/4+((E185/5000)*(F185/50))*500/2)*(H185/1.0))/(500/4+((S185/0))*500/2+((E185/5000)*(F185/50)*(S185/0))*500)*(H185/1.0)*0)/J185,-1),"")</f>
        <v/>
      </c>
    </row>
    <row r="186">
      <c r="B186" s="7" t="inlineStr">
        <is>
          <t xml:space="preserve">  ↳ NaxiSlaveWhip</t>
        </is>
      </c>
      <c r="C186" s="7" t="inlineStr">
        <is>
          <t>Armament@SlaveWhip</t>
        </is>
      </c>
      <c r="L186" s="6" t="n"/>
      <c r="M186" s="6" t="n">
        <v>50</v>
      </c>
      <c r="N186" s="6" t="n">
        <v>1</v>
      </c>
      <c r="O186" s="6" t="n"/>
      <c r="P186" s="6" t="n">
        <v>2500</v>
      </c>
      <c r="Q186" s="6" t="n">
        <v>1</v>
      </c>
      <c r="R186">
        <f>M186+IF(N186&gt;1,N(O186)*(N186-1),0)</f>
        <v/>
      </c>
      <c r="S186">
        <f>IFERROR(L186*MAX(N186,1)/R186*IF(ISBLANK(K185),1,K185),0)</f>
        <v/>
      </c>
      <c r="AB186" s="7" t="inlineStr"/>
    </row>
    <row r="187">
      <c r="B187" s="7" t="inlineStr">
        <is>
          <t xml:space="preserve">  ↳ NaxiRifle</t>
        </is>
      </c>
      <c r="C187" s="7" t="inlineStr">
        <is>
          <t>Armament@PRIMARY</t>
        </is>
      </c>
      <c r="L187" s="6" t="n">
        <v>6000</v>
      </c>
      <c r="M187" s="6" t="n">
        <v>75</v>
      </c>
      <c r="N187" s="6" t="n">
        <v>1</v>
      </c>
      <c r="O187" s="6" t="n"/>
      <c r="P187" s="6" t="n">
        <v>5621</v>
      </c>
      <c r="Q187" s="6" t="n">
        <v>0.75</v>
      </c>
      <c r="R187">
        <f>M187+IF(N187&gt;1,N(O187)*(N187-1),0)</f>
        <v/>
      </c>
      <c r="S187">
        <f>IFERROR(L187*MAX(N187,1)/R187*IF(ISBLANK(K185),1,K185),0)</f>
        <v/>
      </c>
      <c r="AB187" s="7" t="inlineStr">
        <is>
          <t>^Warhead_Bullet_Light</t>
        </is>
      </c>
    </row>
    <row r="188">
      <c r="B188" s="7" t="inlineStr">
        <is>
          <t xml:space="preserve">  ↳ NaxiRifle_elite</t>
        </is>
      </c>
      <c r="C188" s="7" t="inlineStr">
        <is>
          <t>Armament@ELITE</t>
        </is>
      </c>
      <c r="L188" s="6" t="n">
        <v>6000</v>
      </c>
      <c r="M188" s="6" t="n">
        <v>75</v>
      </c>
      <c r="N188" s="6" t="n">
        <v>2</v>
      </c>
      <c r="O188" s="6" t="n">
        <v>3</v>
      </c>
      <c r="P188" s="6" t="n">
        <v>6621</v>
      </c>
      <c r="Q188" s="6" t="n">
        <v>0.75</v>
      </c>
      <c r="R188">
        <f>M188+IF(N188&gt;1,N(O188)*(N188-1),0)</f>
        <v/>
      </c>
      <c r="S188">
        <f>IFERROR(L188*MAX(N188,1)/R188*IF(ISBLANK(K185),1,K185),0)</f>
        <v/>
      </c>
      <c r="AB188" s="7" t="inlineStr">
        <is>
          <t>^Warhead_Bullet_Light</t>
        </is>
      </c>
    </row>
    <row r="189">
      <c r="B189" s="7" t="inlineStr">
        <is>
          <t xml:space="preserve">  ↳ NaxiRifle</t>
        </is>
      </c>
      <c r="C189" s="7" t="inlineStr">
        <is>
          <t>Armament@GARRISONED</t>
        </is>
      </c>
      <c r="L189" s="6" t="n">
        <v>6000</v>
      </c>
      <c r="M189" s="6" t="n">
        <v>75</v>
      </c>
      <c r="N189" s="6" t="n">
        <v>1</v>
      </c>
      <c r="O189" s="6" t="n"/>
      <c r="P189" s="6" t="n">
        <v>5621</v>
      </c>
      <c r="Q189" s="6" t="n">
        <v>0.75</v>
      </c>
      <c r="R189">
        <f>M189+IF(N189&gt;1,N(O189)*(N189-1),0)</f>
        <v/>
      </c>
      <c r="S189">
        <f>IFERROR(L189*MAX(N189,1)/R189*IF(ISBLANK(K185),1,K185),0)</f>
        <v/>
      </c>
      <c r="AB189" s="7" t="inlineStr">
        <is>
          <t>^Warhead_Bullet_Light</t>
        </is>
      </c>
    </row>
    <row r="190">
      <c r="B190" s="7" t="inlineStr">
        <is>
          <t xml:space="preserve">  ↳ NaxiRifle_elite</t>
        </is>
      </c>
      <c r="C190" s="7" t="inlineStr">
        <is>
          <t>Armament@GARRISONEDELITE</t>
        </is>
      </c>
      <c r="L190" s="6" t="n">
        <v>6000</v>
      </c>
      <c r="M190" s="6" t="n">
        <v>75</v>
      </c>
      <c r="N190" s="6" t="n">
        <v>2</v>
      </c>
      <c r="O190" s="6" t="n">
        <v>3</v>
      </c>
      <c r="P190" s="6" t="n">
        <v>6621</v>
      </c>
      <c r="Q190" s="6" t="n">
        <v>0.75</v>
      </c>
      <c r="R190">
        <f>M190+IF(N190&gt;1,N(O190)*(N190-1),0)</f>
        <v/>
      </c>
      <c r="S190">
        <f>IFERROR(L190*MAX(N190,1)/R190*IF(ISBLANK(K185),1,K185),0)</f>
        <v/>
      </c>
      <c r="AB190" s="7" t="inlineStr">
        <is>
          <t>^Warhead_Bullet_Light</t>
        </is>
      </c>
    </row>
    <row r="191">
      <c r="A191" t="inlineStr">
        <is>
          <t>redalert2mod</t>
        </is>
      </c>
      <c r="B191" t="inlineStr">
        <is>
          <t>undead.nax</t>
        </is>
      </c>
      <c r="C191" t="inlineStr">
        <is>
          <t>Undead Soldier</t>
        </is>
      </c>
      <c r="D191" s="6" t="inlineStr">
        <is>
          <t>ScoutInfantry</t>
        </is>
      </c>
      <c r="E191" s="6" t="n">
        <v>15000</v>
      </c>
      <c r="F191" s="6" t="n">
        <v>50</v>
      </c>
      <c r="G191" t="inlineStr">
        <is>
          <t>None</t>
        </is>
      </c>
      <c r="H191" s="6" t="n">
        <v>1</v>
      </c>
      <c r="I191" s="6" t="n">
        <v>1</v>
      </c>
      <c r="J191" s="6" t="n">
        <v>1</v>
      </c>
      <c r="K191" s="6" t="n"/>
      <c r="P191">
        <f>MAX(P192,P193)</f>
        <v/>
      </c>
      <c r="S191">
        <f>S192+S193</f>
        <v/>
      </c>
      <c r="T191">
        <f>(E191/100000+F191/100+(P191/1000)*J191/5+S191/200)*200*I191*H191</f>
        <v/>
      </c>
      <c r="U191">
        <f>((E191*F191/25000)+((P191/1000)*J191*S191/2.5))*I191*H191</f>
        <v/>
      </c>
      <c r="V191">
        <f>(E191*F191*(P191/1000)*J191*S191*I191*H191)/12500000</f>
        <v/>
      </c>
      <c r="W191">
        <f>(((E191/20000)+(F191/60)+(S191/60)+((P191/5000)*J191))*100/4+(((E191/20000)*(F191/60))+(((P191/5000)*J191)*(S191/60)))*100/2+((E191/20000)*(F191/60)*((P191/5000)*J191)*(S191/60))*100)*(H191/1.0)/3</f>
        <v/>
      </c>
      <c r="X191" s="6" t="n">
        <v>100</v>
      </c>
      <c r="Y191">
        <f>IFERROR(W191-X191,"")</f>
        <v/>
      </c>
      <c r="Z191">
        <f>IFERROR(ABS(Y191)/MAX(X191,1),"")</f>
        <v/>
      </c>
      <c r="AA191">
        <f>IFERROR(ROUND(((3*X191-(((E191/20000)+(F191/60)+(S191/60))*100/4+((E191/20000)*(F191/60))*100/2)*(H191/1.0))/(100/4+((S191/60))*100/2+((E191/20000)*(F191/60)*(S191/60))*100)*(H191/1.0)*5000)/J191,-1),"")</f>
        <v/>
      </c>
    </row>
    <row r="192">
      <c r="B192" s="7" t="inlineStr">
        <is>
          <t xml:space="preserve">  ↳ NaxiRifle</t>
        </is>
      </c>
      <c r="C192" s="7" t="inlineStr">
        <is>
          <t>Armament@PRIMARY</t>
        </is>
      </c>
      <c r="L192" s="6" t="n">
        <v>6000</v>
      </c>
      <c r="M192" s="6" t="n">
        <v>75</v>
      </c>
      <c r="N192" s="6" t="n">
        <v>1</v>
      </c>
      <c r="O192" s="6" t="n"/>
      <c r="P192" s="6" t="n">
        <v>5621</v>
      </c>
      <c r="Q192" s="6" t="n">
        <v>0.75</v>
      </c>
      <c r="R192">
        <f>M192+IF(N192&gt;1,N(O192)*(N192-1),0)</f>
        <v/>
      </c>
      <c r="S192">
        <f>IFERROR(L192*MAX(N192,1)/R192*IF(ISBLANK(K191),1,K191),0)</f>
        <v/>
      </c>
      <c r="AB192" s="7" t="inlineStr">
        <is>
          <t>^Warhead_Bullet_Light</t>
        </is>
      </c>
    </row>
    <row r="193">
      <c r="B193" s="7" t="inlineStr">
        <is>
          <t xml:space="preserve">  ↳ NaxiRifle_elite</t>
        </is>
      </c>
      <c r="C193" s="7" t="inlineStr">
        <is>
          <t>Armament@ELITE</t>
        </is>
      </c>
      <c r="L193" s="6" t="n">
        <v>6000</v>
      </c>
      <c r="M193" s="6" t="n">
        <v>75</v>
      </c>
      <c r="N193" s="6" t="n">
        <v>2</v>
      </c>
      <c r="O193" s="6" t="n">
        <v>3</v>
      </c>
      <c r="P193" s="6" t="n">
        <v>6621</v>
      </c>
      <c r="Q193" s="6" t="n">
        <v>0.75</v>
      </c>
      <c r="R193">
        <f>M193+IF(N193&gt;1,N(O193)*(N193-1),0)</f>
        <v/>
      </c>
      <c r="S193">
        <f>IFERROR(L193*MAX(N193,1)/R193*IF(ISBLANK(K191),1,K191),0)</f>
        <v/>
      </c>
      <c r="AB193" s="7" t="inlineStr">
        <is>
          <t>^Warhead_Bullet_Light</t>
        </is>
      </c>
    </row>
    <row r="194">
      <c r="B194" s="7" t="inlineStr">
        <is>
          <t xml:space="preserve">  ↳ NaxiRifle</t>
        </is>
      </c>
      <c r="C194" s="7" t="inlineStr">
        <is>
          <t>Armament@GARRISONED</t>
        </is>
      </c>
      <c r="L194" s="6" t="n">
        <v>6000</v>
      </c>
      <c r="M194" s="6" t="n">
        <v>75</v>
      </c>
      <c r="N194" s="6" t="n">
        <v>1</v>
      </c>
      <c r="O194" s="6" t="n"/>
      <c r="P194" s="6" t="n">
        <v>5621</v>
      </c>
      <c r="Q194" s="6" t="n">
        <v>0.75</v>
      </c>
      <c r="R194">
        <f>M194+IF(N194&gt;1,N(O194)*(N194-1),0)</f>
        <v/>
      </c>
      <c r="S194">
        <f>IFERROR(L194*MAX(N194,1)/R194*IF(ISBLANK(K191),1,K191),0)</f>
        <v/>
      </c>
      <c r="AB194" s="7" t="inlineStr">
        <is>
          <t>^Warhead_Bullet_Light</t>
        </is>
      </c>
    </row>
    <row r="195">
      <c r="B195" s="7" t="inlineStr">
        <is>
          <t xml:space="preserve">  ↳ NaxiRifle_elite</t>
        </is>
      </c>
      <c r="C195" s="7" t="inlineStr">
        <is>
          <t>Armament@GARRISONEDELITE</t>
        </is>
      </c>
      <c r="L195" s="6" t="n">
        <v>6000</v>
      </c>
      <c r="M195" s="6" t="n">
        <v>75</v>
      </c>
      <c r="N195" s="6" t="n">
        <v>2</v>
      </c>
      <c r="O195" s="6" t="n">
        <v>3</v>
      </c>
      <c r="P195" s="6" t="n">
        <v>6621</v>
      </c>
      <c r="Q195" s="6" t="n">
        <v>0.75</v>
      </c>
      <c r="R195">
        <f>M195+IF(N195&gt;1,N(O195)*(N195-1),0)</f>
        <v/>
      </c>
      <c r="S195">
        <f>IFERROR(L195*MAX(N195,1)/R195*IF(ISBLANK(K191),1,K191),0)</f>
        <v/>
      </c>
      <c r="AB195" s="7" t="inlineStr">
        <is>
          <t>^Warhead_Bullet_Light</t>
        </is>
      </c>
    </row>
    <row r="196">
      <c r="A196" t="inlineStr">
        <is>
          <t>redalert2mod</t>
        </is>
      </c>
      <c r="B196" t="inlineStr">
        <is>
          <t>futuretech_spyfutu</t>
        </is>
      </c>
      <c r="C196" t="inlineStr">
        <is>
          <t>Infiltrator</t>
        </is>
      </c>
      <c r="D196" s="6" t="inlineStr">
        <is>
          <t>ScoutInfantry</t>
        </is>
      </c>
      <c r="E196" s="6" t="n">
        <v>5000</v>
      </c>
      <c r="F196" s="6" t="n">
        <v>60</v>
      </c>
      <c r="G196" t="inlineStr">
        <is>
          <t>None</t>
        </is>
      </c>
      <c r="H196" s="6" t="n">
        <v>0.4015</v>
      </c>
      <c r="I196" s="6" t="n">
        <v>1</v>
      </c>
      <c r="J196" s="6" t="n">
        <v>1</v>
      </c>
      <c r="K196" s="6" t="n"/>
      <c r="X196" s="6" t="n">
        <v>1000</v>
      </c>
    </row>
    <row r="197">
      <c r="A197" t="inlineStr">
        <is>
          <t>redalert2mod</t>
        </is>
      </c>
      <c r="B197" t="inlineStr">
        <is>
          <t>tkm_marine</t>
        </is>
      </c>
      <c r="C197" t="inlineStr">
        <is>
          <t>Marine</t>
        </is>
      </c>
      <c r="D197" s="6" t="inlineStr">
        <is>
          <t>ScoutInfantry</t>
        </is>
      </c>
      <c r="E197" s="6" t="n">
        <v>20000</v>
      </c>
      <c r="F197" s="6" t="n">
        <v>60</v>
      </c>
      <c r="G197" t="inlineStr">
        <is>
          <t>None</t>
        </is>
      </c>
      <c r="H197" s="6" t="n">
        <v>1</v>
      </c>
      <c r="I197" s="6" t="n">
        <v>1</v>
      </c>
      <c r="J197" s="6" t="n">
        <v>1</v>
      </c>
      <c r="K197" s="6" t="n"/>
      <c r="P197">
        <f>MAX(P198,P199)</f>
        <v/>
      </c>
      <c r="S197">
        <f>S198+S199</f>
        <v/>
      </c>
      <c r="T197">
        <f>(E197/100000+F197/100+(P197/1000)*J197/5+S197/200)*200*I197*H197</f>
        <v/>
      </c>
      <c r="U197">
        <f>((E197*F197/25000)+((P197/1000)*J197*S197/2.5))*I197*H197</f>
        <v/>
      </c>
      <c r="V197">
        <f>(E197*F197*(P197/1000)*J197*S197*I197*H197)/12500000</f>
        <v/>
      </c>
      <c r="W197">
        <f>(((E197/20000)+(F197/60)+(S197/60)+((P197/5000)*J197))*100/4+(((E197/20000)*(F197/60))+(((P197/5000)*J197)*(S197/60)))*100/2+((E197/20000)*(F197/60)*((P197/5000)*J197)*(S197/60))*100)*(H197/1.0)/3</f>
        <v/>
      </c>
      <c r="X197" s="6" t="n">
        <v>300</v>
      </c>
      <c r="Y197">
        <f>IFERROR(W197-X197,"")</f>
        <v/>
      </c>
      <c r="Z197">
        <f>IFERROR(ABS(Y197)/MAX(X197,1),"")</f>
        <v/>
      </c>
      <c r="AA197">
        <f>IFERROR(ROUND(((3*X197-(((E197/20000)+(F197/60)+(S197/60))*100/4+((E197/20000)*(F197/60))*100/2)*(H197/1.0))/(100/4+((S197/60))*100/2+((E197/20000)*(F197/60)*(S197/60))*100)*(H197/1.0)*5000)/J197,-1),"")</f>
        <v/>
      </c>
    </row>
    <row r="198">
      <c r="B198" s="7" t="inlineStr">
        <is>
          <t xml:space="preserve">  ↳ tkmm16</t>
        </is>
      </c>
      <c r="C198" s="7" t="inlineStr">
        <is>
          <t>Armament@PRIMARY</t>
        </is>
      </c>
      <c r="L198" s="6" t="n">
        <v>2000</v>
      </c>
      <c r="M198" s="6" t="n">
        <v>16</v>
      </c>
      <c r="N198" s="6" t="n">
        <v>5</v>
      </c>
      <c r="O198" s="6" t="n">
        <v>1</v>
      </c>
      <c r="P198" s="6" t="n">
        <v>5385</v>
      </c>
      <c r="Q198" s="6" t="n">
        <v>0.75</v>
      </c>
      <c r="R198">
        <f>M198+IF(N198&gt;1,N(O198)*(N198-1),0)</f>
        <v/>
      </c>
      <c r="S198">
        <f>IFERROR(L198*MAX(N198,1)/R198*IF(ISBLANK(K197),1,K197),0)</f>
        <v/>
      </c>
      <c r="AB198" s="7" t="inlineStr">
        <is>
          <t>^Warhead_Bullet_Light</t>
        </is>
      </c>
    </row>
    <row r="199">
      <c r="B199" s="7" t="inlineStr">
        <is>
          <t xml:space="preserve">  ↳ tkmm16ap</t>
        </is>
      </c>
      <c r="C199" s="7" t="inlineStr">
        <is>
          <t>Armament@PRIMARYUPGRADE</t>
        </is>
      </c>
      <c r="L199" s="6" t="n">
        <v>2000</v>
      </c>
      <c r="M199" s="6" t="n">
        <v>16</v>
      </c>
      <c r="N199" s="6" t="n">
        <v>5</v>
      </c>
      <c r="O199" s="6" t="n">
        <v>1</v>
      </c>
      <c r="P199" s="6" t="n">
        <v>5385</v>
      </c>
      <c r="Q199" s="6" t="n">
        <v>1</v>
      </c>
      <c r="R199">
        <f>M199+IF(N199&gt;1,N(O199)*(N199-1),0)</f>
        <v/>
      </c>
      <c r="S199">
        <f>IFERROR(L199*MAX(N199,1)/R199*IF(ISBLANK(K197),1,K197),0)</f>
        <v/>
      </c>
      <c r="AB199" s="7" t="inlineStr">
        <is>
          <t>^Warhead_Bullet_Medium</t>
        </is>
      </c>
    </row>
    <row r="200">
      <c r="B200" s="7" t="inlineStr">
        <is>
          <t xml:space="preserve">  ↳ tkmm16</t>
        </is>
      </c>
      <c r="C200" s="7" t="inlineStr">
        <is>
          <t>Armament@GARRISONED</t>
        </is>
      </c>
      <c r="L200" s="6" t="n">
        <v>2000</v>
      </c>
      <c r="M200" s="6" t="n">
        <v>16</v>
      </c>
      <c r="N200" s="6" t="n">
        <v>5</v>
      </c>
      <c r="O200" s="6" t="n">
        <v>1</v>
      </c>
      <c r="P200" s="6" t="n">
        <v>5385</v>
      </c>
      <c r="Q200" s="6" t="n">
        <v>0.75</v>
      </c>
      <c r="R200">
        <f>M200+IF(N200&gt;1,N(O200)*(N200-1),0)</f>
        <v/>
      </c>
      <c r="S200">
        <f>IFERROR(L200*MAX(N200,1)/R200*IF(ISBLANK(K197),1,K197),0)</f>
        <v/>
      </c>
      <c r="AB200" s="7" t="inlineStr">
        <is>
          <t>^Warhead_Bullet_Light</t>
        </is>
      </c>
    </row>
    <row r="201">
      <c r="B201" s="7" t="inlineStr">
        <is>
          <t xml:space="preserve">  ↳ tkmm16ap</t>
        </is>
      </c>
      <c r="C201" s="7" t="inlineStr">
        <is>
          <t>Armament@GARRISONEDUPGRADE</t>
        </is>
      </c>
      <c r="L201" s="6" t="n">
        <v>2000</v>
      </c>
      <c r="M201" s="6" t="n">
        <v>16</v>
      </c>
      <c r="N201" s="6" t="n">
        <v>5</v>
      </c>
      <c r="O201" s="6" t="n">
        <v>1</v>
      </c>
      <c r="P201" s="6" t="n">
        <v>5385</v>
      </c>
      <c r="Q201" s="6" t="n">
        <v>1</v>
      </c>
      <c r="R201">
        <f>M201+IF(N201&gt;1,N(O201)*(N201-1),0)</f>
        <v/>
      </c>
      <c r="S201">
        <f>IFERROR(L201*MAX(N201,1)/R201*IF(ISBLANK(K197),1,K197),0)</f>
        <v/>
      </c>
      <c r="AB201" s="7" t="inlineStr">
        <is>
          <t>^Warhead_Bullet_Medium</t>
        </is>
      </c>
    </row>
    <row r="202">
      <c r="A202" t="inlineStr">
        <is>
          <t>redalert2mod</t>
        </is>
      </c>
      <c r="B202" t="inlineStr">
        <is>
          <t>tkm_rifleman</t>
        </is>
      </c>
      <c r="C202" t="inlineStr">
        <is>
          <t>Rifleman</t>
        </is>
      </c>
      <c r="D202" s="6" t="inlineStr">
        <is>
          <t>ScoutInfantry</t>
        </is>
      </c>
      <c r="E202" s="6" t="n">
        <v>29000</v>
      </c>
      <c r="F202" s="6" t="n">
        <v>61</v>
      </c>
      <c r="G202" t="inlineStr">
        <is>
          <t>None</t>
        </is>
      </c>
      <c r="H202" s="6" t="n">
        <v>1</v>
      </c>
      <c r="I202" s="6" t="n">
        <v>1</v>
      </c>
      <c r="J202" s="6" t="n">
        <v>1</v>
      </c>
      <c r="K202" s="6" t="n">
        <v>0.0089</v>
      </c>
      <c r="P202">
        <f>MAX(P203,P204)</f>
        <v/>
      </c>
      <c r="S202">
        <f>S203+S204</f>
        <v/>
      </c>
      <c r="T202">
        <f>(E202/100000+F202/100+(P202/1000)*J202/5+S202/200)*200*I202*H202</f>
        <v/>
      </c>
      <c r="U202">
        <f>((E202*F202/25000)+((P202/1000)*J202*S202/2.5))*I202*H202</f>
        <v/>
      </c>
      <c r="V202">
        <f>(E202*F202*(P202/1000)*J202*S202*I202*H202)/12500000</f>
        <v/>
      </c>
      <c r="W202">
        <f>(((E202/20000)+(F202/60)+(S202/60)+((P202/5000)*J202))*100/4+(((E202/20000)*(F202/60))+(((P202/5000)*J202)*(S202/60)))*100/2+((E202/20000)*(F202/60)*((P202/5000)*J202)*(S202/60))*100)*(H202/1.0)/3</f>
        <v/>
      </c>
      <c r="X202" s="6" t="n">
        <v>120</v>
      </c>
      <c r="Y202">
        <f>IFERROR(W202-X202,"")</f>
        <v/>
      </c>
      <c r="Z202">
        <f>IFERROR(ABS(Y202)/MAX(X202,1),"")</f>
        <v/>
      </c>
      <c r="AA202">
        <f>IFERROR(ROUND(((3*X202-(((E202/20000)+(F202/60)+(S202/60))*100/4+((E202/20000)*(F202/60))*100/2)*(H202/1.0))/(100/4+((S202/60))*100/2+((E202/20000)*(F202/60)*(S202/60))*100)*(H202/1.0)*5000)/J202,-1),"")</f>
        <v/>
      </c>
    </row>
    <row r="203">
      <c r="B203" s="7" t="inlineStr">
        <is>
          <t xml:space="preserve">  ↳ tkm_rifleman_rifle</t>
        </is>
      </c>
      <c r="C203" s="7" t="inlineStr">
        <is>
          <t>Armament@PRIMARY</t>
        </is>
      </c>
      <c r="L203" s="6" t="n">
        <v>6000</v>
      </c>
      <c r="M203" s="6" t="n">
        <v>75</v>
      </c>
      <c r="N203" s="6" t="n">
        <v>1</v>
      </c>
      <c r="O203" s="6" t="n"/>
      <c r="P203" s="6" t="n">
        <v>5042</v>
      </c>
      <c r="Q203" s="6" t="n">
        <v>0.75</v>
      </c>
      <c r="R203">
        <f>M203+IF(N203&gt;1,N(O203)*(N203-1),0)</f>
        <v/>
      </c>
      <c r="S203">
        <f>IFERROR(L203*MAX(N203,1)/R203*IF(ISBLANK(K202),1,K202),0)</f>
        <v/>
      </c>
      <c r="AB203" s="7" t="inlineStr">
        <is>
          <t>^Warhead_Bullet_Light</t>
        </is>
      </c>
    </row>
    <row r="204">
      <c r="B204" s="7" t="inlineStr">
        <is>
          <t xml:space="preserve">  ↳ tkm_rifleman_semiautorifle</t>
        </is>
      </c>
      <c r="C204" s="7" t="inlineStr">
        <is>
          <t>Armament@PRIMARYUPGRADE</t>
        </is>
      </c>
      <c r="L204" s="6" t="n">
        <v>10000</v>
      </c>
      <c r="M204" s="6" t="n">
        <v>25</v>
      </c>
      <c r="N204" s="6" t="n">
        <v>1</v>
      </c>
      <c r="O204" s="6" t="n"/>
      <c r="P204" s="6" t="n">
        <v>5500</v>
      </c>
      <c r="Q204" s="6" t="n">
        <v>0.75</v>
      </c>
      <c r="R204">
        <f>M204+IF(N204&gt;1,N(O204)*(N204-1),0)</f>
        <v/>
      </c>
      <c r="S204">
        <f>IFERROR(L204*MAX(N204,1)/R204*IF(ISBLANK(K202),1,K202),0)</f>
        <v/>
      </c>
      <c r="AB204" s="7" t="inlineStr">
        <is>
          <t>^Warhead_Bullet_Light</t>
        </is>
      </c>
    </row>
    <row r="205">
      <c r="B205" s="7" t="inlineStr">
        <is>
          <t xml:space="preserve">  ↳ tkm_rifleman_rifle</t>
        </is>
      </c>
      <c r="C205" s="7" t="inlineStr">
        <is>
          <t>Armament@GARRISONED</t>
        </is>
      </c>
      <c r="L205" s="6" t="n">
        <v>6000</v>
      </c>
      <c r="M205" s="6" t="n">
        <v>75</v>
      </c>
      <c r="N205" s="6" t="n">
        <v>1</v>
      </c>
      <c r="O205" s="6" t="n"/>
      <c r="P205" s="6" t="n">
        <v>5042</v>
      </c>
      <c r="Q205" s="6" t="n">
        <v>0.75</v>
      </c>
      <c r="R205">
        <f>M205+IF(N205&gt;1,N(O205)*(N205-1),0)</f>
        <v/>
      </c>
      <c r="S205">
        <f>IFERROR(L205*MAX(N205,1)/R205*IF(ISBLANK(K202),1,K202),0)</f>
        <v/>
      </c>
      <c r="AB205" s="7" t="inlineStr">
        <is>
          <t>^Warhead_Bullet_Light</t>
        </is>
      </c>
    </row>
    <row r="206">
      <c r="A206" t="inlineStr">
        <is>
          <t>shared</t>
        </is>
      </c>
      <c r="B206" t="inlineStr">
        <is>
          <t>light_inf</t>
        </is>
      </c>
      <c r="C206" t="inlineStr">
        <is>
          <t>Light Infantry</t>
        </is>
      </c>
      <c r="D206" s="6" t="inlineStr">
        <is>
          <t>ScoutInfantry</t>
        </is>
      </c>
      <c r="E206" s="6" t="n">
        <v>40000</v>
      </c>
      <c r="F206" s="6" t="n">
        <v>54</v>
      </c>
      <c r="G206" t="inlineStr">
        <is>
          <t>None</t>
        </is>
      </c>
      <c r="H206" s="6" t="n">
        <v>1</v>
      </c>
      <c r="I206" s="6" t="n">
        <v>1</v>
      </c>
      <c r="J206" s="6" t="n">
        <v>1</v>
      </c>
      <c r="K206" s="6" t="n">
        <v>0.0091</v>
      </c>
      <c r="P206">
        <f>MAX(P207,P208)</f>
        <v/>
      </c>
      <c r="S206">
        <f>S207+S208</f>
        <v/>
      </c>
      <c r="T206">
        <f>(E206/100000+F206/100+(P206/1000)*J206/5+S206/200)*200*I206*H206</f>
        <v/>
      </c>
      <c r="U206">
        <f>((E206*F206/25000)+((P206/1000)*J206*S206/2.5))*I206*H206</f>
        <v/>
      </c>
      <c r="V206">
        <f>(E206*F206*(P206/1000)*J206*S206*I206*H206)/12500000</f>
        <v/>
      </c>
      <c r="W206">
        <f>(((E206/20000)+(F206/60)+(S206/60)+((P206/5000)*J206))*100/4+(((E206/20000)*(F206/60))+(((P206/5000)*J206)*(S206/60)))*100/2+((E206/20000)*(F206/60)*((P206/5000)*J206)*(S206/60))*100)*(H206/1.0)/3</f>
        <v/>
      </c>
      <c r="X206" s="6" t="n">
        <v>150</v>
      </c>
      <c r="Y206">
        <f>IFERROR(W206-X206,"")</f>
        <v/>
      </c>
      <c r="Z206">
        <f>IFERROR(ABS(Y206)/MAX(X206,1),"")</f>
        <v/>
      </c>
      <c r="AA206">
        <f>IFERROR(ROUND(((3*X206-(((E206/20000)+(F206/60)+(S206/60))*100/4+((E206/20000)*(F206/60))*100/2)*(H206/1.0))/(100/4+((S206/60))*100/2+((E206/20000)*(F206/60)*(S206/60))*100)*(H206/1.0)*5000)/J206,-1),"")</f>
        <v/>
      </c>
    </row>
    <row r="207">
      <c r="B207" s="7" t="inlineStr">
        <is>
          <t xml:space="preserve">  ↳ light_inf_lmg</t>
        </is>
      </c>
      <c r="C207" s="7" t="inlineStr">
        <is>
          <t>Armament@PRIMARY</t>
        </is>
      </c>
      <c r="L207" s="6" t="n">
        <v>4000</v>
      </c>
      <c r="M207" s="6" t="n">
        <v>20</v>
      </c>
      <c r="N207" s="6" t="n">
        <v>1</v>
      </c>
      <c r="O207" s="6" t="n"/>
      <c r="P207" s="6" t="n">
        <v>5475</v>
      </c>
      <c r="Q207" s="6" t="n">
        <v>0.875</v>
      </c>
      <c r="R207">
        <f>M207+IF(N207&gt;1,N(O207)*(N207-1),0)</f>
        <v/>
      </c>
      <c r="S207">
        <f>IFERROR(L207*MAX(N207,1)/R207*IF(ISBLANK(K206),1,K206),0)</f>
        <v/>
      </c>
      <c r="AB207" s="7" t="inlineStr">
        <is>
          <t>^Warhead_Bullet_Medium, ^Warhead_Bullet_Light</t>
        </is>
      </c>
    </row>
    <row r="208">
      <c r="B208" s="7" t="inlineStr">
        <is>
          <t xml:space="preserve">  ↳ light_inf_lmg_upgrade</t>
        </is>
      </c>
      <c r="C208" s="7" t="inlineStr">
        <is>
          <t>Armament@Upgrade</t>
        </is>
      </c>
      <c r="L208" s="6" t="n">
        <v>6000</v>
      </c>
      <c r="M208" s="6" t="n">
        <v>20</v>
      </c>
      <c r="N208" s="6" t="n">
        <v>1</v>
      </c>
      <c r="O208" s="6" t="n"/>
      <c r="P208" s="6" t="n">
        <v>4500</v>
      </c>
      <c r="Q208" s="6" t="n">
        <v>1</v>
      </c>
      <c r="R208">
        <f>M208+IF(N208&gt;1,N(O208)*(N208-1),0)</f>
        <v/>
      </c>
      <c r="S208">
        <f>IFERROR(L208*MAX(N208,1)/R208*IF(ISBLANK(K206),1,K206),0)</f>
        <v/>
      </c>
      <c r="AB208" s="7" t="inlineStr">
        <is>
          <t>^Warhead_Bullet_Medium, ^Warhead_Bullet_Light, ^Warhead_CannonHE_Heavy</t>
        </is>
      </c>
    </row>
    <row r="209">
      <c r="B209" s="7" t="inlineStr">
        <is>
          <t xml:space="preserve">  ↳ light_inf_lmg</t>
        </is>
      </c>
      <c r="C209" s="7" t="inlineStr">
        <is>
          <t>Armament@GARRISONED</t>
        </is>
      </c>
      <c r="L209" s="6" t="n">
        <v>4000</v>
      </c>
      <c r="M209" s="6" t="n">
        <v>20</v>
      </c>
      <c r="N209" s="6" t="n">
        <v>1</v>
      </c>
      <c r="O209" s="6" t="n"/>
      <c r="P209" s="6" t="n">
        <v>5475</v>
      </c>
      <c r="Q209" s="6" t="n">
        <v>0.875</v>
      </c>
      <c r="R209">
        <f>M209+IF(N209&gt;1,N(O209)*(N209-1),0)</f>
        <v/>
      </c>
      <c r="S209">
        <f>IFERROR(L209*MAX(N209,1)/R209*IF(ISBLANK(K206),1,K206),0)</f>
        <v/>
      </c>
      <c r="AB209" s="7" t="inlineStr">
        <is>
          <t>^Warhead_Bullet_Medium, ^Warhead_Bullet_Light</t>
        </is>
      </c>
    </row>
    <row r="210">
      <c r="B210" s="7" t="inlineStr">
        <is>
          <t xml:space="preserve">  ↳ light_inf_lmg_upgrade</t>
        </is>
      </c>
      <c r="C210" s="7" t="inlineStr">
        <is>
          <t>Armament@UpgradeGARRISONED</t>
        </is>
      </c>
      <c r="L210" s="6" t="n">
        <v>6000</v>
      </c>
      <c r="M210" s="6" t="n">
        <v>20</v>
      </c>
      <c r="N210" s="6" t="n">
        <v>1</v>
      </c>
      <c r="O210" s="6" t="n"/>
      <c r="P210" s="6" t="n">
        <v>4500</v>
      </c>
      <c r="Q210" s="6" t="n">
        <v>1</v>
      </c>
      <c r="R210">
        <f>M210+IF(N210&gt;1,N(O210)*(N210-1),0)</f>
        <v/>
      </c>
      <c r="S210">
        <f>IFERROR(L210*MAX(N210,1)/R210*IF(ISBLANK(K206),1,K206),0)</f>
        <v/>
      </c>
      <c r="AB210" s="7" t="inlineStr">
        <is>
          <t>^Warhead_Bullet_Medium, ^Warhead_Bullet_Light, ^Warhead_CannonHE_Heavy</t>
        </is>
      </c>
    </row>
    <row r="211">
      <c r="A211" t="inlineStr">
        <is>
          <t>d2k</t>
        </is>
      </c>
      <c r="B211" t="inlineStr">
        <is>
          <t>ordos_lightinfantry</t>
        </is>
      </c>
      <c r="C211" t="inlineStr">
        <is>
          <t>Ordos Light Infantry</t>
        </is>
      </c>
      <c r="D211" s="6" t="inlineStr">
        <is>
          <t>ScoutInfantry</t>
        </is>
      </c>
      <c r="E211" s="6" t="n">
        <v>28000</v>
      </c>
      <c r="F211" s="6" t="n">
        <v>62</v>
      </c>
      <c r="G211" t="inlineStr">
        <is>
          <t>None</t>
        </is>
      </c>
      <c r="H211" s="6" t="n">
        <v>1</v>
      </c>
      <c r="I211" s="6" t="n">
        <v>1</v>
      </c>
      <c r="J211" s="6" t="n">
        <v>1</v>
      </c>
      <c r="K211" s="6" t="n">
        <v>0.0067</v>
      </c>
      <c r="P211">
        <f>MAX(P212,P213)</f>
        <v/>
      </c>
      <c r="S211">
        <f>S212+S213</f>
        <v/>
      </c>
      <c r="T211">
        <f>(E211/100000+F211/100+(P211/1000)*J211/5+S211/200)*200*I211*H211</f>
        <v/>
      </c>
      <c r="U211">
        <f>((E211*F211/25000)+((P211/1000)*J211*S211/2.5))*I211*H211</f>
        <v/>
      </c>
      <c r="V211">
        <f>(E211*F211*(P211/1000)*J211*S211*I211*H211)/12500000</f>
        <v/>
      </c>
      <c r="W211">
        <f>(((E211/20000)+(F211/60)+(S211/60)+((P211/5000)*J211))*100/4+(((E211/20000)*(F211/60))+(((P211/5000)*J211)*(S211/60)))*100/2+((E211/20000)*(F211/60)*((P211/5000)*J211)*(S211/60))*100)*(H211/1.0)/3</f>
        <v/>
      </c>
      <c r="X211" s="6" t="n">
        <v>120</v>
      </c>
      <c r="Y211">
        <f>IFERROR(W211-X211,"")</f>
        <v/>
      </c>
      <c r="Z211">
        <f>IFERROR(ABS(Y211)/MAX(X211,1),"")</f>
        <v/>
      </c>
      <c r="AA211">
        <f>IFERROR(ROUND(((3*X211-(((E211/20000)+(F211/60)+(S211/60))*100/4+((E211/20000)*(F211/60))*100/2)*(H211/1.0))/(100/4+((S211/60))*100/2+((E211/20000)*(F211/60)*(S211/60))*100)*(H211/1.0)*5000)/J211,-1),"")</f>
        <v/>
      </c>
    </row>
    <row r="212">
      <c r="B212" s="7" t="inlineStr">
        <is>
          <t xml:space="preserve">  ↳ light_inf_lmg</t>
        </is>
      </c>
      <c r="C212" s="7" t="inlineStr">
        <is>
          <t>Armament@PRIMARY</t>
        </is>
      </c>
      <c r="L212" s="6" t="n">
        <v>4000</v>
      </c>
      <c r="M212" s="6" t="n">
        <v>20</v>
      </c>
      <c r="N212" s="6" t="n">
        <v>1</v>
      </c>
      <c r="O212" s="6" t="n"/>
      <c r="P212" s="6" t="n">
        <v>5475</v>
      </c>
      <c r="Q212" s="6" t="n">
        <v>0.875</v>
      </c>
      <c r="R212">
        <f>M212+IF(N212&gt;1,N(O212)*(N212-1),0)</f>
        <v/>
      </c>
      <c r="S212">
        <f>IFERROR(L212*MAX(N212,1)/R212*IF(ISBLANK(K211),1,K211),0)</f>
        <v/>
      </c>
      <c r="AB212" s="7" t="inlineStr">
        <is>
          <t>^Warhead_Bullet_Medium, ^Warhead_Bullet_Light</t>
        </is>
      </c>
    </row>
    <row r="213">
      <c r="B213" s="7" t="inlineStr">
        <is>
          <t xml:space="preserve">  ↳ light_inf_lmg_ordos_upgrade</t>
        </is>
      </c>
      <c r="C213" s="7" t="inlineStr">
        <is>
          <t>Armament@Upgrade</t>
        </is>
      </c>
      <c r="L213" s="6" t="n">
        <v>6000</v>
      </c>
      <c r="M213" s="6" t="n">
        <v>20</v>
      </c>
      <c r="N213" s="6" t="n">
        <v>1</v>
      </c>
      <c r="O213" s="6" t="n"/>
      <c r="P213" s="6" t="n">
        <v>5475</v>
      </c>
      <c r="Q213" s="6" t="n">
        <v>1</v>
      </c>
      <c r="R213">
        <f>M213+IF(N213&gt;1,N(O213)*(N213-1),0)</f>
        <v/>
      </c>
      <c r="S213">
        <f>IFERROR(L213*MAX(N213,1)/R213*IF(ISBLANK(K211),1,K211),0)</f>
        <v/>
      </c>
      <c r="AB213" s="7" t="inlineStr">
        <is>
          <t>^Warhead_Laser_Heavy, ^Warhead_Bullet_Medium, ^Warhead_Bullet_Light</t>
        </is>
      </c>
    </row>
    <row r="214">
      <c r="B214" s="7" t="inlineStr">
        <is>
          <t xml:space="preserve">  ↳ light_inf_lmg</t>
        </is>
      </c>
      <c r="C214" s="7" t="inlineStr">
        <is>
          <t>Armament@GARRISONED</t>
        </is>
      </c>
      <c r="L214" s="6" t="n">
        <v>4000</v>
      </c>
      <c r="M214" s="6" t="n">
        <v>20</v>
      </c>
      <c r="N214" s="6" t="n">
        <v>1</v>
      </c>
      <c r="O214" s="6" t="n"/>
      <c r="P214" s="6" t="n">
        <v>5475</v>
      </c>
      <c r="Q214" s="6" t="n">
        <v>0.875</v>
      </c>
      <c r="R214">
        <f>M214+IF(N214&gt;1,N(O214)*(N214-1),0)</f>
        <v/>
      </c>
      <c r="S214">
        <f>IFERROR(L214*MAX(N214,1)/R214*IF(ISBLANK(K211),1,K211),0)</f>
        <v/>
      </c>
      <c r="AB214" s="7" t="inlineStr">
        <is>
          <t>^Warhead_Bullet_Medium, ^Warhead_Bullet_Light</t>
        </is>
      </c>
    </row>
    <row r="215">
      <c r="B215" s="7" t="inlineStr">
        <is>
          <t xml:space="preserve">  ↳ light_inf_lmg_ordos_upgrade</t>
        </is>
      </c>
      <c r="C215" s="7" t="inlineStr">
        <is>
          <t>Armament@UpgradeGARRISONED</t>
        </is>
      </c>
      <c r="L215" s="6" t="n">
        <v>6000</v>
      </c>
      <c r="M215" s="6" t="n">
        <v>20</v>
      </c>
      <c r="N215" s="6" t="n">
        <v>1</v>
      </c>
      <c r="O215" s="6" t="n"/>
      <c r="P215" s="6" t="n">
        <v>5475</v>
      </c>
      <c r="Q215" s="6" t="n">
        <v>1</v>
      </c>
      <c r="R215">
        <f>M215+IF(N215&gt;1,N(O215)*(N215-1),0)</f>
        <v/>
      </c>
      <c r="S215">
        <f>IFERROR(L215*MAX(N215,1)/R215*IF(ISBLANK(K211),1,K211),0)</f>
        <v/>
      </c>
      <c r="AB215" s="7" t="inlineStr">
        <is>
          <t>^Warhead_Laser_Heavy, ^Warhead_Bullet_Medium, ^Warhead_Bullet_Light</t>
        </is>
      </c>
    </row>
    <row r="216">
      <c r="A216" t="inlineStr">
        <is>
          <t>d2k</t>
        </is>
      </c>
      <c r="B216" t="inlineStr">
        <is>
          <t>ixian_lightinfantry</t>
        </is>
      </c>
      <c r="C216" t="inlineStr">
        <is>
          <t>Ixian Light Infantry</t>
        </is>
      </c>
      <c r="D216" s="6" t="inlineStr">
        <is>
          <t>ScoutInfantry</t>
        </is>
      </c>
      <c r="E216" s="6" t="n">
        <v>32000</v>
      </c>
      <c r="F216" s="6" t="n">
        <v>56</v>
      </c>
      <c r="G216" t="inlineStr">
        <is>
          <t>None</t>
        </is>
      </c>
      <c r="H216" s="6" t="n">
        <v>1</v>
      </c>
      <c r="I216" s="6" t="n">
        <v>1</v>
      </c>
      <c r="J216" s="6" t="n">
        <v>1</v>
      </c>
      <c r="K216" s="6" t="n">
        <v>0.0113</v>
      </c>
      <c r="P216">
        <f>MAX(P217,P218)</f>
        <v/>
      </c>
      <c r="S216">
        <f>S217+S218</f>
        <v/>
      </c>
      <c r="T216">
        <f>(E216/100000+F216/100+(P216/1000)*J216/5+S216/200)*200*I216*H216</f>
        <v/>
      </c>
      <c r="U216">
        <f>((E216*F216/25000)+((P216/1000)*J216*S216/2.5))*I216*H216</f>
        <v/>
      </c>
      <c r="V216">
        <f>(E216*F216*(P216/1000)*J216*S216*I216*H216)/12500000</f>
        <v/>
      </c>
      <c r="W216">
        <f>(((E216/20000)+(F216/60)+(S216/60)+((P216/5000)*J216))*100/4+(((E216/20000)*(F216/60))+(((P216/5000)*J216)*(S216/60)))*100/2+((E216/20000)*(F216/60)*((P216/5000)*J216)*(S216/60))*100)*(H216/1.0)/3</f>
        <v/>
      </c>
      <c r="X216" s="6" t="n">
        <v>150</v>
      </c>
      <c r="Y216">
        <f>IFERROR(W216-X216,"")</f>
        <v/>
      </c>
      <c r="Z216">
        <f>IFERROR(ABS(Y216)/MAX(X216,1),"")</f>
        <v/>
      </c>
      <c r="AA216">
        <f>IFERROR(ROUND(((3*X216-(((E216/20000)+(F216/60)+(S216/60))*100/4+((E216/20000)*(F216/60))*100/2)*(H216/1.0))/(100/4+((S216/60))*100/2+((E216/20000)*(F216/60)*(S216/60))*100)*(H216/1.0)*5000)/J216,-1),"")</f>
        <v/>
      </c>
    </row>
    <row r="217">
      <c r="B217" s="7" t="inlineStr">
        <is>
          <t xml:space="preserve">  ↳ light_inf_lmg</t>
        </is>
      </c>
      <c r="C217" s="7" t="inlineStr">
        <is>
          <t>Armament@PRIMARY</t>
        </is>
      </c>
      <c r="L217" s="6" t="n">
        <v>4000</v>
      </c>
      <c r="M217" s="6" t="n">
        <v>20</v>
      </c>
      <c r="N217" s="6" t="n">
        <v>1</v>
      </c>
      <c r="O217" s="6" t="n"/>
      <c r="P217" s="6" t="n">
        <v>5475</v>
      </c>
      <c r="Q217" s="6" t="n">
        <v>0.875</v>
      </c>
      <c r="R217">
        <f>M217+IF(N217&gt;1,N(O217)*(N217-1),0)</f>
        <v/>
      </c>
      <c r="S217">
        <f>IFERROR(L217*MAX(N217,1)/R217*IF(ISBLANK(K216),1,K216),0)</f>
        <v/>
      </c>
      <c r="AB217" s="7" t="inlineStr">
        <is>
          <t>^Warhead_Bullet_Medium, ^Warhead_Bullet_Light</t>
        </is>
      </c>
    </row>
    <row r="218">
      <c r="B218" s="7" t="inlineStr">
        <is>
          <t xml:space="preserve">  ↳ light_inf_lmg_upgrade</t>
        </is>
      </c>
      <c r="C218" s="7" t="inlineStr">
        <is>
          <t>Armament@Upgrade</t>
        </is>
      </c>
      <c r="L218" s="6" t="n">
        <v>6000</v>
      </c>
      <c r="M218" s="6" t="n">
        <v>20</v>
      </c>
      <c r="N218" s="6" t="n">
        <v>1</v>
      </c>
      <c r="O218" s="6" t="n"/>
      <c r="P218" s="6" t="n">
        <v>4500</v>
      </c>
      <c r="Q218" s="6" t="n">
        <v>1</v>
      </c>
      <c r="R218">
        <f>M218+IF(N218&gt;1,N(O218)*(N218-1),0)</f>
        <v/>
      </c>
      <c r="S218">
        <f>IFERROR(L218*MAX(N218,1)/R218*IF(ISBLANK(K216),1,K216),0)</f>
        <v/>
      </c>
      <c r="AB218" s="7" t="inlineStr">
        <is>
          <t>^Warhead_Bullet_Medium, ^Warhead_Bullet_Light, ^Warhead_CannonHE_Heavy</t>
        </is>
      </c>
    </row>
    <row r="219">
      <c r="B219" s="7" t="inlineStr">
        <is>
          <t xml:space="preserve">  ↳ light_inf_lmg</t>
        </is>
      </c>
      <c r="C219" s="7" t="inlineStr">
        <is>
          <t>Armament@GARRISONED</t>
        </is>
      </c>
      <c r="L219" s="6" t="n">
        <v>4000</v>
      </c>
      <c r="M219" s="6" t="n">
        <v>20</v>
      </c>
      <c r="N219" s="6" t="n">
        <v>1</v>
      </c>
      <c r="O219" s="6" t="n"/>
      <c r="P219" s="6" t="n">
        <v>5475</v>
      </c>
      <c r="Q219" s="6" t="n">
        <v>0.875</v>
      </c>
      <c r="R219">
        <f>M219+IF(N219&gt;1,N(O219)*(N219-1),0)</f>
        <v/>
      </c>
      <c r="S219">
        <f>IFERROR(L219*MAX(N219,1)/R219*IF(ISBLANK(K216),1,K216),0)</f>
        <v/>
      </c>
      <c r="AB219" s="7" t="inlineStr">
        <is>
          <t>^Warhead_Bullet_Medium, ^Warhead_Bullet_Light</t>
        </is>
      </c>
    </row>
    <row r="220">
      <c r="B220" s="7" t="inlineStr">
        <is>
          <t xml:space="preserve">  ↳ light_inf_lmg_upgrade</t>
        </is>
      </c>
      <c r="C220" s="7" t="inlineStr">
        <is>
          <t>Armament@UpgradeGARRISONED</t>
        </is>
      </c>
      <c r="L220" s="6" t="n">
        <v>6000</v>
      </c>
      <c r="M220" s="6" t="n">
        <v>20</v>
      </c>
      <c r="N220" s="6" t="n">
        <v>1</v>
      </c>
      <c r="O220" s="6" t="n"/>
      <c r="P220" s="6" t="n">
        <v>4500</v>
      </c>
      <c r="Q220" s="6" t="n">
        <v>1</v>
      </c>
      <c r="R220">
        <f>M220+IF(N220&gt;1,N(O220)*(N220-1),0)</f>
        <v/>
      </c>
      <c r="S220">
        <f>IFERROR(L220*MAX(N220,1)/R220*IF(ISBLANK(K216),1,K216),0)</f>
        <v/>
      </c>
      <c r="AB220" s="7" t="inlineStr">
        <is>
          <t>^Warhead_Bullet_Medium, ^Warhead_Bullet_Light, ^Warhead_CannonHE_Heavy</t>
        </is>
      </c>
    </row>
    <row r="221">
      <c r="A221" t="inlineStr">
        <is>
          <t>starcraft</t>
        </is>
      </c>
      <c r="B221" t="inlineStr">
        <is>
          <t>zerg_defiler</t>
        </is>
      </c>
      <c r="C221" t="inlineStr">
        <is>
          <t>Defiler</t>
        </is>
      </c>
      <c r="D221" s="6" t="inlineStr">
        <is>
          <t>ScoutInfantry</t>
        </is>
      </c>
      <c r="E221" s="6" t="n">
        <v>80000</v>
      </c>
      <c r="F221" s="6" t="n">
        <v>50</v>
      </c>
      <c r="G221" t="inlineStr">
        <is>
          <t>None</t>
        </is>
      </c>
      <c r="H221" s="6" t="n">
        <v>1</v>
      </c>
      <c r="I221" s="6" t="n">
        <v>1</v>
      </c>
      <c r="J221" s="6" t="n">
        <v>1.25</v>
      </c>
      <c r="K221" s="6" t="n"/>
      <c r="P221">
        <f>MAX(P222)</f>
        <v/>
      </c>
      <c r="S221">
        <f>S222</f>
        <v/>
      </c>
      <c r="T221">
        <f>(E221/100000+F221/100+(P221/1000)*J221/5+S221/200)*200*I221*H221</f>
        <v/>
      </c>
      <c r="U221">
        <f>((E221*F221/25000)+((P221/1000)*J221*S221/2.5))*I221*H221</f>
        <v/>
      </c>
      <c r="V221">
        <f>(E221*F221*(P221/1000)*J221*S221*I221*H221)/12500000</f>
        <v/>
      </c>
      <c r="W221">
        <f>(((E221/5000)+(F221/50)+(S221/0)+((P221/0)*J221))*500/4+(((E221/5000)*(F221/50))+(((P221/0)*J221)*(S221/0)))*500/2+((E221/5000)*(F221/50)*((P221/0)*J221)*(S221/0))*500)*(H221/1.0)/3</f>
        <v/>
      </c>
      <c r="X221" s="6" t="n">
        <v>1400</v>
      </c>
      <c r="Y221">
        <f>IFERROR(W221-X221,"")</f>
        <v/>
      </c>
      <c r="Z221">
        <f>IFERROR(ABS(Y221)/MAX(X221,1),"")</f>
        <v/>
      </c>
      <c r="AA221">
        <f>IFERROR(ROUND(((3*X221-(((E221/5000)+(F221/50)+(S221/0))*500/4+((E221/5000)*(F221/50))*500/2)*(H221/1.0))/(500/4+((S221/0))*500/2+((E221/5000)*(F221/50)*(S221/0))*500)*(H221/1.0)*0)/J221,-1),"")</f>
        <v/>
      </c>
    </row>
    <row r="222">
      <c r="B222" s="7" t="inlineStr">
        <is>
          <t xml:space="preserve">  ↳ DefilerPlague</t>
        </is>
      </c>
      <c r="C222" s="7" t="inlineStr">
        <is>
          <t>Armament</t>
        </is>
      </c>
      <c r="L222" s="6" t="n">
        <v>30000</v>
      </c>
      <c r="M222" s="6" t="n">
        <v>175</v>
      </c>
      <c r="N222" s="6" t="n">
        <v>1</v>
      </c>
      <c r="O222" s="6" t="n"/>
      <c r="P222" s="6" t="n">
        <v>9000</v>
      </c>
      <c r="Q222" s="6" t="n">
        <v>1.25</v>
      </c>
      <c r="R222">
        <f>M222+IF(N222&gt;1,N(O222)*(N222-1),0)</f>
        <v/>
      </c>
      <c r="S222">
        <f>IFERROR(L222*MAX(N222,1)/R222*IF(ISBLANK(K221),1,K221),0)</f>
        <v/>
      </c>
      <c r="AB222" s="7" t="inlineStr">
        <is>
          <t>^Warhead_Chemical_Heavy</t>
        </is>
      </c>
    </row>
    <row r="223">
      <c r="A223" t="inlineStr">
        <is>
          <t>starcraft</t>
        </is>
      </c>
      <c r="B223" t="inlineStr">
        <is>
          <t>zerg_spithid</t>
        </is>
      </c>
      <c r="C223" t="inlineStr">
        <is>
          <t>Spithid</t>
        </is>
      </c>
      <c r="D223" s="6" t="inlineStr">
        <is>
          <t>ScoutInfantry</t>
        </is>
      </c>
      <c r="E223" s="6" t="n">
        <v>40000</v>
      </c>
      <c r="F223" s="6" t="n">
        <v>110</v>
      </c>
      <c r="G223" t="inlineStr">
        <is>
          <t>None</t>
        </is>
      </c>
      <c r="H223" s="6" t="n">
        <v>1</v>
      </c>
      <c r="I223" s="6" t="n">
        <v>1</v>
      </c>
      <c r="J223" s="6" t="n">
        <v>1</v>
      </c>
      <c r="K223" s="6" t="n"/>
      <c r="P223">
        <f>MAX(P224)</f>
        <v/>
      </c>
      <c r="S223">
        <f>S224</f>
        <v/>
      </c>
      <c r="T223">
        <f>(E223/100000+F223/100+(P223/1000)*J223/5+S223/200)*200*I223*H223</f>
        <v/>
      </c>
      <c r="U223">
        <f>((E223*F223/25000)+((P223/1000)*J223*S223/2.5))*I223*H223</f>
        <v/>
      </c>
      <c r="V223">
        <f>(E223*F223*(P223/1000)*J223*S223*I223*H223)/12500000</f>
        <v/>
      </c>
      <c r="W223">
        <f>(((E223/20000)+(F223/60)+(S223/60)+((P223/5000)*J223))*100/4+(((E223/20000)*(F223/60))+(((P223/5000)*J223)*(S223/60)))*100/2+((E223/20000)*(F223/60)*((P223/5000)*J223)*(S223/60))*100)*(H223/1.0)/3</f>
        <v/>
      </c>
      <c r="X223" s="6" t="n">
        <v>300</v>
      </c>
      <c r="Y223">
        <f>IFERROR(W223-X223,"")</f>
        <v/>
      </c>
      <c r="Z223">
        <f>IFERROR(ABS(Y223)/MAX(X223,1),"")</f>
        <v/>
      </c>
      <c r="AA223">
        <f>IFERROR(ROUND(((3*X223-(((E223/20000)+(F223/60)+(S223/60))*100/4+((E223/20000)*(F223/60))*100/2)*(H223/1.0))/(100/4+((S223/60))*100/2+((E223/20000)*(F223/60)*(S223/60))*100)*(H223/1.0)*5000)/J223,-1),"")</f>
        <v/>
      </c>
    </row>
    <row r="224">
      <c r="B224" s="7" t="inlineStr">
        <is>
          <t xml:space="preserve">  ↳ SpithidSpit</t>
        </is>
      </c>
      <c r="C224" s="7" t="inlineStr">
        <is>
          <t>Armament@PRIMARY</t>
        </is>
      </c>
      <c r="L224" s="6" t="n">
        <v>6000</v>
      </c>
      <c r="M224" s="6" t="n">
        <v>15</v>
      </c>
      <c r="N224" s="6" t="n">
        <v>1</v>
      </c>
      <c r="O224" s="6" t="n"/>
      <c r="P224" s="6" t="n">
        <v>3855</v>
      </c>
      <c r="Q224" s="6" t="n">
        <v>1</v>
      </c>
      <c r="R224">
        <f>M224+IF(N224&gt;1,N(O224)*(N224-1),0)</f>
        <v/>
      </c>
      <c r="S224">
        <f>IFERROR(L224*MAX(N224,1)/R224*IF(ISBLANK(K223),1,K223),0)</f>
        <v/>
      </c>
      <c r="AB224" s="7" t="inlineStr">
        <is>
          <t>^LightMissile, ^SmallArms, ^ArrowWeapon</t>
        </is>
      </c>
    </row>
    <row r="225">
      <c r="B225" s="7" t="inlineStr">
        <is>
          <t xml:space="preserve">  ↳ SpithidSpit</t>
        </is>
      </c>
      <c r="C225" s="7" t="inlineStr">
        <is>
          <t>Armament@GARRISONED</t>
        </is>
      </c>
      <c r="L225" s="6" t="n">
        <v>6000</v>
      </c>
      <c r="M225" s="6" t="n">
        <v>15</v>
      </c>
      <c r="N225" s="6" t="n">
        <v>1</v>
      </c>
      <c r="O225" s="6" t="n"/>
      <c r="P225" s="6" t="n">
        <v>3855</v>
      </c>
      <c r="Q225" s="6" t="n">
        <v>1</v>
      </c>
      <c r="R225">
        <f>M225+IF(N225&gt;1,N(O225)*(N225-1),0)</f>
        <v/>
      </c>
      <c r="S225">
        <f>IFERROR(L225*MAX(N225,1)/R225*IF(ISBLANK(K223),1,K223),0)</f>
        <v/>
      </c>
      <c r="AB225" s="7" t="inlineStr">
        <is>
          <t>^LightMissile, ^SmallArms, ^ArrowWeapon</t>
        </is>
      </c>
    </row>
    <row r="226">
      <c r="A226" s="4" t="inlineStr">
        <is>
          <t>CloseCombatInfantry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</row>
    <row r="227">
      <c r="A227" t="inlineStr">
        <is>
          <t>tiberiandawn</t>
        </is>
      </c>
      <c r="B227" t="inlineStr">
        <is>
          <t>td_gdi_shotgunner</t>
        </is>
      </c>
      <c r="C227" t="inlineStr">
        <is>
          <t>Shotgunner</t>
        </is>
      </c>
      <c r="D227" s="6" t="inlineStr">
        <is>
          <t>CloseCombatInfantry</t>
        </is>
      </c>
      <c r="E227" s="6" t="n">
        <v>50000</v>
      </c>
      <c r="F227" s="6" t="n">
        <v>75</v>
      </c>
      <c r="G227" t="inlineStr">
        <is>
          <t>Plate</t>
        </is>
      </c>
      <c r="H227" s="6" t="n">
        <v>1</v>
      </c>
      <c r="I227" s="6" t="n">
        <v>1</v>
      </c>
      <c r="J227" s="6" t="n">
        <v>1</v>
      </c>
      <c r="K227" s="6" t="n">
        <v>0.01</v>
      </c>
      <c r="P227">
        <f>MAX(P228)</f>
        <v/>
      </c>
      <c r="S227">
        <f>S228</f>
        <v/>
      </c>
      <c r="T227">
        <f>(E227/100000+F227/100+(P227/1000)*J227/5+S227/200)*200*I227*H227</f>
        <v/>
      </c>
      <c r="U227">
        <f>((E227*F227/25000)+((P227/1000)*J227*S227/2.5))*I227*H227</f>
        <v/>
      </c>
      <c r="V227">
        <f>(E227*F227*(P227/1000)*J227*S227*I227*H227)/12500000</f>
        <v/>
      </c>
      <c r="W227">
        <f>(((E227/50000)+(F227/75)+(S227/250)+((P227/3500)*J227))*200/4+(((E227/50000)*(F227/75))+(((P227/3500)*J227)*(S227/250)))*200/2+((E227/50000)*(F227/75)*((P227/3500)*J227)*(S227/250))*200)*(H227/1.0)/3</f>
        <v/>
      </c>
      <c r="X227" s="6" t="n">
        <v>200</v>
      </c>
      <c r="Y227">
        <f>IFERROR(W227-X227,"")</f>
        <v/>
      </c>
      <c r="Z227">
        <f>IFERROR(ABS(Y227)/MAX(X227,1),"")</f>
        <v/>
      </c>
      <c r="AA227">
        <f>IFERROR(ROUND(((3*X227-(((E227/50000)+(F227/75)+(S227/250))*200/4+((E227/50000)*(F227/75))*200/2)*(H227/1.0))/(200/4+((S227/250))*200/2+((E227/50000)*(F227/75)*(S227/250))*200)*(H227/1.0)*3500)/J227,-1),"")</f>
        <v/>
      </c>
    </row>
    <row r="228">
      <c r="B228" s="7" t="inlineStr">
        <is>
          <t xml:space="preserve">  ↳ td_gdi_shotgunner_shotgun</t>
        </is>
      </c>
      <c r="C228" s="7" t="inlineStr">
        <is>
          <t>Armament@PRIMARY</t>
        </is>
      </c>
      <c r="L228" s="6" t="n">
        <v>4000</v>
      </c>
      <c r="M228" s="6" t="n">
        <v>70</v>
      </c>
      <c r="N228" s="6" t="n">
        <v>5</v>
      </c>
      <c r="O228" s="6" t="n">
        <v>0</v>
      </c>
      <c r="P228" s="6" t="n">
        <v>3500</v>
      </c>
      <c r="Q228" s="6" t="n">
        <v>0.875</v>
      </c>
      <c r="R228">
        <f>M228+IF(N228&gt;1,N(O228)*(N228-1),0)</f>
        <v/>
      </c>
      <c r="S228">
        <f>IFERROR(L228*MAX(N228,1)/R228*IF(ISBLANK(K227),1,K227),0)</f>
        <v/>
      </c>
      <c r="AB228" s="7" t="inlineStr">
        <is>
          <t>^Warhead_Bullet_Light, ^Warhead_Bullet_Medium</t>
        </is>
      </c>
    </row>
    <row r="229">
      <c r="B229" s="7" t="inlineStr">
        <is>
          <t xml:space="preserve">  ↳ td_gdi_shotgunner_shotgun</t>
        </is>
      </c>
      <c r="C229" s="7" t="inlineStr">
        <is>
          <t>Armament@GARRISONED</t>
        </is>
      </c>
      <c r="L229" s="6" t="n">
        <v>4000</v>
      </c>
      <c r="M229" s="6" t="n">
        <v>70</v>
      </c>
      <c r="N229" s="6" t="n">
        <v>5</v>
      </c>
      <c r="O229" s="6" t="n">
        <v>0</v>
      </c>
      <c r="P229" s="6" t="n">
        <v>3500</v>
      </c>
      <c r="Q229" s="6" t="n">
        <v>0.875</v>
      </c>
      <c r="R229">
        <f>M229+IF(N229&gt;1,N(O229)*(N229-1),0)</f>
        <v/>
      </c>
      <c r="S229">
        <f>IFERROR(L229*MAX(N229,1)/R229*IF(ISBLANK(K227),1,K227),0)</f>
        <v/>
      </c>
      <c r="AB229" s="7" t="inlineStr">
        <is>
          <t>^Warhead_Bullet_Light, ^Warhead_Bullet_Medium</t>
        </is>
      </c>
    </row>
    <row r="230">
      <c r="A230" t="inlineStr">
        <is>
          <t>redalert2mod</t>
        </is>
      </c>
      <c r="B230" t="inlineStr">
        <is>
          <t>asianalliance_fanatic</t>
        </is>
      </c>
      <c r="C230" t="inlineStr">
        <is>
          <t>Fanatic</t>
        </is>
      </c>
      <c r="D230" s="6" t="inlineStr">
        <is>
          <t>CloseCombatInfantry</t>
        </is>
      </c>
      <c r="E230" s="6" t="n">
        <v>100000</v>
      </c>
      <c r="F230" s="6" t="n">
        <v>75</v>
      </c>
      <c r="G230" t="inlineStr">
        <is>
          <t>Plate</t>
        </is>
      </c>
      <c r="H230" s="6" t="n">
        <v>1</v>
      </c>
      <c r="I230" s="6" t="n">
        <v>1</v>
      </c>
      <c r="J230" s="6" t="n">
        <v>1</v>
      </c>
      <c r="K230" s="6" t="n">
        <v>0.01</v>
      </c>
      <c r="P230">
        <f>MAX(P231,P232,P233)</f>
        <v/>
      </c>
      <c r="S230">
        <f>S231+S232+S233</f>
        <v/>
      </c>
      <c r="T230">
        <f>(E230/100000+F230/100+(P230/1000)*J230/5+S230/200)*200*I230*H230</f>
        <v/>
      </c>
      <c r="U230">
        <f>((E230*F230/25000)+((P230/1000)*J230*S230/2.5))*I230*H230</f>
        <v/>
      </c>
      <c r="V230">
        <f>(E230*F230*(P230/1000)*J230*S230*I230*H230)/12500000</f>
        <v/>
      </c>
      <c r="W230">
        <f>(((E230/50000)+(F230/75)+(S230/250)+((P230/3500)*J230))*200/4+(((E230/50000)*(F230/75))+(((P230/3500)*J230)*(S230/250)))*200/2+((E230/50000)*(F230/75)*((P230/3500)*J230)*(S230/250))*200)*(H230/1.0)/3</f>
        <v/>
      </c>
      <c r="X230" s="6" t="n">
        <v>500</v>
      </c>
      <c r="Y230">
        <f>IFERROR(W230-X230,"")</f>
        <v/>
      </c>
      <c r="Z230">
        <f>IFERROR(ABS(Y230)/MAX(X230,1),"")</f>
        <v/>
      </c>
      <c r="AA230">
        <f>IFERROR(ROUND(((3*X230-(((E230/50000)+(F230/75)+(S230/250))*200/4+((E230/50000)*(F230/75))*200/2)*(H230/1.0))/(200/4+((S230/250))*200/2+((E230/50000)*(F230/75)*(S230/250))*200)*(H230/1.0)*3500)/J230,-1),"")</f>
        <v/>
      </c>
    </row>
    <row r="231">
      <c r="B231" s="7" t="inlineStr">
        <is>
          <t xml:space="preserve">  ↳ asianalliance_fanatic_shotgun</t>
        </is>
      </c>
      <c r="C231" s="7" t="inlineStr">
        <is>
          <t>Armament@PRIMARY</t>
        </is>
      </c>
      <c r="L231" s="6" t="n">
        <v>4000</v>
      </c>
      <c r="M231" s="6" t="n">
        <v>70</v>
      </c>
      <c r="N231" s="6" t="n">
        <v>10</v>
      </c>
      <c r="O231" s="6" t="n">
        <v>0</v>
      </c>
      <c r="P231" s="6" t="n">
        <v>3500</v>
      </c>
      <c r="Q231" s="6" t="n">
        <v>0.875</v>
      </c>
      <c r="R231">
        <f>M231+IF(N231&gt;1,N(O231)*(N231-1),0)</f>
        <v/>
      </c>
      <c r="S231">
        <f>IFERROR(L231*MAX(N231,1)/R231*IF(ISBLANK(K230),1,K230),0)</f>
        <v/>
      </c>
      <c r="AB231" s="7" t="inlineStr">
        <is>
          <t>^Warhead_Bullet_Light, ^Warhead_Bullet_Medium</t>
        </is>
      </c>
    </row>
    <row r="232">
      <c r="B232" s="7" t="inlineStr">
        <is>
          <t xml:space="preserve">  ↳ asianalliance_fanatic_shotgun_upgrade</t>
        </is>
      </c>
      <c r="C232" s="7" t="inlineStr">
        <is>
          <t>Armament@Upgrade</t>
        </is>
      </c>
      <c r="L232" s="6" t="n">
        <v>4000</v>
      </c>
      <c r="M232" s="6" t="n">
        <v>70</v>
      </c>
      <c r="N232" s="6" t="n">
        <v>13</v>
      </c>
      <c r="O232" s="6" t="n">
        <v>0</v>
      </c>
      <c r="P232" s="6" t="n">
        <v>3500</v>
      </c>
      <c r="Q232" s="6" t="n">
        <v>0.875</v>
      </c>
      <c r="R232">
        <f>M232+IF(N232&gt;1,N(O232)*(N232-1),0)</f>
        <v/>
      </c>
      <c r="S232">
        <f>IFERROR(L232*MAX(N232,1)/R232*IF(ISBLANK(K230),1,K230),0)</f>
        <v/>
      </c>
      <c r="AB232" s="7" t="inlineStr">
        <is>
          <t>^Warhead_Bullet_Light, ^Warhead_Bullet_Medium</t>
        </is>
      </c>
    </row>
    <row r="233">
      <c r="B233" s="7" t="inlineStr">
        <is>
          <t xml:space="preserve">  ↳ asianalliance_fanatic_shotgun_elite</t>
        </is>
      </c>
      <c r="C233" s="7" t="inlineStr">
        <is>
          <t>Armament@ELITE</t>
        </is>
      </c>
      <c r="L233" s="6" t="n">
        <v>4000</v>
      </c>
      <c r="M233" s="6" t="n">
        <v>70</v>
      </c>
      <c r="N233" s="6" t="n">
        <v>20</v>
      </c>
      <c r="O233" s="6" t="n">
        <v>0</v>
      </c>
      <c r="P233" s="6" t="n">
        <v>3500</v>
      </c>
      <c r="Q233" s="6" t="n">
        <v>0.875</v>
      </c>
      <c r="R233">
        <f>M233+IF(N233&gt;1,N(O233)*(N233-1),0)</f>
        <v/>
      </c>
      <c r="S233">
        <f>IFERROR(L233*MAX(N233,1)/R233*IF(ISBLANK(K230),1,K230),0)</f>
        <v/>
      </c>
      <c r="AB233" s="7" t="inlineStr">
        <is>
          <t>^Warhead_Bullet_Light, ^Warhead_Bullet_Medium</t>
        </is>
      </c>
    </row>
    <row r="234">
      <c r="B234" s="7" t="inlineStr">
        <is>
          <t xml:space="preserve">  ↳ asianalliance_fanatic_shotgun</t>
        </is>
      </c>
      <c r="C234" s="7" t="inlineStr">
        <is>
          <t>Armament@GARRISONED</t>
        </is>
      </c>
      <c r="L234" s="6" t="n">
        <v>4000</v>
      </c>
      <c r="M234" s="6" t="n">
        <v>70</v>
      </c>
      <c r="N234" s="6" t="n">
        <v>10</v>
      </c>
      <c r="O234" s="6" t="n">
        <v>0</v>
      </c>
      <c r="P234" s="6" t="n">
        <v>3500</v>
      </c>
      <c r="Q234" s="6" t="n">
        <v>0.875</v>
      </c>
      <c r="R234">
        <f>M234+IF(N234&gt;1,N(O234)*(N234-1),0)</f>
        <v/>
      </c>
      <c r="S234">
        <f>IFERROR(L234*MAX(N234,1)/R234*IF(ISBLANK(K230),1,K230),0)</f>
        <v/>
      </c>
      <c r="AB234" s="7" t="inlineStr">
        <is>
          <t>^Warhead_Bullet_Light, ^Warhead_Bullet_Medium</t>
        </is>
      </c>
    </row>
    <row r="235">
      <c r="B235" s="7" t="inlineStr">
        <is>
          <t xml:space="preserve">  ↳ asianalliance_fanatic_shotgun_upgrade</t>
        </is>
      </c>
      <c r="C235" s="7" t="inlineStr">
        <is>
          <t>Armament@GARRISONEDUpgrade</t>
        </is>
      </c>
      <c r="L235" s="6" t="n">
        <v>4000</v>
      </c>
      <c r="M235" s="6" t="n">
        <v>70</v>
      </c>
      <c r="N235" s="6" t="n">
        <v>13</v>
      </c>
      <c r="O235" s="6" t="n">
        <v>0</v>
      </c>
      <c r="P235" s="6" t="n">
        <v>3500</v>
      </c>
      <c r="Q235" s="6" t="n">
        <v>0.875</v>
      </c>
      <c r="R235">
        <f>M235+IF(N235&gt;1,N(O235)*(N235-1),0)</f>
        <v/>
      </c>
      <c r="S235">
        <f>IFERROR(L235*MAX(N235,1)/R235*IF(ISBLANK(K230),1,K230),0)</f>
        <v/>
      </c>
      <c r="AB235" s="7" t="inlineStr">
        <is>
          <t>^Warhead_Bullet_Light, ^Warhead_Bullet_Medium</t>
        </is>
      </c>
    </row>
    <row r="236">
      <c r="B236" s="7" t="inlineStr">
        <is>
          <t xml:space="preserve">  ↳ asianalliance_fanatic_shotgun_elite</t>
        </is>
      </c>
      <c r="C236" s="7" t="inlineStr">
        <is>
          <t>Armament@GARRISONEDELITE</t>
        </is>
      </c>
      <c r="L236" s="6" t="n">
        <v>4000</v>
      </c>
      <c r="M236" s="6" t="n">
        <v>70</v>
      </c>
      <c r="N236" s="6" t="n">
        <v>20</v>
      </c>
      <c r="O236" s="6" t="n">
        <v>0</v>
      </c>
      <c r="P236" s="6" t="n">
        <v>3500</v>
      </c>
      <c r="Q236" s="6" t="n">
        <v>0.875</v>
      </c>
      <c r="R236">
        <f>M236+IF(N236&gt;1,N(O236)*(N236-1),0)</f>
        <v/>
      </c>
      <c r="S236">
        <f>IFERROR(L236*MAX(N236,1)/R236*IF(ISBLANK(K230),1,K230),0)</f>
        <v/>
      </c>
      <c r="AB236" s="7" t="inlineStr">
        <is>
          <t>^Warhead_Bullet_Light, ^Warhead_Bullet_Medium</t>
        </is>
      </c>
    </row>
    <row r="237">
      <c r="A237" t="inlineStr">
        <is>
          <t>redalert2mod</t>
        </is>
      </c>
      <c r="B237" t="inlineStr">
        <is>
          <t>alien.nax</t>
        </is>
      </c>
      <c r="C237" t="inlineStr">
        <is>
          <t>Naxi Alien</t>
        </is>
      </c>
      <c r="D237" s="6" t="inlineStr">
        <is>
          <t>CloseCombatInfantry</t>
        </is>
      </c>
      <c r="E237" s="6" t="n">
        <v>15000</v>
      </c>
      <c r="F237" s="6" t="n">
        <v>40</v>
      </c>
      <c r="G237" t="inlineStr">
        <is>
          <t>Plate</t>
        </is>
      </c>
      <c r="H237" s="6" t="n">
        <v>1</v>
      </c>
      <c r="I237" s="6" t="n">
        <v>1</v>
      </c>
      <c r="J237" s="6" t="n">
        <v>1</v>
      </c>
      <c r="K237" s="6" t="n">
        <v>0.0125</v>
      </c>
      <c r="P237">
        <f>MAX(P238,P239)</f>
        <v/>
      </c>
      <c r="S237">
        <f>S238+S239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(((E237/50000)+(F237/75)+(S237/250)+((P237/3500)*J237))*200/4+(((E237/50000)*(F237/75))+(((P237/3500)*J237)*(S237/250)))*200/2+((E237/50000)*(F237/75)*((P237/3500)*J237)*(S237/250))*200)*(H237/1.0)/3</f>
        <v/>
      </c>
      <c r="X237" s="6" t="n">
        <v>110</v>
      </c>
      <c r="Y237">
        <f>IFERROR(W237-X237,"")</f>
        <v/>
      </c>
      <c r="Z237">
        <f>IFERROR(ABS(Y237)/MAX(X237,1),"")</f>
        <v/>
      </c>
      <c r="AA237">
        <f>IFERROR(ROUND(((3*X237-(((E237/50000)+(F237/75)+(S237/250))*200/4+((E237/50000)*(F237/75))*200/2)*(H237/1.0))/(200/4+((S237/250))*200/2+((E237/50000)*(F237/75)*(S237/250))*200)*(H237/1.0)*3500)/J237,-1),"")</f>
        <v/>
      </c>
    </row>
    <row r="238">
      <c r="B238" s="7" t="inlineStr">
        <is>
          <t xml:space="preserve">  ↳ NaxiAlienPistol</t>
        </is>
      </c>
      <c r="C238" s="7" t="inlineStr">
        <is>
          <t>Armament@PRIMARY</t>
        </is>
      </c>
      <c r="L238" s="6" t="n">
        <v>24000</v>
      </c>
      <c r="M238" s="6" t="n">
        <v>54</v>
      </c>
      <c r="N238" s="6" t="n">
        <v>2</v>
      </c>
      <c r="O238" s="6" t="n">
        <v>3</v>
      </c>
      <c r="P238" s="6" t="n">
        <v>2777</v>
      </c>
      <c r="Q238" s="6" t="n">
        <v>1.125</v>
      </c>
      <c r="R238">
        <f>M238+IF(N238&gt;1,N(O238)*(N238-1),0)</f>
        <v/>
      </c>
      <c r="S238">
        <f>IFERROR(L238*MAX(N238,1)/R238*IF(ISBLANK(K237),1,K237),0)</f>
        <v/>
      </c>
      <c r="AB238" s="7" t="inlineStr">
        <is>
          <t>^Warhead_Tesla_Heavy, ^Warhead_CannonHE_Medium</t>
        </is>
      </c>
    </row>
    <row r="239">
      <c r="B239" s="7" t="inlineStr">
        <is>
          <t xml:space="preserve">  ↳ NaxiAlienPistol_elite</t>
        </is>
      </c>
      <c r="C239" s="7" t="inlineStr">
        <is>
          <t>Armament@ELITE</t>
        </is>
      </c>
      <c r="L239" s="6" t="n">
        <v>24000</v>
      </c>
      <c r="M239" s="6" t="n">
        <v>54</v>
      </c>
      <c r="N239" s="6" t="n">
        <v>4</v>
      </c>
      <c r="O239" s="6" t="n">
        <v>3</v>
      </c>
      <c r="P239" s="6" t="n">
        <v>3500</v>
      </c>
      <c r="Q239" s="6" t="n">
        <v>1.125</v>
      </c>
      <c r="R239">
        <f>M239+IF(N239&gt;1,N(O239)*(N239-1),0)</f>
        <v/>
      </c>
      <c r="S239">
        <f>IFERROR(L239*MAX(N239,1)/R239*IF(ISBLANK(K237),1,K237),0)</f>
        <v/>
      </c>
      <c r="AB239" s="7" t="inlineStr">
        <is>
          <t>^Warhead_Tesla_Heavy, ^Warhead_CannonHE_Medium</t>
        </is>
      </c>
    </row>
    <row r="240">
      <c r="B240" s="7" t="inlineStr">
        <is>
          <t xml:space="preserve">  ↳ NaxiAlienPistol</t>
        </is>
      </c>
      <c r="C240" s="7" t="inlineStr">
        <is>
          <t>Armament@GARRISONED</t>
        </is>
      </c>
      <c r="L240" s="6" t="n">
        <v>24000</v>
      </c>
      <c r="M240" s="6" t="n">
        <v>54</v>
      </c>
      <c r="N240" s="6" t="n">
        <v>2</v>
      </c>
      <c r="O240" s="6" t="n">
        <v>3</v>
      </c>
      <c r="P240" s="6" t="n">
        <v>2777</v>
      </c>
      <c r="Q240" s="6" t="n">
        <v>1.125</v>
      </c>
      <c r="R240">
        <f>M240+IF(N240&gt;1,N(O240)*(N240-1),0)</f>
        <v/>
      </c>
      <c r="S240">
        <f>IFERROR(L240*MAX(N240,1)/R240*IF(ISBLANK(K237),1,K237),0)</f>
        <v/>
      </c>
      <c r="AB240" s="7" t="inlineStr">
        <is>
          <t>^Warhead_Tesla_Heavy, ^Warhead_CannonHE_Medium</t>
        </is>
      </c>
    </row>
    <row r="241">
      <c r="B241" s="7" t="inlineStr">
        <is>
          <t xml:space="preserve">  ↳ NaxiAlienPistol_elite</t>
        </is>
      </c>
      <c r="C241" s="7" t="inlineStr">
        <is>
          <t>Armament@GARRISONEDELITE</t>
        </is>
      </c>
      <c r="L241" s="6" t="n">
        <v>24000</v>
      </c>
      <c r="M241" s="6" t="n">
        <v>54</v>
      </c>
      <c r="N241" s="6" t="n">
        <v>4</v>
      </c>
      <c r="O241" s="6" t="n">
        <v>3</v>
      </c>
      <c r="P241" s="6" t="n">
        <v>3500</v>
      </c>
      <c r="Q241" s="6" t="n">
        <v>1.125</v>
      </c>
      <c r="R241">
        <f>M241+IF(N241&gt;1,N(O241)*(N241-1),0)</f>
        <v/>
      </c>
      <c r="S241">
        <f>IFERROR(L241*MAX(N241,1)/R241*IF(ISBLANK(K237),1,K237),0)</f>
        <v/>
      </c>
      <c r="AB241" s="7" t="inlineStr">
        <is>
          <t>^Warhead_Tesla_Heavy, ^Warhead_CannonHE_Medium</t>
        </is>
      </c>
    </row>
    <row r="242">
      <c r="A242" t="inlineStr">
        <is>
          <t>redalert2mod</t>
        </is>
      </c>
      <c r="B242" t="inlineStr">
        <is>
          <t>naxis_sssoldier</t>
        </is>
      </c>
      <c r="C242" t="inlineStr">
        <is>
          <t>SS Soldier</t>
        </is>
      </c>
      <c r="D242" s="6" t="inlineStr">
        <is>
          <t>CloseCombatInfantry</t>
        </is>
      </c>
      <c r="E242" s="6" t="n">
        <v>63000</v>
      </c>
      <c r="F242" s="6" t="n">
        <v>55</v>
      </c>
      <c r="G242" t="inlineStr">
        <is>
          <t>Plate</t>
        </is>
      </c>
      <c r="H242" s="6" t="n">
        <v>0.75</v>
      </c>
      <c r="I242" s="6" t="n">
        <v>1</v>
      </c>
      <c r="J242" s="6" t="n">
        <v>1</v>
      </c>
      <c r="K242" s="6" t="n">
        <v>0.0095</v>
      </c>
      <c r="P242">
        <f>MAX(P243,P244)</f>
        <v/>
      </c>
      <c r="S242">
        <f>S243+S244</f>
        <v/>
      </c>
      <c r="T242">
        <f>(E242/100000+F242/100+(P242/1000)*J242/5+S242/200)*200*I242*H242</f>
        <v/>
      </c>
      <c r="U242">
        <f>((E242*F242/25000)+((P242/1000)*J242*S242/2.5))*I242*H242</f>
        <v/>
      </c>
      <c r="V242">
        <f>(E242*F242*(P242/1000)*J242*S242*I242*H242)/12500000</f>
        <v/>
      </c>
      <c r="W242">
        <f>(((E242/50000)+(F242/75)+(S242/250)+((P242/3500)*J242))*200/4+(((E242/50000)*(F242/75))+(((P242/3500)*J242)*(S242/250)))*200/2+((E242/50000)*(F242/75)*((P242/3500)*J242)*(S242/250))*200)*(H242/1.0)/3</f>
        <v/>
      </c>
      <c r="X242" s="6" t="n">
        <v>240</v>
      </c>
      <c r="Y242">
        <f>IFERROR(W242-X242,"")</f>
        <v/>
      </c>
      <c r="Z242">
        <f>IFERROR(ABS(Y242)/MAX(X242,1),"")</f>
        <v/>
      </c>
      <c r="AA242">
        <f>IFERROR(ROUND(((3*X242-(((E242/50000)+(F242/75)+(S242/250))*200/4+((E242/50000)*(F242/75))*200/2)*(H242/1.0))/(200/4+((S242/250))*200/2+((E242/50000)*(F242/75)*(S242/250))*200)*(H242/1.0)*3500)/J242,-1),"")</f>
        <v/>
      </c>
    </row>
    <row r="243">
      <c r="B243" s="7" t="inlineStr">
        <is>
          <t xml:space="preserve">  ↳ naxis_sssoldier_smg</t>
        </is>
      </c>
      <c r="C243" s="7" t="inlineStr">
        <is>
          <t>Armament@PRIMARY</t>
        </is>
      </c>
      <c r="L243" s="6" t="n">
        <v>4000</v>
      </c>
      <c r="M243" s="6" t="n">
        <v>75</v>
      </c>
      <c r="N243" s="6" t="n">
        <v>10</v>
      </c>
      <c r="O243" s="6" t="n">
        <v>5</v>
      </c>
      <c r="P243" s="6" t="n">
        <v>4500</v>
      </c>
      <c r="Q243" s="6" t="n">
        <v>0.875</v>
      </c>
      <c r="R243">
        <f>M243+IF(N243&gt;1,N(O243)*(N243-1),0)</f>
        <v/>
      </c>
      <c r="S243">
        <f>IFERROR(L243*MAX(N243,1)/R243*IF(ISBLANK(K242),1,K242),0)</f>
        <v/>
      </c>
      <c r="AB243" s="7" t="inlineStr">
        <is>
          <t>^Warhead_Bullet_Light, ^Warhead_Bullet_Medium</t>
        </is>
      </c>
    </row>
    <row r="244">
      <c r="B244" s="7" t="inlineStr">
        <is>
          <t xml:space="preserve">  ↳ naxis_sssoldier_smg_elite</t>
        </is>
      </c>
      <c r="C244" s="7" t="inlineStr">
        <is>
          <t>Armament@ELITE</t>
        </is>
      </c>
      <c r="L244" s="6" t="n">
        <v>4000</v>
      </c>
      <c r="M244" s="6" t="n">
        <v>75</v>
      </c>
      <c r="N244" s="6" t="n">
        <v>20</v>
      </c>
      <c r="O244" s="6" t="n">
        <v>4</v>
      </c>
      <c r="P244" s="6" t="n">
        <v>4500</v>
      </c>
      <c r="Q244" s="6" t="n">
        <v>0.875</v>
      </c>
      <c r="R244">
        <f>M244+IF(N244&gt;1,N(O244)*(N244-1),0)</f>
        <v/>
      </c>
      <c r="S244">
        <f>IFERROR(L244*MAX(N244,1)/R244*IF(ISBLANK(K242),1,K242),0)</f>
        <v/>
      </c>
      <c r="AB244" s="7" t="inlineStr">
        <is>
          <t>^Warhead_Bullet_Light, ^Warhead_Bullet_Medium</t>
        </is>
      </c>
    </row>
    <row r="245">
      <c r="B245" s="7" t="inlineStr">
        <is>
          <t xml:space="preserve">  ↳ naxis_sssoldier_smg</t>
        </is>
      </c>
      <c r="C245" s="7" t="inlineStr">
        <is>
          <t>Armament@GARRISONED</t>
        </is>
      </c>
      <c r="L245" s="6" t="n">
        <v>4000</v>
      </c>
      <c r="M245" s="6" t="n">
        <v>75</v>
      </c>
      <c r="N245" s="6" t="n">
        <v>10</v>
      </c>
      <c r="O245" s="6" t="n">
        <v>5</v>
      </c>
      <c r="P245" s="6" t="n">
        <v>4500</v>
      </c>
      <c r="Q245" s="6" t="n">
        <v>0.875</v>
      </c>
      <c r="R245">
        <f>M245+IF(N245&gt;1,N(O245)*(N245-1),0)</f>
        <v/>
      </c>
      <c r="S245">
        <f>IFERROR(L245*MAX(N245,1)/R245*IF(ISBLANK(K242),1,K242),0)</f>
        <v/>
      </c>
      <c r="AB245" s="7" t="inlineStr">
        <is>
          <t>^Warhead_Bullet_Light, ^Warhead_Bullet_Medium</t>
        </is>
      </c>
    </row>
    <row r="246">
      <c r="B246" s="7" t="inlineStr">
        <is>
          <t xml:space="preserve">  ↳ naxis_sssoldier_smg_elite</t>
        </is>
      </c>
      <c r="C246" s="7" t="inlineStr">
        <is>
          <t>Armament@GARRISONEDELITE</t>
        </is>
      </c>
      <c r="L246" s="6" t="n">
        <v>4000</v>
      </c>
      <c r="M246" s="6" t="n">
        <v>75</v>
      </c>
      <c r="N246" s="6" t="n">
        <v>20</v>
      </c>
      <c r="O246" s="6" t="n">
        <v>4</v>
      </c>
      <c r="P246" s="6" t="n">
        <v>4500</v>
      </c>
      <c r="Q246" s="6" t="n">
        <v>0.875</v>
      </c>
      <c r="R246">
        <f>M246+IF(N246&gt;1,N(O246)*(N246-1),0)</f>
        <v/>
      </c>
      <c r="S246">
        <f>IFERROR(L246*MAX(N246,1)/R246*IF(ISBLANK(K242),1,K242),0)</f>
        <v/>
      </c>
      <c r="AB246" s="7" t="inlineStr">
        <is>
          <t>^Warhead_Bullet_Light, ^Warhead_Bullet_Medium</t>
        </is>
      </c>
    </row>
    <row r="247">
      <c r="A247" s="4" t="inlineStr">
        <is>
          <t>GrenadierInfantry</t>
        </is>
      </c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</row>
    <row r="248">
      <c r="A248" t="inlineStr">
        <is>
          <t>tiberiandawn</t>
        </is>
      </c>
      <c r="B248" t="inlineStr">
        <is>
          <t>td_gdi_empgrenadier</t>
        </is>
      </c>
      <c r="C248" t="inlineStr">
        <is>
          <t>EMP Grenadier</t>
        </is>
      </c>
      <c r="D248" s="6" t="inlineStr">
        <is>
          <t>GrenadierInfantry</t>
        </is>
      </c>
      <c r="E248" s="6" t="n">
        <v>32000</v>
      </c>
      <c r="F248" s="6" t="n">
        <v>60</v>
      </c>
      <c r="G248" t="inlineStr">
        <is>
          <t>None</t>
        </is>
      </c>
      <c r="H248" s="6" t="n">
        <v>1</v>
      </c>
      <c r="I248" s="6" t="n">
        <v>0.4</v>
      </c>
      <c r="J248" s="6" t="n">
        <v>1.25</v>
      </c>
      <c r="K248" s="6" t="n">
        <v>0.012</v>
      </c>
      <c r="P248">
        <f>MAX(P249)</f>
        <v/>
      </c>
      <c r="S248">
        <f>S249</f>
        <v/>
      </c>
      <c r="T248">
        <f>(E248/100000+F248/100+(P248/1000)*J248/5+S248/200)*200*I248*H248</f>
        <v/>
      </c>
      <c r="U248">
        <f>((E248*F248/25000)+((P248/1000)*J248*S248/2.5))*I248*H248</f>
        <v/>
      </c>
      <c r="V248">
        <f>(E248*F248*(P248/1000)*J248*S248*I248*H248)/12500000</f>
        <v/>
      </c>
      <c r="W248">
        <f>(T248+U248+V248)/3</f>
        <v/>
      </c>
      <c r="X248" s="6" t="n">
        <v>500</v>
      </c>
      <c r="Y248">
        <f>IFERROR(W248-X248,"")</f>
        <v/>
      </c>
      <c r="Z248">
        <f>IFERROR(ABS(Y248)/MAX(X248,1),"")</f>
        <v/>
      </c>
      <c r="AA248">
        <f>IFERROR((X248-(((E248/100000+F248/100+S248/200)*200*I248*H248)+((E248*F248/25000)*I248*H248))/3)/(((J248/5)*200*I248*H248)+((J248*S248/2.5)*I248*H248)+((E248*F248*J248*S248*I248*H248)/12500000))/3*1000,"")</f>
        <v/>
      </c>
    </row>
    <row r="249">
      <c r="B249" s="7" t="inlineStr">
        <is>
          <t xml:space="preserve">  ↳ EMPGrenade</t>
        </is>
      </c>
      <c r="C249" s="7" t="inlineStr">
        <is>
          <t>Armament</t>
        </is>
      </c>
      <c r="L249" s="6" t="n">
        <v>64000</v>
      </c>
      <c r="M249" s="6" t="n">
        <v>111</v>
      </c>
      <c r="N249" s="6" t="n">
        <v>1</v>
      </c>
      <c r="O249" s="6" t="n"/>
      <c r="P249" s="6" t="n">
        <v>5694</v>
      </c>
      <c r="Q249" s="6" t="n">
        <v>1</v>
      </c>
      <c r="R249">
        <f>M249+IF(N249&gt;1,N(O249)*(N249-1),0)</f>
        <v/>
      </c>
      <c r="S249">
        <f>IFERROR(L249*MAX(N249,1)/R249*IF(ISBLANK(K248),1,K248),0)</f>
        <v/>
      </c>
      <c r="AB249" s="7" t="inlineStr">
        <is>
          <t>^TeslaChargedWeapon, ^TeslaWeapon, ^MediumFlameWeapon, ^ShrapnelWeapon, ^HeavyCannon, ^MediumCannon, ^MediumMissile, ^HeavyMissile</t>
        </is>
      </c>
    </row>
    <row r="250">
      <c r="B250" s="7" t="inlineStr">
        <is>
          <t xml:space="preserve">  ↳ EMPGrenade</t>
        </is>
      </c>
      <c r="C250" s="7" t="inlineStr">
        <is>
          <t>Armament@GARRISONED</t>
        </is>
      </c>
      <c r="L250" s="6" t="n">
        <v>64000</v>
      </c>
      <c r="M250" s="6" t="n">
        <v>111</v>
      </c>
      <c r="N250" s="6" t="n">
        <v>1</v>
      </c>
      <c r="O250" s="6" t="n"/>
      <c r="P250" s="6" t="n">
        <v>5694</v>
      </c>
      <c r="Q250" s="6" t="n">
        <v>1</v>
      </c>
      <c r="R250">
        <f>M250+IF(N250&gt;1,N(O250)*(N250-1),0)</f>
        <v/>
      </c>
      <c r="S250">
        <f>IFERROR(L250*MAX(N250,1)/R250*IF(ISBLANK(K248),1,K248),0)</f>
        <v/>
      </c>
      <c r="AB250" s="7" t="inlineStr">
        <is>
          <t>^TeslaChargedWeapon, ^TeslaWeapon, ^MediumFlameWeapon, ^ShrapnelWeapon, ^HeavyCannon, ^MediumCannon, ^MediumMissile, ^HeavyMissile</t>
        </is>
      </c>
    </row>
    <row r="251">
      <c r="A251" t="inlineStr">
        <is>
          <t>tiberiandawn</t>
        </is>
      </c>
      <c r="B251" t="inlineStr">
        <is>
          <t>td_gdi_grenadier</t>
        </is>
      </c>
      <c r="C251" t="inlineStr">
        <is>
          <t>GDI Grenadier</t>
        </is>
      </c>
      <c r="D251" s="6" t="inlineStr">
        <is>
          <t>GrenadierInfantry</t>
        </is>
      </c>
      <c r="E251" s="6" t="n">
        <v>8000</v>
      </c>
      <c r="F251" s="6" t="n">
        <v>75</v>
      </c>
      <c r="G251" t="inlineStr">
        <is>
          <t>None</t>
        </is>
      </c>
      <c r="H251" s="6" t="n">
        <v>1</v>
      </c>
      <c r="I251" s="6" t="n">
        <v>0.4</v>
      </c>
      <c r="J251" s="6" t="n">
        <v>1</v>
      </c>
      <c r="K251" s="6" t="n"/>
      <c r="P251">
        <f>MAX(P252)</f>
        <v/>
      </c>
      <c r="S251">
        <f>S252</f>
        <v/>
      </c>
      <c r="T251">
        <f>(E251/100000+F251/100+(P251/1000)*J251/5+S251/200)*200*I251*H251</f>
        <v/>
      </c>
      <c r="U251">
        <f>((E251*F251/25000)+((P251/1000)*J251*S251/2.5))*I251*H251</f>
        <v/>
      </c>
      <c r="V251">
        <f>(E251*F251*(P251/1000)*J251*S251*I251*H251)/12500000</f>
        <v/>
      </c>
      <c r="W251">
        <f>(T251+U251+V251)/3</f>
        <v/>
      </c>
      <c r="X251" s="6" t="n">
        <v>200</v>
      </c>
      <c r="Y251">
        <f>IFERROR(W251-X251,"")</f>
        <v/>
      </c>
      <c r="Z251">
        <f>IFERROR(ABS(Y251)/MAX(X251,1),"")</f>
        <v/>
      </c>
      <c r="AA251">
        <f>IFERROR((X251-(((E251/100000+F251/100+S251/200)*200*I251*H251)+((E251*F251/25000)*I251*H251))/3)/(((J251/5)*200*I251*H251)+((J251*S251/2.5)*I251*H251)+((E251*F251*J251*S251*I251*H251)/12500000))/3*1000,"")</f>
        <v/>
      </c>
    </row>
    <row r="252">
      <c r="B252" s="7" t="inlineStr">
        <is>
          <t xml:space="preserve">  ↳ Grenade</t>
        </is>
      </c>
      <c r="C252" s="7" t="inlineStr">
        <is>
          <t>Armament</t>
        </is>
      </c>
      <c r="L252" s="6" t="n">
        <v>16000</v>
      </c>
      <c r="M252" s="6" t="n">
        <v>42</v>
      </c>
      <c r="N252" s="6" t="n">
        <v>1</v>
      </c>
      <c r="O252" s="6" t="n"/>
      <c r="P252" s="6" t="n">
        <v>6097</v>
      </c>
      <c r="Q252" s="6" t="n">
        <v>0.75</v>
      </c>
      <c r="R252">
        <f>M252+IF(N252&gt;1,N(O252)*(N252-1),0)</f>
        <v/>
      </c>
      <c r="S252">
        <f>IFERROR(L252*MAX(N252,1)/R252*IF(ISBLANK(K251),1,K251),0)</f>
        <v/>
      </c>
      <c r="AB252" s="7" t="inlineStr">
        <is>
          <t>^Warhead_Demolition_Light</t>
        </is>
      </c>
    </row>
    <row r="253">
      <c r="B253" s="7" t="inlineStr">
        <is>
          <t xml:space="preserve">  ↳ Grenade</t>
        </is>
      </c>
      <c r="C253" s="7" t="inlineStr">
        <is>
          <t>Armament@GARRISONED</t>
        </is>
      </c>
      <c r="L253" s="6" t="n">
        <v>16000</v>
      </c>
      <c r="M253" s="6" t="n">
        <v>42</v>
      </c>
      <c r="N253" s="6" t="n">
        <v>1</v>
      </c>
      <c r="O253" s="6" t="n"/>
      <c r="P253" s="6" t="n">
        <v>6097</v>
      </c>
      <c r="Q253" s="6" t="n">
        <v>0.75</v>
      </c>
      <c r="R253">
        <f>M253+IF(N253&gt;1,N(O253)*(N253-1),0)</f>
        <v/>
      </c>
      <c r="S253">
        <f>IFERROR(L253*MAX(N253,1)/R253*IF(ISBLANK(K251),1,K251),0)</f>
        <v/>
      </c>
      <c r="AB253" s="7" t="inlineStr">
        <is>
          <t>^Warhead_Demolition_Light</t>
        </is>
      </c>
    </row>
    <row r="254">
      <c r="A254" t="inlineStr">
        <is>
          <t>shared</t>
        </is>
      </c>
      <c r="B254" t="inlineStr">
        <is>
          <t>ra1_soviets_molotovconscript</t>
        </is>
      </c>
      <c r="C254" t="inlineStr">
        <is>
          <t>Molotov Conscript</t>
        </is>
      </c>
      <c r="D254" s="6" t="inlineStr">
        <is>
          <t>GrenadierInfantry</t>
        </is>
      </c>
      <c r="E254" s="6" t="n">
        <v>11000</v>
      </c>
      <c r="F254" s="6" t="n">
        <v>67</v>
      </c>
      <c r="G254" t="inlineStr">
        <is>
          <t>None</t>
        </is>
      </c>
      <c r="H254" s="6" t="n">
        <v>1</v>
      </c>
      <c r="I254" s="6" t="n">
        <v>0.4</v>
      </c>
      <c r="J254" s="6" t="n">
        <v>1.25</v>
      </c>
      <c r="K254" s="6" t="n"/>
      <c r="P254">
        <f>MAX(P255)</f>
        <v/>
      </c>
      <c r="S254">
        <f>S255</f>
        <v/>
      </c>
      <c r="T254">
        <f>(E254/100000+F254/100+(P254/1000)*J254/5+S254/200)*200*I254*H254</f>
        <v/>
      </c>
      <c r="U254">
        <f>((E254*F254/25000)+((P254/1000)*J254*S254/2.5))*I254*H254</f>
        <v/>
      </c>
      <c r="V254">
        <f>(E254*F254*(P254/1000)*J254*S254*I254*H254)/12500000</f>
        <v/>
      </c>
      <c r="W254">
        <f>(T254+U254+V254)/3</f>
        <v/>
      </c>
      <c r="X254" s="6" t="n">
        <v>200</v>
      </c>
      <c r="Y254">
        <f>IFERROR(W254-X254,"")</f>
        <v/>
      </c>
      <c r="Z254">
        <f>IFERROR(ABS(Y254)/MAX(X254,1),"")</f>
        <v/>
      </c>
      <c r="AA254">
        <f>IFERROR((X254-(((E254/100000+F254/100+S254/200)*200*I254*H254)+((E254*F254/25000)*I254*H254))/3)/(((J254/5)*200*I254*H254)+((J254*S254/2.5)*I254*H254)+((E254*F254*J254*S254*I254*H254)/12500000))/3*1000,"")</f>
        <v/>
      </c>
    </row>
    <row r="255">
      <c r="B255" s="7" t="inlineStr">
        <is>
          <t xml:space="preserve">  ↳ ConscriptMolotov</t>
        </is>
      </c>
      <c r="C255" s="7" t="inlineStr">
        <is>
          <t>Armament</t>
        </is>
      </c>
      <c r="L255" s="6" t="n">
        <v>16000</v>
      </c>
      <c r="M255" s="6" t="n">
        <v>50</v>
      </c>
      <c r="N255" s="6" t="n">
        <v>1</v>
      </c>
      <c r="O255" s="6" t="n"/>
      <c r="P255" s="6" t="n">
        <v>5725</v>
      </c>
      <c r="Q255" s="6" t="n">
        <v>0.75</v>
      </c>
      <c r="R255">
        <f>M255+IF(N255&gt;1,N(O255)*(N255-1),0)</f>
        <v/>
      </c>
      <c r="S255">
        <f>IFERROR(L255*MAX(N255,1)/R255*IF(ISBLANK(K254),1,K254),0)</f>
        <v/>
      </c>
      <c r="AB255" s="7" t="inlineStr">
        <is>
          <t>^Warhead_Demolition_Light, ^Warhead_Flame_Light</t>
        </is>
      </c>
    </row>
    <row r="256">
      <c r="B256" s="7" t="inlineStr">
        <is>
          <t xml:space="preserve">  ↳ ConscriptMolotov</t>
        </is>
      </c>
      <c r="C256" s="7" t="inlineStr">
        <is>
          <t>Armament@GARRISONED</t>
        </is>
      </c>
      <c r="L256" s="6" t="n">
        <v>16000</v>
      </c>
      <c r="M256" s="6" t="n">
        <v>50</v>
      </c>
      <c r="N256" s="6" t="n">
        <v>1</v>
      </c>
      <c r="O256" s="6" t="n"/>
      <c r="P256" s="6" t="n">
        <v>5725</v>
      </c>
      <c r="Q256" s="6" t="n">
        <v>0.75</v>
      </c>
      <c r="R256">
        <f>M256+IF(N256&gt;1,N(O256)*(N256-1),0)</f>
        <v/>
      </c>
      <c r="S256">
        <f>IFERROR(L256*MAX(N256,1)/R256*IF(ISBLANK(K254),1,K254),0)</f>
        <v/>
      </c>
      <c r="AB256" s="7" t="inlineStr">
        <is>
          <t>^Warhead_Demolition_Light, ^Warhead_Flame_Light</t>
        </is>
      </c>
    </row>
    <row r="257">
      <c r="A257" t="inlineStr">
        <is>
          <t>redalert</t>
        </is>
      </c>
      <c r="B257" t="inlineStr">
        <is>
          <t>ra1_soviets_grenadier</t>
        </is>
      </c>
      <c r="C257" t="inlineStr">
        <is>
          <t>Soviet Grenadier</t>
        </is>
      </c>
      <c r="D257" s="6" t="inlineStr">
        <is>
          <t>GrenadierInfantry</t>
        </is>
      </c>
      <c r="E257" s="6" t="n">
        <v>8000</v>
      </c>
      <c r="F257" s="6" t="n">
        <v>75</v>
      </c>
      <c r="G257" t="inlineStr">
        <is>
          <t>None</t>
        </is>
      </c>
      <c r="H257" s="6" t="n">
        <v>1</v>
      </c>
      <c r="I257" s="6" t="n">
        <v>0.4</v>
      </c>
      <c r="J257" s="6" t="n">
        <v>1</v>
      </c>
      <c r="K257" s="6" t="n"/>
      <c r="P257">
        <f>MAX(P258,P260)</f>
        <v/>
      </c>
      <c r="S257">
        <f>S258+S260</f>
        <v/>
      </c>
      <c r="T257">
        <f>(E257/100000+F257/100+(P257/1000)*J257/5+S257/200)*200*I257*H257</f>
        <v/>
      </c>
      <c r="U257">
        <f>((E257*F257/25000)+((P257/1000)*J257*S257/2.5))*I257*H257</f>
        <v/>
      </c>
      <c r="V257">
        <f>(E257*F257*(P257/1000)*J257*S257*I257*H257)/12500000</f>
        <v/>
      </c>
      <c r="W257">
        <f>(T257+U257+V257)/3</f>
        <v/>
      </c>
      <c r="X257" s="6" t="n">
        <v>200</v>
      </c>
      <c r="Y257">
        <f>IFERROR(W257-X257,"")</f>
        <v/>
      </c>
      <c r="Z257">
        <f>IFERROR(ABS(Y257)/MAX(X257,1),"")</f>
        <v/>
      </c>
      <c r="AA257">
        <f>IFERROR((X257-(((E257/100000+F257/100+S257/200)*200*I257*H257)+((E257*F257/25000)*I257*H257))/3)/(((J257/5)*200*I257*H257)+((J257*S257/2.5)*I257*H257)+((E257*F257*J257*S257*I257*H257)/12500000))/3*1000,"")</f>
        <v/>
      </c>
    </row>
    <row r="258">
      <c r="B258" s="7" t="inlineStr">
        <is>
          <t xml:space="preserve">  ↳ GrenadeRA</t>
        </is>
      </c>
      <c r="C258" s="7" t="inlineStr">
        <is>
          <t>Armament</t>
        </is>
      </c>
      <c r="L258" s="6" t="n">
        <v>16000</v>
      </c>
      <c r="M258" s="6" t="n">
        <v>40</v>
      </c>
      <c r="N258" s="6" t="n">
        <v>1</v>
      </c>
      <c r="O258" s="6" t="n"/>
      <c r="P258" s="6" t="n">
        <v>5791</v>
      </c>
      <c r="Q258" s="6" t="n">
        <v>0.75</v>
      </c>
      <c r="R258">
        <f>M258+IF(N258&gt;1,N(O258)*(N258-1),0)</f>
        <v/>
      </c>
      <c r="S258">
        <f>IFERROR(L258*MAX(N258,1)/R258*IF(ISBLANK(K257),1,K257),0)</f>
        <v/>
      </c>
      <c r="AB258" s="7" t="inlineStr">
        <is>
          <t>^Warhead_Demolition_Light, ^Warhead_Flame_Light</t>
        </is>
      </c>
    </row>
    <row r="259">
      <c r="B259" s="7" t="inlineStr">
        <is>
          <t xml:space="preserve">  ↳ GrenadeRA</t>
        </is>
      </c>
      <c r="C259" s="7" t="inlineStr">
        <is>
          <t>Armament@GARRISONED</t>
        </is>
      </c>
      <c r="L259" s="6" t="n">
        <v>16000</v>
      </c>
      <c r="M259" s="6" t="n">
        <v>40</v>
      </c>
      <c r="N259" s="6" t="n">
        <v>1</v>
      </c>
      <c r="O259" s="6" t="n"/>
      <c r="P259" s="6" t="n">
        <v>5791</v>
      </c>
      <c r="Q259" s="6" t="n">
        <v>0.75</v>
      </c>
      <c r="R259">
        <f>M259+IF(N259&gt;1,N(O259)*(N259-1),0)</f>
        <v/>
      </c>
      <c r="S259">
        <f>IFERROR(L259*MAX(N259,1)/R259*IF(ISBLANK(K257),1,K257),0)</f>
        <v/>
      </c>
      <c r="AB259" s="7" t="inlineStr">
        <is>
          <t>^Warhead_Demolition_Light, ^Warhead_Flame_Light</t>
        </is>
      </c>
    </row>
    <row r="260">
      <c r="B260" s="7" t="inlineStr">
        <is>
          <t xml:space="preserve">  ↳ GrenadeThermobaric</t>
        </is>
      </c>
      <c r="C260" s="7" t="inlineStr">
        <is>
          <t>Armament@Upgrade</t>
        </is>
      </c>
      <c r="L260" s="6" t="n">
        <v>16000</v>
      </c>
      <c r="M260" s="6" t="n">
        <v>40</v>
      </c>
      <c r="N260" s="6" t="n">
        <v>1</v>
      </c>
      <c r="O260" s="6" t="n"/>
      <c r="P260" s="6" t="n">
        <v>5791</v>
      </c>
      <c r="Q260" s="6" t="n">
        <v>0.75</v>
      </c>
      <c r="R260">
        <f>M260+IF(N260&gt;1,N(O260)*(N260-1),0)</f>
        <v/>
      </c>
      <c r="S260">
        <f>IFERROR(L260*MAX(N260,1)/R260*IF(ISBLANK(K257),1,K257),0)</f>
        <v/>
      </c>
      <c r="AB260" s="7" t="inlineStr">
        <is>
          <t>^Warhead_Demolition_Light, ^Warhead_Flame_Light</t>
        </is>
      </c>
    </row>
    <row r="261">
      <c r="B261" s="7" t="inlineStr">
        <is>
          <t xml:space="preserve">  ↳ GrenadeThermobaric</t>
        </is>
      </c>
      <c r="C261" s="7" t="inlineStr">
        <is>
          <t>Armament@UpgradeGARRISONED</t>
        </is>
      </c>
      <c r="L261" s="6" t="n">
        <v>16000</v>
      </c>
      <c r="M261" s="6" t="n">
        <v>40</v>
      </c>
      <c r="N261" s="6" t="n">
        <v>1</v>
      </c>
      <c r="O261" s="6" t="n"/>
      <c r="P261" s="6" t="n">
        <v>5791</v>
      </c>
      <c r="Q261" s="6" t="n">
        <v>0.75</v>
      </c>
      <c r="R261">
        <f>M261+IF(N261&gt;1,N(O261)*(N261-1),0)</f>
        <v/>
      </c>
      <c r="S261">
        <f>IFERROR(L261*MAX(N261,1)/R261*IF(ISBLANK(K257),1,K257),0)</f>
        <v/>
      </c>
      <c r="AB261" s="7" t="inlineStr">
        <is>
          <t>^Warhead_Demolition_Light, ^Warhead_Flame_Light</t>
        </is>
      </c>
    </row>
    <row r="262">
      <c r="A262" t="inlineStr">
        <is>
          <t>tiberiansun</t>
        </is>
      </c>
      <c r="B262" t="inlineStr">
        <is>
          <t>ts_gdi_discthrower</t>
        </is>
      </c>
      <c r="C262" t="inlineStr">
        <is>
          <t>Disc Thrower</t>
        </is>
      </c>
      <c r="D262" s="6" t="inlineStr">
        <is>
          <t>GrenadierInfantry</t>
        </is>
      </c>
      <c r="E262" s="6" t="n">
        <v>12000</v>
      </c>
      <c r="F262" s="6" t="n">
        <v>60</v>
      </c>
      <c r="G262" t="inlineStr">
        <is>
          <t>None</t>
        </is>
      </c>
      <c r="H262" s="6" t="n">
        <v>1</v>
      </c>
      <c r="I262" s="6" t="n">
        <v>1</v>
      </c>
      <c r="J262" s="6" t="n">
        <v>1</v>
      </c>
      <c r="K262" s="6" t="n"/>
      <c r="P262">
        <f>MAX(P263,P264)</f>
        <v/>
      </c>
      <c r="S262">
        <f>S263+S264</f>
        <v/>
      </c>
      <c r="T262">
        <f>(E262/100000+F262/100+(P262/1000)*J262/5+S262/200)*200*I262*H262</f>
        <v/>
      </c>
      <c r="U262">
        <f>((E262*F262/25000)+((P262/1000)*J262*S262/2.5))*I262*H262</f>
        <v/>
      </c>
      <c r="V262">
        <f>(E262*F262*(P262/1000)*J262*S262*I262*H262)/12500000</f>
        <v/>
      </c>
      <c r="W262">
        <f>(T262+U262+V262)/3</f>
        <v/>
      </c>
      <c r="X262" s="6" t="n">
        <v>300</v>
      </c>
      <c r="Y262">
        <f>IFERROR(W262-X262,"")</f>
        <v/>
      </c>
      <c r="Z262">
        <f>IFERROR(ABS(Y262)/MAX(X262,1),"")</f>
        <v/>
      </c>
      <c r="AA262">
        <f>IFERROR((X262-(((E262/100000+F262/100+S262/200)*200*I262*H262)+((E262*F262/25000)*I262*H262))/3)/(((J262/5)*200*I262*H262)+((J262*S262/2.5)*I262*H262)+((E262*F262*J262*S262*I262*H262)/12500000))/3*1000,"")</f>
        <v/>
      </c>
    </row>
    <row r="263">
      <c r="B263" s="7" t="inlineStr">
        <is>
          <t xml:space="preserve">  ↳ TSGrenade</t>
        </is>
      </c>
      <c r="C263" s="7" t="inlineStr">
        <is>
          <t>Armament@PRIMARY</t>
        </is>
      </c>
      <c r="L263" s="6" t="n">
        <v>24000</v>
      </c>
      <c r="M263" s="6" t="n">
        <v>50</v>
      </c>
      <c r="N263" s="6" t="n">
        <v>1</v>
      </c>
      <c r="O263" s="6" t="n"/>
      <c r="P263" s="6" t="n">
        <v>6151</v>
      </c>
      <c r="Q263" s="6" t="n">
        <v>1</v>
      </c>
      <c r="R263">
        <f>M263+IF(N263&gt;1,N(O263)*(N263-1),0)</f>
        <v/>
      </c>
      <c r="S263">
        <f>IFERROR(L263*MAX(N263,1)/R263*IF(ISBLANK(K262),1,K262),0)</f>
        <v/>
      </c>
      <c r="AB263" s="7" t="inlineStr">
        <is>
          <t>^Warhead_CannonHE_Medium, ^Warhead_Concussion_Medium</t>
        </is>
      </c>
    </row>
    <row r="264">
      <c r="B264" s="7" t="inlineStr">
        <is>
          <t xml:space="preserve">  ↳ TSGrenadeSonic</t>
        </is>
      </c>
      <c r="C264" s="7" t="inlineStr">
        <is>
          <t>Armament@Upgrade</t>
        </is>
      </c>
      <c r="L264" s="6" t="n">
        <v>24000</v>
      </c>
      <c r="M264" s="6" t="n">
        <v>50</v>
      </c>
      <c r="N264" s="6" t="n">
        <v>1</v>
      </c>
      <c r="O264" s="6" t="n"/>
      <c r="P264" s="6" t="n">
        <v>6151</v>
      </c>
      <c r="Q264" s="6" t="n">
        <v>0.75</v>
      </c>
      <c r="R264">
        <f>M264+IF(N264&gt;1,N(O264)*(N264-1),0)</f>
        <v/>
      </c>
      <c r="S264">
        <f>IFERROR(L264*MAX(N264,1)/R264*IF(ISBLANK(K262),1,K262),0)</f>
        <v/>
      </c>
      <c r="AB264" s="7" t="inlineStr">
        <is>
          <t>^Warhead_Concussion_Light, ^Warhead_Sonic_Light</t>
        </is>
      </c>
    </row>
    <row r="265">
      <c r="B265" s="7" t="inlineStr">
        <is>
          <t xml:space="preserve">  ↳ TSGrenadeG</t>
        </is>
      </c>
      <c r="C265" s="7" t="inlineStr">
        <is>
          <t>Armament@GARRISONED</t>
        </is>
      </c>
      <c r="L265" s="6" t="n">
        <v>24000</v>
      </c>
      <c r="M265" s="6" t="n">
        <v>45</v>
      </c>
      <c r="N265" s="6" t="n">
        <v>1</v>
      </c>
      <c r="O265" s="6" t="n"/>
      <c r="P265" s="6" t="n">
        <v>6656</v>
      </c>
      <c r="Q265" s="6" t="n">
        <v>1</v>
      </c>
      <c r="R265">
        <f>M265+IF(N265&gt;1,N(O265)*(N265-1),0)</f>
        <v/>
      </c>
      <c r="S265">
        <f>IFERROR(L265*MAX(N265,1)/R265*IF(ISBLANK(K262),1,K262),0)</f>
        <v/>
      </c>
      <c r="AB265" s="7" t="inlineStr">
        <is>
          <t>^Warhead_CannonHE_Medium, ^Warhead_Concussion_Medium</t>
        </is>
      </c>
    </row>
    <row r="266">
      <c r="B266" s="7" t="inlineStr">
        <is>
          <t xml:space="preserve">  ↳ TSGrenadeSonic</t>
        </is>
      </c>
      <c r="C266" s="7" t="inlineStr">
        <is>
          <t>Armament@UpgradeGARRISONED</t>
        </is>
      </c>
      <c r="L266" s="6" t="n">
        <v>24000</v>
      </c>
      <c r="M266" s="6" t="n">
        <v>50</v>
      </c>
      <c r="N266" s="6" t="n">
        <v>1</v>
      </c>
      <c r="O266" s="6" t="n"/>
      <c r="P266" s="6" t="n">
        <v>6151</v>
      </c>
      <c r="Q266" s="6" t="n">
        <v>0.75</v>
      </c>
      <c r="R266">
        <f>M266+IF(N266&gt;1,N(O266)*(N266-1),0)</f>
        <v/>
      </c>
      <c r="S266">
        <f>IFERROR(L266*MAX(N266,1)/R266*IF(ISBLANK(K262),1,K262),0)</f>
        <v/>
      </c>
      <c r="AB266" s="7" t="inlineStr">
        <is>
          <t>^Warhead_Concussion_Light, ^Warhead_Sonic_Light</t>
        </is>
      </c>
    </row>
    <row r="267">
      <c r="A267" t="inlineStr">
        <is>
          <t>redalert2mod</t>
        </is>
      </c>
      <c r="B267" t="inlineStr">
        <is>
          <t>steelconsortium_hoverboardgrenadier</t>
        </is>
      </c>
      <c r="C267" t="inlineStr">
        <is>
          <t>Hover Board Grenadier</t>
        </is>
      </c>
      <c r="D267" s="6" t="inlineStr">
        <is>
          <t>GrenadierInfantry</t>
        </is>
      </c>
      <c r="E267" s="6" t="n">
        <v>22000</v>
      </c>
      <c r="F267" s="6" t="n">
        <v>130</v>
      </c>
      <c r="G267" t="inlineStr">
        <is>
          <t>None</t>
        </is>
      </c>
      <c r="H267" s="6" t="n">
        <v>1</v>
      </c>
      <c r="I267" s="6" t="n">
        <v>0.4</v>
      </c>
      <c r="J267" s="6" t="n">
        <v>1</v>
      </c>
      <c r="K267" s="6" t="n">
        <v>0.055</v>
      </c>
      <c r="P267">
        <f>MAX(P268,P269,P272,P273)</f>
        <v/>
      </c>
      <c r="S267">
        <f>S268+S269+S272+S273</f>
        <v/>
      </c>
      <c r="T267">
        <f>(E267/100000+F267/100+(P267/1000)*J267/5+S267/200)*200*I267*H267</f>
        <v/>
      </c>
      <c r="U267">
        <f>((E267*F267/25000)+((P267/1000)*J267*S267/2.5))*I267*H267</f>
        <v/>
      </c>
      <c r="V267">
        <f>(E267*F267*(P267/1000)*J267*S267*I267*H267)/12500000</f>
        <v/>
      </c>
      <c r="W267">
        <f>(T267+U267+V267)/3</f>
        <v/>
      </c>
      <c r="X267" s="6" t="n">
        <v>650</v>
      </c>
      <c r="Y267">
        <f>IFERROR(W267-X267,"")</f>
        <v/>
      </c>
      <c r="Z267">
        <f>IFERROR(ABS(Y267)/MAX(X267,1),"")</f>
        <v/>
      </c>
      <c r="AA267">
        <f>IFERROR((X267-(((E267/100000+F267/100+S267/200)*200*I267*H267)+((E267*F267/25000)*I267*H267))/3)/(((J267/5)*200*I267*H267)+((J267*S267/2.5)*I267*H267)+((E267*F267*J267*S267*I267*H267)/12500000))/3*1000,"")</f>
        <v/>
      </c>
    </row>
    <row r="268">
      <c r="B268" s="7" t="inlineStr">
        <is>
          <t xml:space="preserve">  ↳ SteelMakoGun</t>
        </is>
      </c>
      <c r="C268" s="7" t="inlineStr">
        <is>
          <t>Armament@PRIMARY</t>
        </is>
      </c>
      <c r="L268" s="6" t="n">
        <v>8000</v>
      </c>
      <c r="M268" s="6" t="n">
        <v>25</v>
      </c>
      <c r="N268" s="6" t="n">
        <v>1</v>
      </c>
      <c r="O268" s="6" t="n"/>
      <c r="P268" s="6" t="n">
        <v>6050</v>
      </c>
      <c r="Q268" s="6" t="n">
        <v>1</v>
      </c>
      <c r="R268">
        <f>M268+IF(N268&gt;1,N(O268)*(N268-1),0)</f>
        <v/>
      </c>
      <c r="S268">
        <f>IFERROR(L268*MAX(N268,1)/R268*IF(ISBLANK(K267),1,K267),0)</f>
        <v/>
      </c>
      <c r="AB268" s="7" t="inlineStr">
        <is>
          <t>^Warhead_Demolition_Light, ^Warhead_Railgun_Heavy, ^Warhead_CannonHE_Medium</t>
        </is>
      </c>
    </row>
    <row r="269">
      <c r="B269" s="7" t="inlineStr">
        <is>
          <t xml:space="preserve">  ↳ SteelMakoGun_elite</t>
        </is>
      </c>
      <c r="C269" s="7" t="inlineStr">
        <is>
          <t>Armament@ELITE</t>
        </is>
      </c>
      <c r="L269" s="6" t="n">
        <v>8000</v>
      </c>
      <c r="M269" s="6" t="n">
        <v>25</v>
      </c>
      <c r="N269" s="6" t="n">
        <v>2</v>
      </c>
      <c r="O269" s="6" t="n">
        <v>3</v>
      </c>
      <c r="P269" s="6" t="n">
        <v>7050</v>
      </c>
      <c r="Q269" s="6" t="n">
        <v>1</v>
      </c>
      <c r="R269">
        <f>M269+IF(N269&gt;1,N(O269)*(N269-1),0)</f>
        <v/>
      </c>
      <c r="S269">
        <f>IFERROR(L269*MAX(N269,1)/R269*IF(ISBLANK(K267),1,K267),0)</f>
        <v/>
      </c>
      <c r="AB269" s="7" t="inlineStr">
        <is>
          <t>^Warhead_Demolition_Light, ^Warhead_Railgun_Heavy, ^Warhead_CannonHE_Medium</t>
        </is>
      </c>
    </row>
    <row r="270">
      <c r="B270" s="7" t="inlineStr">
        <is>
          <t xml:space="preserve">  ↳ SteelMakoGun</t>
        </is>
      </c>
      <c r="C270" s="7" t="inlineStr">
        <is>
          <t>Armament@GARRISONED</t>
        </is>
      </c>
      <c r="L270" s="6" t="n">
        <v>8000</v>
      </c>
      <c r="M270" s="6" t="n">
        <v>25</v>
      </c>
      <c r="N270" s="6" t="n">
        <v>1</v>
      </c>
      <c r="O270" s="6" t="n"/>
      <c r="P270" s="6" t="n">
        <v>6050</v>
      </c>
      <c r="Q270" s="6" t="n">
        <v>1</v>
      </c>
      <c r="R270">
        <f>M270+IF(N270&gt;1,N(O270)*(N270-1),0)</f>
        <v/>
      </c>
      <c r="S270">
        <f>IFERROR(L270*MAX(N270,1)/R270*IF(ISBLANK(K267),1,K267),0)</f>
        <v/>
      </c>
      <c r="AB270" s="7" t="inlineStr">
        <is>
          <t>^Warhead_Demolition_Light, ^Warhead_Railgun_Heavy, ^Warhead_CannonHE_Medium</t>
        </is>
      </c>
    </row>
    <row r="271">
      <c r="B271" s="7" t="inlineStr">
        <is>
          <t xml:space="preserve">  ↳ SteelMakoGun_elite</t>
        </is>
      </c>
      <c r="C271" s="7" t="inlineStr">
        <is>
          <t>Armament@GARRISONEDELITE</t>
        </is>
      </c>
      <c r="L271" s="6" t="n">
        <v>8000</v>
      </c>
      <c r="M271" s="6" t="n">
        <v>25</v>
      </c>
      <c r="N271" s="6" t="n">
        <v>2</v>
      </c>
      <c r="O271" s="6" t="n">
        <v>3</v>
      </c>
      <c r="P271" s="6" t="n">
        <v>7050</v>
      </c>
      <c r="Q271" s="6" t="n">
        <v>1</v>
      </c>
      <c r="R271">
        <f>M271+IF(N271&gt;1,N(O271)*(N271-1),0)</f>
        <v/>
      </c>
      <c r="S271">
        <f>IFERROR(L271*MAX(N271,1)/R271*IF(ISBLANK(K267),1,K267),0)</f>
        <v/>
      </c>
      <c r="AB271" s="7" t="inlineStr">
        <is>
          <t>^Warhead_Demolition_Light, ^Warhead_Railgun_Heavy, ^Warhead_CannonHE_Medium</t>
        </is>
      </c>
    </row>
    <row r="272">
      <c r="B272" s="7" t="inlineStr">
        <is>
          <t xml:space="preserve">  ↳ SteelMakoGun_EMP</t>
        </is>
      </c>
      <c r="C272" s="7" t="inlineStr">
        <is>
          <t>Armament@UpgradePRIMARY</t>
        </is>
      </c>
      <c r="L272" s="6" t="n">
        <v>12000</v>
      </c>
      <c r="M272" s="6" t="n">
        <v>25</v>
      </c>
      <c r="N272" s="6" t="n">
        <v>1</v>
      </c>
      <c r="O272" s="6" t="n"/>
      <c r="P272" s="6" t="n">
        <v>6050</v>
      </c>
      <c r="Q272" s="6" t="n">
        <v>1</v>
      </c>
      <c r="R272">
        <f>M272+IF(N272&gt;1,N(O272)*(N272-1),0)</f>
        <v/>
      </c>
      <c r="S272">
        <f>IFERROR(L272*MAX(N272,1)/R272*IF(ISBLANK(K267),1,K267),0)</f>
        <v/>
      </c>
      <c r="AB272" s="7" t="inlineStr">
        <is>
          <t>^Warhead_Demolition_Light, ^Warhead_Railgun_Heavy, ^Warhead_CannonHE_Medium</t>
        </is>
      </c>
    </row>
    <row r="273">
      <c r="B273" s="7" t="inlineStr">
        <is>
          <t xml:space="preserve">  ↳ SteelMakoGun_EMP_elite</t>
        </is>
      </c>
      <c r="C273" s="7" t="inlineStr">
        <is>
          <t>Armament@UpgradeELITE</t>
        </is>
      </c>
      <c r="L273" s="6" t="n">
        <v>12000</v>
      </c>
      <c r="M273" s="6" t="n">
        <v>25</v>
      </c>
      <c r="N273" s="6" t="n">
        <v>2</v>
      </c>
      <c r="O273" s="6" t="n">
        <v>3</v>
      </c>
      <c r="P273" s="6" t="n">
        <v>7050</v>
      </c>
      <c r="Q273" s="6" t="n">
        <v>1</v>
      </c>
      <c r="R273">
        <f>M273+IF(N273&gt;1,N(O273)*(N273-1),0)</f>
        <v/>
      </c>
      <c r="S273">
        <f>IFERROR(L273*MAX(N273,1)/R273*IF(ISBLANK(K267),1,K267),0)</f>
        <v/>
      </c>
      <c r="AB273" s="7" t="inlineStr">
        <is>
          <t>^Warhead_Demolition_Light, ^Warhead_Railgun_Heavy, ^Warhead_CannonHE_Medium</t>
        </is>
      </c>
    </row>
    <row r="274">
      <c r="B274" s="7" t="inlineStr">
        <is>
          <t xml:space="preserve">  ↳ SteelMakoGun_EMP</t>
        </is>
      </c>
      <c r="C274" s="7" t="inlineStr">
        <is>
          <t>Armament@UpgradeGARRISONED</t>
        </is>
      </c>
      <c r="L274" s="6" t="n">
        <v>12000</v>
      </c>
      <c r="M274" s="6" t="n">
        <v>25</v>
      </c>
      <c r="N274" s="6" t="n">
        <v>1</v>
      </c>
      <c r="O274" s="6" t="n"/>
      <c r="P274" s="6" t="n">
        <v>6050</v>
      </c>
      <c r="Q274" s="6" t="n">
        <v>1</v>
      </c>
      <c r="R274">
        <f>M274+IF(N274&gt;1,N(O274)*(N274-1),0)</f>
        <v/>
      </c>
      <c r="S274">
        <f>IFERROR(L274*MAX(N274,1)/R274*IF(ISBLANK(K267),1,K267),0)</f>
        <v/>
      </c>
      <c r="AB274" s="7" t="inlineStr">
        <is>
          <t>^Warhead_Demolition_Light, ^Warhead_Railgun_Heavy, ^Warhead_CannonHE_Medium</t>
        </is>
      </c>
    </row>
    <row r="275">
      <c r="B275" s="7" t="inlineStr">
        <is>
          <t xml:space="preserve">  ↳ SteelMakoGun_EMP_elite</t>
        </is>
      </c>
      <c r="C275" s="7" t="inlineStr">
        <is>
          <t>Armament@UpgradeGARRISONEDELITE</t>
        </is>
      </c>
      <c r="L275" s="6" t="n">
        <v>12000</v>
      </c>
      <c r="M275" s="6" t="n">
        <v>25</v>
      </c>
      <c r="N275" s="6" t="n">
        <v>2</v>
      </c>
      <c r="O275" s="6" t="n">
        <v>3</v>
      </c>
      <c r="P275" s="6" t="n">
        <v>7050</v>
      </c>
      <c r="Q275" s="6" t="n">
        <v>1</v>
      </c>
      <c r="R275">
        <f>M275+IF(N275&gt;1,N(O275)*(N275-1),0)</f>
        <v/>
      </c>
      <c r="S275">
        <f>IFERROR(L275*MAX(N275,1)/R275*IF(ISBLANK(K267),1,K267),0)</f>
        <v/>
      </c>
      <c r="AB275" s="7" t="inlineStr">
        <is>
          <t>^Warhead_Demolition_Light, ^Warhead_Railgun_Heavy, ^Warhead_CannonHE_Medium</t>
        </is>
      </c>
    </row>
    <row r="276">
      <c r="A276" t="inlineStr">
        <is>
          <t>redalert2mod</t>
        </is>
      </c>
      <c r="B276" t="inlineStr">
        <is>
          <t>latinsyndicate_grenademonkey</t>
        </is>
      </c>
      <c r="C276" t="inlineStr">
        <is>
          <t>Grenade Monkey</t>
        </is>
      </c>
      <c r="D276" s="6" t="inlineStr">
        <is>
          <t>GrenadierInfantry</t>
        </is>
      </c>
      <c r="E276" s="6" t="n">
        <v>30000</v>
      </c>
      <c r="F276" s="6" t="n">
        <v>80</v>
      </c>
      <c r="G276" t="inlineStr">
        <is>
          <t>None</t>
        </is>
      </c>
      <c r="H276" s="6" t="n">
        <v>1</v>
      </c>
      <c r="I276" s="6" t="n">
        <v>0.4</v>
      </c>
      <c r="J276" s="6" t="n">
        <v>1</v>
      </c>
      <c r="K276" s="6" t="n"/>
      <c r="P276">
        <f>MAX(P277,P278,P279)</f>
        <v/>
      </c>
      <c r="S276">
        <f>S277+S278+S279</f>
        <v/>
      </c>
      <c r="T276">
        <f>(E276/100000+F276/100+(P276/1000)*J276/5+S276/200)*200*I276*H276</f>
        <v/>
      </c>
      <c r="U276">
        <f>((E276*F276/25000)+((P276/1000)*J276*S276/2.5))*I276*H276</f>
        <v/>
      </c>
      <c r="V276">
        <f>(E276*F276*(P276/1000)*J276*S276*I276*H276)/12500000</f>
        <v/>
      </c>
      <c r="W276">
        <f>(T276+U276+V276)/3</f>
        <v/>
      </c>
      <c r="X276" s="6" t="n">
        <v>400</v>
      </c>
      <c r="Y276">
        <f>IFERROR(W276-X276,"")</f>
        <v/>
      </c>
      <c r="Z276">
        <f>IFERROR(ABS(Y276)/MAX(X276,1),"")</f>
        <v/>
      </c>
      <c r="AA276">
        <f>IFERROR((X276-(((E276/100000+F276/100+S276/200)*200*I276*H276)+((E276*F276/25000)*I276*H276))/3)/(((J276/5)*200*I276*H276)+((J276*S276/2.5)*I276*H276)+((E276*F276*J276*S276*I276*H276)/12500000))/3*1000,"")</f>
        <v/>
      </c>
    </row>
    <row r="277">
      <c r="B277" s="7" t="inlineStr">
        <is>
          <t xml:space="preserve">  ↳ LatinMonkeyGrenade1</t>
        </is>
      </c>
      <c r="C277" s="7" t="inlineStr">
        <is>
          <t>Armament@PRIMARY</t>
        </is>
      </c>
      <c r="L277" s="6" t="n">
        <v>30000</v>
      </c>
      <c r="M277" s="6" t="n">
        <v>60</v>
      </c>
      <c r="N277" s="6" t="n">
        <v>1</v>
      </c>
      <c r="O277" s="6" t="n"/>
      <c r="P277" s="6" t="n">
        <v>6500</v>
      </c>
      <c r="Q277" s="6" t="n">
        <v>1</v>
      </c>
      <c r="R277">
        <f>M277+IF(N277&gt;1,N(O277)*(N277-1),0)</f>
        <v/>
      </c>
      <c r="S277">
        <f>IFERROR(L277*MAX(N277,1)/R277*IF(ISBLANK(K276),1,K276),0)</f>
        <v/>
      </c>
      <c r="AB277" s="7" t="inlineStr">
        <is>
          <t>^Warhead_Demolition_Light, ^Warhead_Concussion_Medium, ^Warhead_CannonHE_Heavy</t>
        </is>
      </c>
    </row>
    <row r="278">
      <c r="B278" s="7" t="inlineStr">
        <is>
          <t xml:space="preserve">  ↳ LatinMonkeyGrenade2</t>
        </is>
      </c>
      <c r="C278" s="7" t="inlineStr">
        <is>
          <t>Armament@SECONDARY</t>
        </is>
      </c>
      <c r="L278" s="6" t="n">
        <v>30000</v>
      </c>
      <c r="M278" s="6" t="n">
        <v>60</v>
      </c>
      <c r="N278" s="6" t="n">
        <v>2</v>
      </c>
      <c r="O278" s="6" t="n">
        <v>3</v>
      </c>
      <c r="P278" s="6" t="n">
        <v>7000</v>
      </c>
      <c r="Q278" s="6" t="n">
        <v>1</v>
      </c>
      <c r="R278">
        <f>M278+IF(N278&gt;1,N(O278)*(N278-1),0)</f>
        <v/>
      </c>
      <c r="S278">
        <f>IFERROR(L278*MAX(N278,1)/R278*IF(ISBLANK(K276),1,K276),0)</f>
        <v/>
      </c>
      <c r="AB278" s="7" t="inlineStr">
        <is>
          <t>^Warhead_Demolition_Light, ^Warhead_Concussion_Medium, ^Warhead_CannonHE_Heavy</t>
        </is>
      </c>
    </row>
    <row r="279">
      <c r="B279" s="7" t="inlineStr">
        <is>
          <t xml:space="preserve">  ↳ LatinMonkeyGrenade3</t>
        </is>
      </c>
      <c r="C279" s="7" t="inlineStr">
        <is>
          <t>Armament@ELITE</t>
        </is>
      </c>
      <c r="L279" s="6" t="n">
        <v>30000</v>
      </c>
      <c r="M279" s="6" t="n">
        <v>60</v>
      </c>
      <c r="N279" s="6" t="n">
        <v>3</v>
      </c>
      <c r="O279" s="6" t="n">
        <v>3</v>
      </c>
      <c r="P279" s="6" t="n">
        <v>7500</v>
      </c>
      <c r="Q279" s="6" t="n">
        <v>1</v>
      </c>
      <c r="R279">
        <f>M279+IF(N279&gt;1,N(O279)*(N279-1),0)</f>
        <v/>
      </c>
      <c r="S279">
        <f>IFERROR(L279*MAX(N279,1)/R279*IF(ISBLANK(K276),1,K276),0)</f>
        <v/>
      </c>
      <c r="AB279" s="7" t="inlineStr">
        <is>
          <t>^Warhead_Demolition_Light, ^Warhead_Concussion_Medium, ^Warhead_CannonHE_Heavy</t>
        </is>
      </c>
    </row>
    <row r="280">
      <c r="B280" s="7" t="inlineStr">
        <is>
          <t xml:space="preserve">  ↳ LatinMonkeyGrenade1</t>
        </is>
      </c>
      <c r="C280" s="7" t="inlineStr">
        <is>
          <t>Armament@GARRISONED</t>
        </is>
      </c>
      <c r="L280" s="6" t="n">
        <v>30000</v>
      </c>
      <c r="M280" s="6" t="n">
        <v>60</v>
      </c>
      <c r="N280" s="6" t="n">
        <v>1</v>
      </c>
      <c r="O280" s="6" t="n"/>
      <c r="P280" s="6" t="n">
        <v>6500</v>
      </c>
      <c r="Q280" s="6" t="n">
        <v>1</v>
      </c>
      <c r="R280">
        <f>M280+IF(N280&gt;1,N(O280)*(N280-1),0)</f>
        <v/>
      </c>
      <c r="S280">
        <f>IFERROR(L280*MAX(N280,1)/R280*IF(ISBLANK(K276),1,K276),0)</f>
        <v/>
      </c>
      <c r="AB280" s="7" t="inlineStr">
        <is>
          <t>^Warhead_Demolition_Light, ^Warhead_Concussion_Medium, ^Warhead_CannonHE_Heavy</t>
        </is>
      </c>
    </row>
    <row r="281">
      <c r="B281" s="7" t="inlineStr">
        <is>
          <t xml:space="preserve">  ↳ LatinMonkeyGrenade2</t>
        </is>
      </c>
      <c r="C281" s="7" t="inlineStr">
        <is>
          <t>Armament@GARRISONEDSECONDARY</t>
        </is>
      </c>
      <c r="L281" s="6" t="n">
        <v>30000</v>
      </c>
      <c r="M281" s="6" t="n">
        <v>60</v>
      </c>
      <c r="N281" s="6" t="n">
        <v>2</v>
      </c>
      <c r="O281" s="6" t="n">
        <v>3</v>
      </c>
      <c r="P281" s="6" t="n">
        <v>7000</v>
      </c>
      <c r="Q281" s="6" t="n">
        <v>1</v>
      </c>
      <c r="R281">
        <f>M281+IF(N281&gt;1,N(O281)*(N281-1),0)</f>
        <v/>
      </c>
      <c r="S281">
        <f>IFERROR(L281*MAX(N281,1)/R281*IF(ISBLANK(K276),1,K276),0)</f>
        <v/>
      </c>
      <c r="AB281" s="7" t="inlineStr">
        <is>
          <t>^Warhead_Demolition_Light, ^Warhead_Concussion_Medium, ^Warhead_CannonHE_Heavy</t>
        </is>
      </c>
    </row>
    <row r="282">
      <c r="B282" s="7" t="inlineStr">
        <is>
          <t xml:space="preserve">  ↳ LatinMonkeyGrenade3</t>
        </is>
      </c>
      <c r="C282" s="7" t="inlineStr">
        <is>
          <t>Armament@GARRISONEDELITE</t>
        </is>
      </c>
      <c r="L282" s="6" t="n">
        <v>30000</v>
      </c>
      <c r="M282" s="6" t="n">
        <v>60</v>
      </c>
      <c r="N282" s="6" t="n">
        <v>3</v>
      </c>
      <c r="O282" s="6" t="n">
        <v>3</v>
      </c>
      <c r="P282" s="6" t="n">
        <v>7500</v>
      </c>
      <c r="Q282" s="6" t="n">
        <v>1</v>
      </c>
      <c r="R282">
        <f>M282+IF(N282&gt;1,N(O282)*(N282-1),0)</f>
        <v/>
      </c>
      <c r="S282">
        <f>IFERROR(L282*MAX(N282,1)/R282*IF(ISBLANK(K276),1,K276),0)</f>
        <v/>
      </c>
      <c r="AB282" s="7" t="inlineStr">
        <is>
          <t>^Warhead_Demolition_Light, ^Warhead_Concussion_Medium, ^Warhead_CannonHE_Heavy</t>
        </is>
      </c>
    </row>
    <row r="283">
      <c r="A283" s="4" t="inlineStr">
        <is>
          <t>MortarInfantry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</row>
    <row r="284">
      <c r="A284" t="inlineStr">
        <is>
          <t>redalert</t>
        </is>
      </c>
      <c r="B284" t="inlineStr">
        <is>
          <t>ra1_soviets_mortarsoldier</t>
        </is>
      </c>
      <c r="C284" t="inlineStr">
        <is>
          <t>Soviet Mortar Soldier</t>
        </is>
      </c>
      <c r="D284" s="6" t="inlineStr">
        <is>
          <t>MortarInfantry</t>
        </is>
      </c>
      <c r="E284" s="6" t="n">
        <v>16000</v>
      </c>
      <c r="F284" s="6" t="n">
        <v>48</v>
      </c>
      <c r="G284" t="inlineStr">
        <is>
          <t>None</t>
        </is>
      </c>
      <c r="H284" s="6" t="n">
        <v>1</v>
      </c>
      <c r="I284" s="6" t="n">
        <v>0.6</v>
      </c>
      <c r="J284" s="6" t="n">
        <v>1</v>
      </c>
      <c r="K284" s="6" t="n">
        <v>0.0075</v>
      </c>
      <c r="P284">
        <f>MAX(P285,P287)</f>
        <v/>
      </c>
      <c r="S284">
        <f>S285+S287</f>
        <v/>
      </c>
      <c r="T284">
        <f>(E284/100000+F284/100+(P284/1000)*J284/5+S284/200)*200*I284*H284</f>
        <v/>
      </c>
      <c r="U284">
        <f>((E284*F284/25000)+((P284/1000)*J284*S284/2.5))*I284*H284</f>
        <v/>
      </c>
      <c r="V284">
        <f>(E284*F284*(P284/1000)*J284*S284*I284*H284)/12500000</f>
        <v/>
      </c>
      <c r="W284">
        <f>(T284+U284+V284)/3</f>
        <v/>
      </c>
      <c r="X284" s="6" t="n">
        <v>500</v>
      </c>
      <c r="Y284">
        <f>IFERROR(W284-X284,"")</f>
        <v/>
      </c>
      <c r="Z284">
        <f>IFERROR(ABS(Y284)/MAX(X284,1),"")</f>
        <v/>
      </c>
      <c r="AA284">
        <f>IFERROR((X284-(((E284/100000+F284/100+S284/200)*200*I284*H284)+((E284*F284/25000)*I284*H284))/3)/(((J284/5)*200*I284*H284)+((J284*S284/2.5)*I284*H284)+((E284*F284*J284*S284*I284*H284)/12500000))/3*1000,"")</f>
        <v/>
      </c>
    </row>
    <row r="285">
      <c r="B285" s="7" t="inlineStr">
        <is>
          <t xml:space="preserve">  ↳ SiegeMortar</t>
        </is>
      </c>
      <c r="C285" s="7" t="inlineStr">
        <is>
          <t>Armament@PRIMARY</t>
        </is>
      </c>
      <c r="L285" s="6" t="n">
        <v>32000</v>
      </c>
      <c r="M285" s="6" t="n">
        <v>88</v>
      </c>
      <c r="N285" s="6" t="n">
        <v>1</v>
      </c>
      <c r="O285" s="6" t="n"/>
      <c r="P285" s="6" t="n">
        <v>10830</v>
      </c>
      <c r="Q285" s="6" t="n">
        <v>1</v>
      </c>
      <c r="R285">
        <f>M285+IF(N285&gt;1,N(O285)*(N285-1),0)</f>
        <v/>
      </c>
      <c r="S285">
        <f>IFERROR(L285*MAX(N285,1)/R285*IF(ISBLANK(K284),1,K284),0)</f>
        <v/>
      </c>
      <c r="AB285" s="7" t="inlineStr">
        <is>
          <t>^Warhead_Thermobaric_Medium</t>
        </is>
      </c>
    </row>
    <row r="286">
      <c r="B286" s="7" t="inlineStr">
        <is>
          <t xml:space="preserve">  ↳ SiegeMortar</t>
        </is>
      </c>
      <c r="C286" s="7" t="inlineStr">
        <is>
          <t>Armament@GARRISONED</t>
        </is>
      </c>
      <c r="L286" s="6" t="n">
        <v>32000</v>
      </c>
      <c r="M286" s="6" t="n">
        <v>88</v>
      </c>
      <c r="N286" s="6" t="n">
        <v>1</v>
      </c>
      <c r="O286" s="6" t="n"/>
      <c r="P286" s="6" t="n">
        <v>10830</v>
      </c>
      <c r="Q286" s="6" t="n">
        <v>1</v>
      </c>
      <c r="R286">
        <f>M286+IF(N286&gt;1,N(O286)*(N286-1),0)</f>
        <v/>
      </c>
      <c r="S286">
        <f>IFERROR(L286*MAX(N286,1)/R286*IF(ISBLANK(K284),1,K284),0)</f>
        <v/>
      </c>
      <c r="AB286" s="7" t="inlineStr">
        <is>
          <t>^Warhead_Thermobaric_Medium</t>
        </is>
      </c>
    </row>
    <row r="287">
      <c r="B287" s="7" t="inlineStr">
        <is>
          <t xml:space="preserve">  ↳ SiegeMortarThermobaric</t>
        </is>
      </c>
      <c r="C287" s="7" t="inlineStr">
        <is>
          <t>Armament@Upgrade</t>
        </is>
      </c>
      <c r="L287" s="6" t="n">
        <v>24000</v>
      </c>
      <c r="M287" s="6" t="n">
        <v>88</v>
      </c>
      <c r="N287" s="6" t="n">
        <v>1</v>
      </c>
      <c r="O287" s="6" t="n"/>
      <c r="P287" s="6" t="n">
        <v>10830</v>
      </c>
      <c r="Q287" s="6" t="n">
        <v>1.25</v>
      </c>
      <c r="R287">
        <f>M287+IF(N287&gt;1,N(O287)*(N287-1),0)</f>
        <v/>
      </c>
      <c r="S287">
        <f>IFERROR(L287*MAX(N287,1)/R287*IF(ISBLANK(K284),1,K284),0)</f>
        <v/>
      </c>
      <c r="AB287" s="7" t="inlineStr">
        <is>
          <t>^Warhead_Thermobaric_Heavy</t>
        </is>
      </c>
    </row>
    <row r="288">
      <c r="B288" s="7" t="inlineStr">
        <is>
          <t xml:space="preserve">  ↳ SiegeMortarThermobaric</t>
        </is>
      </c>
      <c r="C288" s="7" t="inlineStr">
        <is>
          <t>Armament@UpgradeGARRISONED</t>
        </is>
      </c>
      <c r="L288" s="6" t="n">
        <v>24000</v>
      </c>
      <c r="M288" s="6" t="n">
        <v>88</v>
      </c>
      <c r="N288" s="6" t="n">
        <v>1</v>
      </c>
      <c r="O288" s="6" t="n"/>
      <c r="P288" s="6" t="n">
        <v>10830</v>
      </c>
      <c r="Q288" s="6" t="n">
        <v>1.25</v>
      </c>
      <c r="R288">
        <f>M288+IF(N288&gt;1,N(O288)*(N288-1),0)</f>
        <v/>
      </c>
      <c r="S288">
        <f>IFERROR(L288*MAX(N288,1)/R288*IF(ISBLANK(K284),1,K284),0)</f>
        <v/>
      </c>
      <c r="AB288" s="7" t="inlineStr">
        <is>
          <t>^Warhead_Thermobaric_Heavy</t>
        </is>
      </c>
    </row>
    <row r="289">
      <c r="A289" t="inlineStr">
        <is>
          <t>tiberiansun</t>
        </is>
      </c>
      <c r="B289" t="inlineStr">
        <is>
          <t>forgotten_mutantmortarman</t>
        </is>
      </c>
      <c r="C289" t="inlineStr">
        <is>
          <t>actor_forgotten_mutantmortarman.name</t>
        </is>
      </c>
      <c r="D289" s="6" t="inlineStr">
        <is>
          <t>MortarInfantry</t>
        </is>
      </c>
      <c r="E289" s="6" t="n">
        <v>30000</v>
      </c>
      <c r="F289" s="6" t="n">
        <v>50</v>
      </c>
      <c r="G289" t="inlineStr">
        <is>
          <t>None</t>
        </is>
      </c>
      <c r="H289" s="6" t="n">
        <v>1</v>
      </c>
      <c r="I289" s="6" t="n">
        <v>1</v>
      </c>
      <c r="J289" s="6" t="n">
        <v>1</v>
      </c>
      <c r="K289" s="6" t="n"/>
      <c r="P289">
        <f>MAX(P290,P291)</f>
        <v/>
      </c>
      <c r="S289">
        <f>S290+S291</f>
        <v/>
      </c>
      <c r="T289">
        <f>(E289/100000+F289/100+(P289/1000)*J289/5+S289/200)*200*I289*H289</f>
        <v/>
      </c>
      <c r="U289">
        <f>((E289*F289/25000)+((P289/1000)*J289*S289/2.5))*I289*H289</f>
        <v/>
      </c>
      <c r="V289">
        <f>(E289*F289*(P289/1000)*J289*S289*I289*H289)/12500000</f>
        <v/>
      </c>
      <c r="W289">
        <f>(T289+U289+V289)/3</f>
        <v/>
      </c>
      <c r="X289" s="6" t="n">
        <v>500</v>
      </c>
      <c r="Y289">
        <f>IFERROR(W289-X289,"")</f>
        <v/>
      </c>
      <c r="Z289">
        <f>IFERROR(ABS(Y289)/MAX(X289,1),"")</f>
        <v/>
      </c>
      <c r="AA289">
        <f>IFERROR((X289-(((E289/100000+F289/100+S289/200)*200*I289*H289)+((E289*F289/25000)*I289*H289))/3)/(((J289/5)*200*I289*H289)+((J289*S289/2.5)*I289*H289)+((E289*F289*J289*S289*I289*H289)/12500000))/3*1000,"")</f>
        <v/>
      </c>
    </row>
    <row r="290">
      <c r="B290" s="7" t="inlineStr">
        <is>
          <t xml:space="preserve">  ↳ TSInfantryMortar</t>
        </is>
      </c>
      <c r="C290" s="7" t="inlineStr">
        <is>
          <t>Armament@PRIMARY</t>
        </is>
      </c>
      <c r="L290" s="6" t="n">
        <v>32000</v>
      </c>
      <c r="M290" s="6" t="n">
        <v>88</v>
      </c>
      <c r="N290" s="6" t="n">
        <v>1</v>
      </c>
      <c r="O290" s="6" t="n"/>
      <c r="P290" s="6" t="n">
        <v>10830</v>
      </c>
      <c r="Q290" s="6" t="n">
        <v>1.125</v>
      </c>
      <c r="R290">
        <f>M290+IF(N290&gt;1,N(O290)*(N290-1),0)</f>
        <v/>
      </c>
      <c r="S290">
        <f>IFERROR(L290*MAX(N290,1)/R290*IF(ISBLANK(K289),1,K289),0)</f>
        <v/>
      </c>
      <c r="AB290" s="7" t="inlineStr">
        <is>
          <t>^Warhead_Demolition_Heavy, ^Warhead_Concussion_Medium</t>
        </is>
      </c>
    </row>
    <row r="291">
      <c r="B291" s="7" t="inlineStr">
        <is>
          <t xml:space="preserve">  ↳ TSInfantryMortarChem</t>
        </is>
      </c>
      <c r="C291" s="7" t="inlineStr">
        <is>
          <t>Armament@UPGRADE</t>
        </is>
      </c>
      <c r="L291" s="6" t="n">
        <v>48000</v>
      </c>
      <c r="M291" s="6" t="n">
        <v>88</v>
      </c>
      <c r="N291" s="6" t="n">
        <v>1</v>
      </c>
      <c r="O291" s="6" t="n"/>
      <c r="P291" s="6" t="n">
        <v>10830</v>
      </c>
      <c r="Q291" s="6" t="n">
        <v>1</v>
      </c>
      <c r="R291">
        <f>M291+IF(N291&gt;1,N(O291)*(N291-1),0)</f>
        <v/>
      </c>
      <c r="S291">
        <f>IFERROR(L291*MAX(N291,1)/R291*IF(ISBLANK(K289),1,K289),0)</f>
        <v/>
      </c>
      <c r="AB291" s="7" t="inlineStr">
        <is>
          <t>^Warhead_Demolition_Heavy, ^Warhead_Concussion_Medium, ^Warhead_Chemical_Medium</t>
        </is>
      </c>
    </row>
    <row r="292">
      <c r="B292" s="7" t="inlineStr">
        <is>
          <t xml:space="preserve">  ↳ TSInfantryMortar</t>
        </is>
      </c>
      <c r="C292" s="7" t="inlineStr">
        <is>
          <t>Armament@GARRISONED</t>
        </is>
      </c>
      <c r="L292" s="6" t="n">
        <v>32000</v>
      </c>
      <c r="M292" s="6" t="n">
        <v>88</v>
      </c>
      <c r="N292" s="6" t="n">
        <v>1</v>
      </c>
      <c r="O292" s="6" t="n"/>
      <c r="P292" s="6" t="n">
        <v>10830</v>
      </c>
      <c r="Q292" s="6" t="n">
        <v>1.125</v>
      </c>
      <c r="R292">
        <f>M292+IF(N292&gt;1,N(O292)*(N292-1),0)</f>
        <v/>
      </c>
      <c r="S292">
        <f>IFERROR(L292*MAX(N292,1)/R292*IF(ISBLANK(K289),1,K289),0)</f>
        <v/>
      </c>
      <c r="AB292" s="7" t="inlineStr">
        <is>
          <t>^Warhead_Demolition_Heavy, ^Warhead_Concussion_Medium</t>
        </is>
      </c>
    </row>
    <row r="293">
      <c r="B293" s="7" t="inlineStr">
        <is>
          <t xml:space="preserve">  ↳ TSInfantryMortarChem</t>
        </is>
      </c>
      <c r="C293" s="7" t="inlineStr">
        <is>
          <t>Armament@GARRISONEDUPGRADE</t>
        </is>
      </c>
      <c r="L293" s="6" t="n">
        <v>48000</v>
      </c>
      <c r="M293" s="6" t="n">
        <v>88</v>
      </c>
      <c r="N293" s="6" t="n">
        <v>1</v>
      </c>
      <c r="O293" s="6" t="n"/>
      <c r="P293" s="6" t="n">
        <v>10830</v>
      </c>
      <c r="Q293" s="6" t="n">
        <v>1</v>
      </c>
      <c r="R293">
        <f>M293+IF(N293&gt;1,N(O293)*(N293-1),0)</f>
        <v/>
      </c>
      <c r="S293">
        <f>IFERROR(L293*MAX(N293,1)/R293*IF(ISBLANK(K289),1,K289),0)</f>
        <v/>
      </c>
      <c r="AB293" s="7" t="inlineStr">
        <is>
          <t>^Warhead_Demolition_Heavy, ^Warhead_Concussion_Medium, ^Warhead_Chemical_Medium</t>
        </is>
      </c>
    </row>
    <row r="294">
      <c r="A294" t="inlineStr">
        <is>
          <t>redalert2mod</t>
        </is>
      </c>
      <c r="B294" t="inlineStr">
        <is>
          <t>latinsyndicate_mortarbike</t>
        </is>
      </c>
      <c r="C294" t="inlineStr">
        <is>
          <t>Mortar Bike</t>
        </is>
      </c>
      <c r="D294" s="6" t="inlineStr">
        <is>
          <t>MortarInfantry</t>
        </is>
      </c>
      <c r="E294" s="6" t="n">
        <v>28000</v>
      </c>
      <c r="F294" s="6" t="n">
        <v>140</v>
      </c>
      <c r="G294" t="inlineStr">
        <is>
          <t>None</t>
        </is>
      </c>
      <c r="H294" s="6" t="n">
        <v>1</v>
      </c>
      <c r="I294" s="6" t="n">
        <v>0.6</v>
      </c>
      <c r="J294" s="6" t="n">
        <v>1</v>
      </c>
      <c r="K294" s="6" t="n">
        <v>0.005</v>
      </c>
      <c r="P294">
        <f>MAX(P295,P296)</f>
        <v/>
      </c>
      <c r="S294">
        <f>S295+S296</f>
        <v/>
      </c>
      <c r="T294">
        <f>(E294/100000+F294/100+(P294/1000)*J294/5+S294/200)*200*I294*H294</f>
        <v/>
      </c>
      <c r="U294">
        <f>((E294*F294/25000)+((P294/1000)*J294*S294/2.5))*I294*H294</f>
        <v/>
      </c>
      <c r="V294">
        <f>(E294*F294*(P294/1000)*J294*S294*I294*H294)/12500000</f>
        <v/>
      </c>
      <c r="W294">
        <f>(T294+U294+V294)/3</f>
        <v/>
      </c>
      <c r="X294" s="6" t="n">
        <v>500</v>
      </c>
      <c r="Y294">
        <f>IFERROR(W294-X294,"")</f>
        <v/>
      </c>
      <c r="Z294">
        <f>IFERROR(ABS(Y294)/MAX(X294,1),"")</f>
        <v/>
      </c>
      <c r="AA294">
        <f>IFERROR((X294-(((E294/100000+F294/100+S294/200)*200*I294*H294)+((E294*F294/25000)*I294*H294))/3)/(((J294/5)*200*I294*H294)+((J294*S294/2.5)*I294*H294)+((E294*F294*J294*S294*I294*H294)/12500000))/3*1000,"")</f>
        <v/>
      </c>
    </row>
    <row r="295">
      <c r="B295" s="7" t="inlineStr">
        <is>
          <t xml:space="preserve">  ↳ RA2MortarBike</t>
        </is>
      </c>
      <c r="C295" s="7" t="inlineStr">
        <is>
          <t>Armament</t>
        </is>
      </c>
      <c r="L295" s="6" t="n">
        <v>36000</v>
      </c>
      <c r="M295" s="6" t="n">
        <v>67</v>
      </c>
      <c r="N295" s="6" t="n">
        <v>1</v>
      </c>
      <c r="O295" s="6" t="n"/>
      <c r="P295" s="6" t="n">
        <v>7500</v>
      </c>
      <c r="Q295" s="6" t="n">
        <v>1.25</v>
      </c>
      <c r="R295">
        <f>M295+IF(N295&gt;1,N(O295)*(N295-1),0)</f>
        <v/>
      </c>
      <c r="S295">
        <f>IFERROR(L295*MAX(N295,1)/R295*IF(ISBLANK(K294),1,K294),0)</f>
        <v/>
      </c>
      <c r="AB295" s="7" t="inlineStr">
        <is>
          <t>^Warhead_CannonHE_Heavy</t>
        </is>
      </c>
    </row>
    <row r="296">
      <c r="B296" s="7" t="inlineStr">
        <is>
          <t xml:space="preserve">  ↳ RA2MortarBike_elite</t>
        </is>
      </c>
      <c r="C296" s="7" t="inlineStr">
        <is>
          <t>Armament@ELITE</t>
        </is>
      </c>
      <c r="L296" s="6" t="n">
        <v>36000</v>
      </c>
      <c r="M296" s="6" t="n">
        <v>67</v>
      </c>
      <c r="N296" s="6" t="n">
        <v>2</v>
      </c>
      <c r="O296" s="6" t="n">
        <v>3</v>
      </c>
      <c r="P296" s="6" t="n">
        <v>8500</v>
      </c>
      <c r="Q296" s="6" t="n">
        <v>1.25</v>
      </c>
      <c r="R296">
        <f>M296+IF(N296&gt;1,N(O296)*(N296-1),0)</f>
        <v/>
      </c>
      <c r="S296">
        <f>IFERROR(L296*MAX(N296,1)/R296*IF(ISBLANK(K294),1,K294),0)</f>
        <v/>
      </c>
      <c r="AB296" s="7" t="inlineStr">
        <is>
          <t>^Warhead_CannonHE_Heavy</t>
        </is>
      </c>
    </row>
    <row r="297">
      <c r="A297" t="inlineStr">
        <is>
          <t>d2k</t>
        </is>
      </c>
      <c r="B297" t="inlineStr">
        <is>
          <t>ordos_mortartrooper</t>
        </is>
      </c>
      <c r="C297" t="inlineStr">
        <is>
          <t>Ordos Mortar Trooper</t>
        </is>
      </c>
      <c r="D297" s="6" t="inlineStr">
        <is>
          <t>MortarInfantry</t>
        </is>
      </c>
      <c r="E297" s="6" t="n">
        <v>20000</v>
      </c>
      <c r="F297" s="6" t="n">
        <v>40</v>
      </c>
      <c r="G297" t="inlineStr">
        <is>
          <t>None</t>
        </is>
      </c>
      <c r="H297" s="6" t="n">
        <v>1</v>
      </c>
      <c r="I297" s="6" t="n">
        <v>0.6</v>
      </c>
      <c r="J297" s="6" t="n">
        <v>1</v>
      </c>
      <c r="K297" s="6" t="n"/>
      <c r="P297">
        <f>MAX(P298)</f>
        <v/>
      </c>
      <c r="S297">
        <f>S298</f>
        <v/>
      </c>
      <c r="T297">
        <f>(E297/100000+F297/100+(P297/1000)*J297/5+S297/200)*200*I297*H297</f>
        <v/>
      </c>
      <c r="U297">
        <f>((E297*F297/25000)+((P297/1000)*J297*S297/2.5))*I297*H297</f>
        <v/>
      </c>
      <c r="V297">
        <f>(E297*F297*(P297/1000)*J297*S297*I297*H297)/12500000</f>
        <v/>
      </c>
      <c r="W297">
        <f>(T297+U297+V297)/3</f>
        <v/>
      </c>
      <c r="X297" s="6" t="n">
        <v>600</v>
      </c>
      <c r="Y297">
        <f>IFERROR(W297-X297,"")</f>
        <v/>
      </c>
      <c r="Z297">
        <f>IFERROR(ABS(Y297)/MAX(X297,1),"")</f>
        <v/>
      </c>
      <c r="AA297">
        <f>IFERROR((X297-(((E297/100000+F297/100+S297/200)*200*I297*H297)+((E297*F297/25000)*I297*H297))/3)/(((J297/5)*200*I297*H297)+((J297*S297/2.5)*I297*H297)+((E297*F297*J297*S297*I297*H297)/12500000))/3*1000,"")</f>
        <v/>
      </c>
    </row>
    <row r="298">
      <c r="B298" s="7" t="inlineStr">
        <is>
          <t xml:space="preserve">  ↳ Dune_SiegeMortar</t>
        </is>
      </c>
      <c r="C298" s="7" t="inlineStr">
        <is>
          <t>Armament</t>
        </is>
      </c>
      <c r="L298" s="6" t="n">
        <v>40000</v>
      </c>
      <c r="M298" s="6" t="n">
        <v>80</v>
      </c>
      <c r="N298" s="6" t="n">
        <v>1</v>
      </c>
      <c r="O298" s="6" t="n"/>
      <c r="P298" s="6" t="n">
        <v>9920</v>
      </c>
      <c r="Q298" s="6" t="n">
        <v>1</v>
      </c>
      <c r="R298">
        <f>M298+IF(N298&gt;1,N(O298)*(N298-1),0)</f>
        <v/>
      </c>
      <c r="S298">
        <f>IFERROR(L298*MAX(N298,1)/R298*IF(ISBLANK(K297),1,K297),0)</f>
        <v/>
      </c>
      <c r="AB298" s="7" t="inlineStr">
        <is>
          <t>^Warhead_Demolition_Light, ^Warhead_Concussion_Medium, ^Warhead_CannonAP_Light, ^Warhead_CannonHE_Medium</t>
        </is>
      </c>
    </row>
    <row r="299">
      <c r="B299" s="7" t="inlineStr">
        <is>
          <t xml:space="preserve">  ↳ Dune_SiegeMortar</t>
        </is>
      </c>
      <c r="C299" s="7" t="inlineStr">
        <is>
          <t>Armament@garrisoned</t>
        </is>
      </c>
      <c r="L299" s="6" t="n">
        <v>40000</v>
      </c>
      <c r="M299" s="6" t="n">
        <v>80</v>
      </c>
      <c r="N299" s="6" t="n">
        <v>1</v>
      </c>
      <c r="O299" s="6" t="n"/>
      <c r="P299" s="6" t="n">
        <v>9920</v>
      </c>
      <c r="Q299" s="6" t="n">
        <v>1</v>
      </c>
      <c r="R299">
        <f>M299+IF(N299&gt;1,N(O299)*(N299-1),0)</f>
        <v/>
      </c>
      <c r="S299">
        <f>IFERROR(L299*MAX(N299,1)/R299*IF(ISBLANK(K297),1,K297),0)</f>
        <v/>
      </c>
      <c r="AB299" s="7" t="inlineStr">
        <is>
          <t>^Warhead_Demolition_Light, ^Warhead_Concussion_Medium, ^Warhead_CannonAP_Light, ^Warhead_CannonHE_Medium</t>
        </is>
      </c>
    </row>
    <row r="300">
      <c r="A300" t="inlineStr">
        <is>
          <t>warcraft2</t>
        </is>
      </c>
      <c r="B300" t="inlineStr">
        <is>
          <t>wc2_humans_mortarteam</t>
        </is>
      </c>
      <c r="C300" t="inlineStr">
        <is>
          <t>Mortar Team</t>
        </is>
      </c>
      <c r="D300" s="6" t="inlineStr">
        <is>
          <t>MortarInfantry</t>
        </is>
      </c>
      <c r="E300" s="6" t="n">
        <v>40000</v>
      </c>
      <c r="F300" s="6" t="n">
        <v>80</v>
      </c>
      <c r="G300" t="inlineStr">
        <is>
          <t>None</t>
        </is>
      </c>
      <c r="H300" s="6" t="n">
        <v>1</v>
      </c>
      <c r="I300" s="6" t="n">
        <v>0.6</v>
      </c>
      <c r="J300" s="6" t="n">
        <v>1</v>
      </c>
      <c r="K300" s="6" t="n"/>
      <c r="P300">
        <f>MAX(P301)</f>
        <v/>
      </c>
      <c r="S300">
        <f>S301</f>
        <v/>
      </c>
      <c r="T300">
        <f>(E300/100000+F300/100+(P300/1000)*J300/5+S300/200)*200*I300*H300</f>
        <v/>
      </c>
      <c r="U300">
        <f>((E300*F300/25000)+((P300/1000)*J300*S300/2.5))*I300*H300</f>
        <v/>
      </c>
      <c r="V300">
        <f>(E300*F300*(P300/1000)*J300*S300*I300*H300)/12500000</f>
        <v/>
      </c>
      <c r="W300">
        <f>(T300+U300+V300)/3</f>
        <v/>
      </c>
      <c r="X300" s="6" t="n">
        <v>800</v>
      </c>
      <c r="Y300">
        <f>IFERROR(W300-X300,"")</f>
        <v/>
      </c>
      <c r="Z300">
        <f>IFERROR(ABS(Y300)/MAX(X300,1),"")</f>
        <v/>
      </c>
      <c r="AA300">
        <f>IFERROR((X300-(((E300/100000+F300/100+S300/200)*200*I300*H300)+((E300*F300/25000)*I300*H300))/3)/(((J300/5)*200*I300*H300)+((J300*S300/2.5)*I300*H300)+((E300*F300*J300*S300*I300*H300)/12500000))/3*1000,"")</f>
        <v/>
      </c>
    </row>
    <row r="301">
      <c r="B301" s="7" t="inlineStr">
        <is>
          <t xml:space="preserve">  ↳ MortarTeamArtilleryShell</t>
        </is>
      </c>
      <c r="C301" s="7" t="inlineStr">
        <is>
          <t>Armament</t>
        </is>
      </c>
      <c r="L301" s="6" t="n">
        <v>80000</v>
      </c>
      <c r="M301" s="6" t="n">
        <v>200</v>
      </c>
      <c r="N301" s="6" t="n">
        <v>1</v>
      </c>
      <c r="O301" s="6" t="n"/>
      <c r="P301" s="6" t="n">
        <v>12000</v>
      </c>
      <c r="Q301" s="6" t="n">
        <v>1</v>
      </c>
      <c r="R301">
        <f>M301+IF(N301&gt;1,N(O301)*(N301-1),0)</f>
        <v/>
      </c>
      <c r="S301">
        <f>IFERROR(L301*MAX(N301,1)/R301*IF(ISBLANK(K300),1,K300),0)</f>
        <v/>
      </c>
      <c r="AB301" s="7" t="inlineStr">
        <is>
          <t>^Warhead_CannonHE_Medium</t>
        </is>
      </c>
    </row>
    <row r="302">
      <c r="B302" s="7" t="inlineStr">
        <is>
          <t xml:space="preserve">  ↳ MortarTeamArtilleryShell</t>
        </is>
      </c>
      <c r="C302" s="7" t="inlineStr">
        <is>
          <t>Armament@GARRISONED</t>
        </is>
      </c>
      <c r="L302" s="6" t="n">
        <v>80000</v>
      </c>
      <c r="M302" s="6" t="n">
        <v>200</v>
      </c>
      <c r="N302" s="6" t="n">
        <v>1</v>
      </c>
      <c r="O302" s="6" t="n"/>
      <c r="P302" s="6" t="n">
        <v>12000</v>
      </c>
      <c r="Q302" s="6" t="n">
        <v>1</v>
      </c>
      <c r="R302">
        <f>M302+IF(N302&gt;1,N(O302)*(N302-1),0)</f>
        <v/>
      </c>
      <c r="S302">
        <f>IFERROR(L302*MAX(N302,1)/R302*IF(ISBLANK(K300),1,K300),0)</f>
        <v/>
      </c>
      <c r="AB302" s="7" t="inlineStr">
        <is>
          <t>^Warhead_CannonHE_Medium</t>
        </is>
      </c>
    </row>
    <row r="303">
      <c r="A303" s="4" t="inlineStr">
        <is>
          <t>AntiTankAntiAirInfantry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</row>
    <row r="304">
      <c r="A304" t="inlineStr">
        <is>
          <t>tiberiandawn</t>
        </is>
      </c>
      <c r="B304" t="inlineStr">
        <is>
          <t>E3</t>
        </is>
      </c>
      <c r="C304" t="inlineStr">
        <is>
          <t>GDI Rocket Soldier</t>
        </is>
      </c>
      <c r="D304" s="6" t="inlineStr">
        <is>
          <t>AntiTankAntiAirInfantry</t>
        </is>
      </c>
      <c r="E304" s="6" t="n">
        <v>9000</v>
      </c>
      <c r="F304" s="6" t="n">
        <v>50</v>
      </c>
      <c r="G304" t="inlineStr">
        <is>
          <t>Flak</t>
        </is>
      </c>
      <c r="H304" s="6" t="n">
        <v>1</v>
      </c>
      <c r="I304" s="6" t="n">
        <v>1</v>
      </c>
      <c r="J304" s="6" t="n">
        <v>1</v>
      </c>
      <c r="K304" s="6" t="n"/>
      <c r="P304">
        <f>MAX(P305,P307)</f>
        <v/>
      </c>
      <c r="S304">
        <f>S305+S307</f>
        <v/>
      </c>
      <c r="T304">
        <f>(E304/100000+F304/100+(P304/1000)*J304/5+S304/200)*200*I304*H304</f>
        <v/>
      </c>
      <c r="U304">
        <f>((E304*F304/25000)+((P304/1000)*J304*S304/2.5))*I304*H304</f>
        <v/>
      </c>
      <c r="V304">
        <f>(E304*F304*(P304/1000)*J304*S304*I304*H304)/12500000</f>
        <v/>
      </c>
      <c r="W304">
        <f>(T304+U304+V304)/3</f>
        <v/>
      </c>
      <c r="X304" s="6" t="n">
        <v>300</v>
      </c>
      <c r="Y304">
        <f>IFERROR(W304-X304,"")</f>
        <v/>
      </c>
      <c r="Z304">
        <f>IFERROR(ABS(Y304)/MAX(X304,1),"")</f>
        <v/>
      </c>
      <c r="AA304">
        <f>IFERROR((X304-(((E304/100000+F304/100+S304/200)*200*I304*H304)+((E304*F304/25000)*I304*H304))/3)/(((J304/5)*200*I304*H304)+((J304*S304/2.5)*I304*H304)+((E304*F304*J304*S304*I304*H304)/12500000))/3*1000,"")</f>
        <v/>
      </c>
    </row>
    <row r="305">
      <c r="B305" s="7" t="inlineStr">
        <is>
          <t xml:space="preserve">  ↳ Rockets</t>
        </is>
      </c>
      <c r="C305" s="7" t="inlineStr">
        <is>
          <t>Armament@PRIMARY</t>
        </is>
      </c>
      <c r="L305" s="6" t="n">
        <v>18000</v>
      </c>
      <c r="M305" s="6" t="n">
        <v>63</v>
      </c>
      <c r="N305" s="6" t="n">
        <v>1</v>
      </c>
      <c r="O305" s="6" t="n"/>
      <c r="P305" s="6" t="n">
        <v>6368</v>
      </c>
      <c r="Q305" s="6" t="n">
        <v>0.75</v>
      </c>
      <c r="R305">
        <f>M305+IF(N305&gt;1,N(O305)*(N305-1),0)</f>
        <v/>
      </c>
      <c r="S305">
        <f>IFERROR(L305*MAX(N305,1)/R305*IF(ISBLANK(K304),1,K304),0)</f>
        <v/>
      </c>
      <c r="AB305" s="7" t="inlineStr">
        <is>
          <t>^Warhead_MissileAP_Light</t>
        </is>
      </c>
    </row>
    <row r="306">
      <c r="B306" s="7" t="inlineStr">
        <is>
          <t xml:space="preserve">  ↳ Rockets</t>
        </is>
      </c>
      <c r="C306" s="7" t="inlineStr">
        <is>
          <t>Armament@GARRISONED</t>
        </is>
      </c>
      <c r="L306" s="6" t="n">
        <v>18000</v>
      </c>
      <c r="M306" s="6" t="n">
        <v>63</v>
      </c>
      <c r="N306" s="6" t="n">
        <v>1</v>
      </c>
      <c r="O306" s="6" t="n"/>
      <c r="P306" s="6" t="n">
        <v>6368</v>
      </c>
      <c r="Q306" s="6" t="n">
        <v>0.75</v>
      </c>
      <c r="R306">
        <f>M306+IF(N306&gt;1,N(O306)*(N306-1),0)</f>
        <v/>
      </c>
      <c r="S306">
        <f>IFERROR(L306*MAX(N306,1)/R306*IF(ISBLANK(K304),1,K304),0)</f>
        <v/>
      </c>
      <c r="AB306" s="7" t="inlineStr">
        <is>
          <t>^Warhead_MissileAP_Light</t>
        </is>
      </c>
    </row>
    <row r="307">
      <c r="B307" s="7" t="inlineStr">
        <is>
          <t xml:space="preserve">  ↳ RocketsAMT</t>
        </is>
      </c>
      <c r="C307" s="7" t="inlineStr">
        <is>
          <t>Armament@AdvancedMissileTargeting</t>
        </is>
      </c>
      <c r="L307" s="6" t="n">
        <v>18000</v>
      </c>
      <c r="M307" s="6" t="n">
        <v>63</v>
      </c>
      <c r="N307" s="6" t="n">
        <v>1</v>
      </c>
      <c r="O307" s="6" t="n"/>
      <c r="P307" s="6" t="n">
        <v>6368</v>
      </c>
      <c r="Q307" s="6" t="n">
        <v>0.75</v>
      </c>
      <c r="R307">
        <f>M307+IF(N307&gt;1,N(O307)*(N307-1),0)</f>
        <v/>
      </c>
      <c r="S307">
        <f>IFERROR(L307*MAX(N307,1)/R307*IF(ISBLANK(K304),1,K304),0)</f>
        <v/>
      </c>
      <c r="AB307" s="7" t="inlineStr">
        <is>
          <t>^Warhead_MissileAP_Light</t>
        </is>
      </c>
    </row>
    <row r="308">
      <c r="B308" s="7" t="inlineStr">
        <is>
          <t xml:space="preserve">  ↳ RocketsAMT</t>
        </is>
      </c>
      <c r="C308" s="7" t="inlineStr">
        <is>
          <t>Armament@AdvancedMissileTargetingGARRISONED</t>
        </is>
      </c>
      <c r="L308" s="6" t="n">
        <v>18000</v>
      </c>
      <c r="M308" s="6" t="n">
        <v>63</v>
      </c>
      <c r="N308" s="6" t="n">
        <v>1</v>
      </c>
      <c r="O308" s="6" t="n"/>
      <c r="P308" s="6" t="n">
        <v>6368</v>
      </c>
      <c r="Q308" s="6" t="n">
        <v>0.75</v>
      </c>
      <c r="R308">
        <f>M308+IF(N308&gt;1,N(O308)*(N308-1),0)</f>
        <v/>
      </c>
      <c r="S308">
        <f>IFERROR(L308*MAX(N308,1)/R308*IF(ISBLANK(K304),1,K304),0)</f>
        <v/>
      </c>
      <c r="AB308" s="7" t="inlineStr">
        <is>
          <t>^Warhead_MissileAP_Light</t>
        </is>
      </c>
    </row>
    <row r="309">
      <c r="A309" t="inlineStr">
        <is>
          <t>tiberiandawn</t>
        </is>
      </c>
      <c r="B309" t="inlineStr">
        <is>
          <t>td_gdi_rocketsoldier</t>
        </is>
      </c>
      <c r="C309" t="inlineStr">
        <is>
          <t>GDI Rocket Soldier</t>
        </is>
      </c>
      <c r="D309" s="6" t="inlineStr">
        <is>
          <t>AntiTankAntiAirInfantry</t>
        </is>
      </c>
      <c r="E309" s="6" t="n">
        <v>9000</v>
      </c>
      <c r="F309" s="6" t="n">
        <v>50</v>
      </c>
      <c r="G309" t="inlineStr">
        <is>
          <t>Flak</t>
        </is>
      </c>
      <c r="H309" s="6" t="n">
        <v>1</v>
      </c>
      <c r="I309" s="6" t="n">
        <v>1</v>
      </c>
      <c r="J309" s="6" t="n">
        <v>1</v>
      </c>
      <c r="K309" s="6" t="n"/>
      <c r="P309">
        <f>MAX(P310,P312)</f>
        <v/>
      </c>
      <c r="S309">
        <f>S310+S312</f>
        <v/>
      </c>
      <c r="T309">
        <f>(E309/100000+F309/100+(P309/1000)*J309/5+S309/200)*200*I309*H309</f>
        <v/>
      </c>
      <c r="U309">
        <f>((E309*F309/25000)+((P309/1000)*J309*S309/2.5))*I309*H309</f>
        <v/>
      </c>
      <c r="V309">
        <f>(E309*F309*(P309/1000)*J309*S309*I309*H309)/12500000</f>
        <v/>
      </c>
      <c r="W309">
        <f>(T309+U309+V309)/3</f>
        <v/>
      </c>
      <c r="X309" s="6" t="n">
        <v>300</v>
      </c>
      <c r="Y309">
        <f>IFERROR(W309-X309,"")</f>
        <v/>
      </c>
      <c r="Z309">
        <f>IFERROR(ABS(Y309)/MAX(X309,1),"")</f>
        <v/>
      </c>
      <c r="AA309">
        <f>IFERROR((X309-(((E309/100000+F309/100+S309/200)*200*I309*H309)+((E309*F309/25000)*I309*H309))/3)/(((J309/5)*200*I309*H309)+((J309*S309/2.5)*I309*H309)+((E309*F309*J309*S309*I309*H309)/12500000))/3*1000,"")</f>
        <v/>
      </c>
    </row>
    <row r="310">
      <c r="B310" s="7" t="inlineStr">
        <is>
          <t xml:space="preserve">  ↳ Rockets</t>
        </is>
      </c>
      <c r="C310" s="7" t="inlineStr">
        <is>
          <t>Armament@PRIMARY</t>
        </is>
      </c>
      <c r="L310" s="6" t="n">
        <v>18000</v>
      </c>
      <c r="M310" s="6" t="n">
        <v>63</v>
      </c>
      <c r="N310" s="6" t="n">
        <v>1</v>
      </c>
      <c r="O310" s="6" t="n"/>
      <c r="P310" s="6" t="n">
        <v>6368</v>
      </c>
      <c r="Q310" s="6" t="n">
        <v>0.75</v>
      </c>
      <c r="R310">
        <f>M310+IF(N310&gt;1,N(O310)*(N310-1),0)</f>
        <v/>
      </c>
      <c r="S310">
        <f>IFERROR(L310*MAX(N310,1)/R310*IF(ISBLANK(K309),1,K309),0)</f>
        <v/>
      </c>
      <c r="AB310" s="7" t="inlineStr">
        <is>
          <t>^Warhead_MissileAP_Light</t>
        </is>
      </c>
    </row>
    <row r="311">
      <c r="B311" s="7" t="inlineStr">
        <is>
          <t xml:space="preserve">  ↳ Rockets</t>
        </is>
      </c>
      <c r="C311" s="7" t="inlineStr">
        <is>
          <t>Armament@GARRISONED</t>
        </is>
      </c>
      <c r="L311" s="6" t="n">
        <v>18000</v>
      </c>
      <c r="M311" s="6" t="n">
        <v>63</v>
      </c>
      <c r="N311" s="6" t="n">
        <v>1</v>
      </c>
      <c r="O311" s="6" t="n"/>
      <c r="P311" s="6" t="n">
        <v>6368</v>
      </c>
      <c r="Q311" s="6" t="n">
        <v>0.75</v>
      </c>
      <c r="R311">
        <f>M311+IF(N311&gt;1,N(O311)*(N311-1),0)</f>
        <v/>
      </c>
      <c r="S311">
        <f>IFERROR(L311*MAX(N311,1)/R311*IF(ISBLANK(K309),1,K309),0)</f>
        <v/>
      </c>
      <c r="AB311" s="7" t="inlineStr">
        <is>
          <t>^Warhead_MissileAP_Light</t>
        </is>
      </c>
    </row>
    <row r="312">
      <c r="B312" s="7" t="inlineStr">
        <is>
          <t xml:space="preserve">  ↳ RocketsAMT</t>
        </is>
      </c>
      <c r="C312" s="7" t="inlineStr">
        <is>
          <t>Armament@AdvancedMissileTargeting</t>
        </is>
      </c>
      <c r="L312" s="6" t="n">
        <v>18000</v>
      </c>
      <c r="M312" s="6" t="n">
        <v>63</v>
      </c>
      <c r="N312" s="6" t="n">
        <v>1</v>
      </c>
      <c r="O312" s="6" t="n"/>
      <c r="P312" s="6" t="n">
        <v>6368</v>
      </c>
      <c r="Q312" s="6" t="n">
        <v>0.75</v>
      </c>
      <c r="R312">
        <f>M312+IF(N312&gt;1,N(O312)*(N312-1),0)</f>
        <v/>
      </c>
      <c r="S312">
        <f>IFERROR(L312*MAX(N312,1)/R312*IF(ISBLANK(K309),1,K309),0)</f>
        <v/>
      </c>
      <c r="AB312" s="7" t="inlineStr">
        <is>
          <t>^Warhead_MissileAP_Light</t>
        </is>
      </c>
    </row>
    <row r="313">
      <c r="B313" s="7" t="inlineStr">
        <is>
          <t xml:space="preserve">  ↳ RocketsAMT</t>
        </is>
      </c>
      <c r="C313" s="7" t="inlineStr">
        <is>
          <t>Armament@AdvancedMissileTargetingGARRISONED</t>
        </is>
      </c>
      <c r="L313" s="6" t="n">
        <v>18000</v>
      </c>
      <c r="M313" s="6" t="n">
        <v>63</v>
      </c>
      <c r="N313" s="6" t="n">
        <v>1</v>
      </c>
      <c r="O313" s="6" t="n"/>
      <c r="P313" s="6" t="n">
        <v>6368</v>
      </c>
      <c r="Q313" s="6" t="n">
        <v>0.75</v>
      </c>
      <c r="R313">
        <f>M313+IF(N313&gt;1,N(O313)*(N313-1),0)</f>
        <v/>
      </c>
      <c r="S313">
        <f>IFERROR(L313*MAX(N313,1)/R313*IF(ISBLANK(K309),1,K309),0)</f>
        <v/>
      </c>
      <c r="AB313" s="7" t="inlineStr">
        <is>
          <t>^Warhead_MissileAP_Light</t>
        </is>
      </c>
    </row>
    <row r="314">
      <c r="A314" t="inlineStr">
        <is>
          <t>tiberiandawn</t>
        </is>
      </c>
      <c r="B314" t="inlineStr">
        <is>
          <t>td_nod_chemicalrocketsoldier</t>
        </is>
      </c>
      <c r="C314" t="inlineStr">
        <is>
          <t>Chemical Rocket Soldier</t>
        </is>
      </c>
      <c r="D314" s="6" t="inlineStr">
        <is>
          <t>AntiTankAntiAirInfantry</t>
        </is>
      </c>
      <c r="E314" s="6" t="n">
        <v>18000</v>
      </c>
      <c r="F314" s="6" t="n">
        <v>60</v>
      </c>
      <c r="G314" t="inlineStr">
        <is>
          <t>Flak</t>
        </is>
      </c>
      <c r="H314" s="6" t="n">
        <v>1</v>
      </c>
      <c r="I314" s="6" t="n">
        <v>0.5</v>
      </c>
      <c r="J314" s="6" t="n">
        <v>1</v>
      </c>
      <c r="K314" s="6" t="n"/>
      <c r="P314">
        <f>MAX(P315)</f>
        <v/>
      </c>
      <c r="S314">
        <f>S315</f>
        <v/>
      </c>
      <c r="T314">
        <f>(E314/100000+F314/100+(P314/1000)*J314/5+S314/200)*200*I314*H314</f>
        <v/>
      </c>
      <c r="U314">
        <f>((E314*F314/25000)+((P314/1000)*J314*S314/2.5))*I314*H314</f>
        <v/>
      </c>
      <c r="V314">
        <f>(E314*F314*(P314/1000)*J314*S314*I314*H314)/12500000</f>
        <v/>
      </c>
      <c r="W314">
        <f>(T314+U314+V314)/3</f>
        <v/>
      </c>
      <c r="X314" s="6" t="n">
        <v>400</v>
      </c>
      <c r="Y314">
        <f>IFERROR(W314-X314,"")</f>
        <v/>
      </c>
      <c r="Z314">
        <f>IFERROR(ABS(Y314)/MAX(X314,1),"")</f>
        <v/>
      </c>
      <c r="AA314">
        <f>IFERROR((X314-(((E314/100000+F314/100+S314/200)*200*I314*H314)+((E314*F314/25000)*I314*H314))/3)/(((J314/5)*200*I314*H314)+((J314*S314/2.5)*I314*H314)+((E314*F314*J314*S314*I314*H314)/12500000))/3*1000,"")</f>
        <v/>
      </c>
    </row>
    <row r="315">
      <c r="B315" s="7" t="inlineStr">
        <is>
          <t xml:space="preserve">  ↳ ChemRockets</t>
        </is>
      </c>
      <c r="C315" s="7" t="inlineStr">
        <is>
          <t>Armament@PRIMARY</t>
        </is>
      </c>
      <c r="L315" s="6" t="n">
        <v>36000</v>
      </c>
      <c r="M315" s="6" t="n">
        <v>54</v>
      </c>
      <c r="N315" s="6" t="n">
        <v>1</v>
      </c>
      <c r="O315" s="6" t="n"/>
      <c r="P315" s="6" t="n">
        <v>6006</v>
      </c>
      <c r="Q315" s="6" t="n">
        <v>1</v>
      </c>
      <c r="R315">
        <f>M315+IF(N315&gt;1,N(O315)*(N315-1),0)</f>
        <v/>
      </c>
      <c r="S315">
        <f>IFERROR(L315*MAX(N315,1)/R315*IF(ISBLANK(K314),1,K314),0)</f>
        <v/>
      </c>
      <c r="AB315" s="7" t="inlineStr">
        <is>
          <t>^Grenade, ^LightChemicalWeapon, ^LightMissile</t>
        </is>
      </c>
    </row>
    <row r="316">
      <c r="B316" s="7" t="inlineStr">
        <is>
          <t xml:space="preserve">  ↳ ChemRockets</t>
        </is>
      </c>
      <c r="C316" s="7" t="inlineStr">
        <is>
          <t>Armament@GARRISONED</t>
        </is>
      </c>
      <c r="L316" s="6" t="n">
        <v>36000</v>
      </c>
      <c r="M316" s="6" t="n">
        <v>54</v>
      </c>
      <c r="N316" s="6" t="n">
        <v>1</v>
      </c>
      <c r="O316" s="6" t="n"/>
      <c r="P316" s="6" t="n">
        <v>6006</v>
      </c>
      <c r="Q316" s="6" t="n">
        <v>1</v>
      </c>
      <c r="R316">
        <f>M316+IF(N316&gt;1,N(O316)*(N316-1),0)</f>
        <v/>
      </c>
      <c r="S316">
        <f>IFERROR(L316*MAX(N316,1)/R316*IF(ISBLANK(K314),1,K314),0)</f>
        <v/>
      </c>
      <c r="AB316" s="7" t="inlineStr">
        <is>
          <t>^Grenade, ^LightChemicalWeapon, ^LightMissile</t>
        </is>
      </c>
    </row>
    <row r="317">
      <c r="A317" t="inlineStr">
        <is>
          <t>tiberiandawn</t>
        </is>
      </c>
      <c r="B317" t="inlineStr">
        <is>
          <t>td_nod_rocketsoldier</t>
        </is>
      </c>
      <c r="C317" t="inlineStr">
        <is>
          <t>Nod Rocket Soldier</t>
        </is>
      </c>
      <c r="D317" s="6" t="inlineStr">
        <is>
          <t>AntiTankAntiAirInfantry</t>
        </is>
      </c>
      <c r="E317" s="6" t="n">
        <v>9000</v>
      </c>
      <c r="F317" s="6" t="n">
        <v>50</v>
      </c>
      <c r="G317" t="inlineStr">
        <is>
          <t>Flak</t>
        </is>
      </c>
      <c r="H317" s="6" t="n">
        <v>1</v>
      </c>
      <c r="I317" s="6" t="n">
        <v>1</v>
      </c>
      <c r="J317" s="6" t="n">
        <v>1</v>
      </c>
      <c r="K317" s="6" t="n"/>
      <c r="P317">
        <f>MAX(P318)</f>
        <v/>
      </c>
      <c r="S317">
        <f>S318</f>
        <v/>
      </c>
      <c r="T317">
        <f>(E317/100000+F317/100+(P317/1000)*J317/5+S317/200)*200*I317*H317</f>
        <v/>
      </c>
      <c r="U317">
        <f>((E317*F317/25000)+((P317/1000)*J317*S317/2.5))*I317*H317</f>
        <v/>
      </c>
      <c r="V317">
        <f>(E317*F317*(P317/1000)*J317*S317*I317*H317)/12500000</f>
        <v/>
      </c>
      <c r="W317">
        <f>(T317+U317+V317)/3</f>
        <v/>
      </c>
      <c r="X317" s="6" t="n">
        <v>300</v>
      </c>
      <c r="Y317">
        <f>IFERROR(W317-X317,"")</f>
        <v/>
      </c>
      <c r="Z317">
        <f>IFERROR(ABS(Y317)/MAX(X317,1),"")</f>
        <v/>
      </c>
      <c r="AA317">
        <f>IFERROR((X317-(((E317/100000+F317/100+S317/200)*200*I317*H317)+((E317*F317/25000)*I317*H317))/3)/(((J317/5)*200*I317*H317)+((J317*S317/2.5)*I317*H317)+((E317*F317*J317*S317*I317*H317)/12500000))/3*1000,"")</f>
        <v/>
      </c>
    </row>
    <row r="318">
      <c r="B318" s="7" t="inlineStr">
        <is>
          <t xml:space="preserve">  ↳ Rockets</t>
        </is>
      </c>
      <c r="C318" s="7" t="inlineStr">
        <is>
          <t>Armament@PRIMARY</t>
        </is>
      </c>
      <c r="L318" s="6" t="n">
        <v>18000</v>
      </c>
      <c r="M318" s="6" t="n">
        <v>63</v>
      </c>
      <c r="N318" s="6" t="n">
        <v>1</v>
      </c>
      <c r="O318" s="6" t="n"/>
      <c r="P318" s="6" t="n">
        <v>6368</v>
      </c>
      <c r="Q318" s="6" t="n">
        <v>0.75</v>
      </c>
      <c r="R318">
        <f>M318+IF(N318&gt;1,N(O318)*(N318-1),0)</f>
        <v/>
      </c>
      <c r="S318">
        <f>IFERROR(L318*MAX(N318,1)/R318*IF(ISBLANK(K317),1,K317),0)</f>
        <v/>
      </c>
      <c r="AB318" s="7" t="inlineStr">
        <is>
          <t>^Warhead_MissileAP_Light</t>
        </is>
      </c>
    </row>
    <row r="319">
      <c r="B319" s="7" t="inlineStr">
        <is>
          <t xml:space="preserve">  ↳ Rockets</t>
        </is>
      </c>
      <c r="C319" s="7" t="inlineStr">
        <is>
          <t>Armament@GARRISONED</t>
        </is>
      </c>
      <c r="L319" s="6" t="n">
        <v>18000</v>
      </c>
      <c r="M319" s="6" t="n">
        <v>63</v>
      </c>
      <c r="N319" s="6" t="n">
        <v>1</v>
      </c>
      <c r="O319" s="6" t="n"/>
      <c r="P319" s="6" t="n">
        <v>6368</v>
      </c>
      <c r="Q319" s="6" t="n">
        <v>0.75</v>
      </c>
      <c r="R319">
        <f>M319+IF(N319&gt;1,N(O319)*(N319-1),0)</f>
        <v/>
      </c>
      <c r="S319">
        <f>IFERROR(L319*MAX(N319,1)/R319*IF(ISBLANK(K317),1,K317),0)</f>
        <v/>
      </c>
      <c r="AB319" s="7" t="inlineStr">
        <is>
          <t>^Warhead_MissileAP_Light</t>
        </is>
      </c>
    </row>
    <row r="320">
      <c r="A320" t="inlineStr">
        <is>
          <t>shared</t>
        </is>
      </c>
      <c r="B320" t="inlineStr">
        <is>
          <t>ra1_allies_alliedrocketsoldier</t>
        </is>
      </c>
      <c r="C320" t="inlineStr">
        <is>
          <t>Allied Rocket Soldier</t>
        </is>
      </c>
      <c r="D320" s="6" t="inlineStr">
        <is>
          <t>AntiTankAntiAirInfantry</t>
        </is>
      </c>
      <c r="E320" s="6" t="n">
        <v>10000</v>
      </c>
      <c r="F320" s="6" t="n">
        <v>55</v>
      </c>
      <c r="G320" t="inlineStr">
        <is>
          <t>Flak</t>
        </is>
      </c>
      <c r="H320" s="6" t="n">
        <v>1</v>
      </c>
      <c r="I320" s="6" t="n">
        <v>1</v>
      </c>
      <c r="J320" s="6" t="n">
        <v>1</v>
      </c>
      <c r="K320" s="6" t="n"/>
      <c r="P320">
        <f>MAX(P321,P323)</f>
        <v/>
      </c>
      <c r="S320">
        <f>S321+S323</f>
        <v/>
      </c>
      <c r="T320">
        <f>(E320/100000+F320/100+(P320/1000)*J320/5+S320/200)*200*I320*H320</f>
        <v/>
      </c>
      <c r="U320">
        <f>((E320*F320/25000)+((P320/1000)*J320*S320/2.5))*I320*H320</f>
        <v/>
      </c>
      <c r="V320">
        <f>(E320*F320*(P320/1000)*J320*S320*I320*H320)/12500000</f>
        <v/>
      </c>
      <c r="W320">
        <f>(T320+U320+V320)/3</f>
        <v/>
      </c>
      <c r="X320" s="6" t="n">
        <v>300</v>
      </c>
      <c r="Y320">
        <f>IFERROR(W320-X320,"")</f>
        <v/>
      </c>
      <c r="Z320">
        <f>IFERROR(ABS(Y320)/MAX(X320,1),"")</f>
        <v/>
      </c>
      <c r="AA320">
        <f>IFERROR((X320-(((E320/100000+F320/100+S320/200)*200*I320*H320)+((E320*F320/25000)*I320*H320))/3)/(((J320/5)*200*I320*H320)+((J320*S320/2.5)*I320*H320)+((E320*F320*J320*S320*I320*H320)/12500000))/3*1000,"")</f>
        <v/>
      </c>
    </row>
    <row r="321">
      <c r="B321" s="7" t="inlineStr">
        <is>
          <t xml:space="preserve">  ↳ RocketsRA</t>
        </is>
      </c>
      <c r="C321" s="7" t="inlineStr">
        <is>
          <t>Armament@PRIMARY</t>
        </is>
      </c>
      <c r="L321" s="6" t="n">
        <v>20000</v>
      </c>
      <c r="M321" s="6" t="n">
        <v>50</v>
      </c>
      <c r="N321" s="6" t="n">
        <v>1</v>
      </c>
      <c r="O321" s="6" t="n"/>
      <c r="P321" s="6" t="n">
        <v>6643</v>
      </c>
      <c r="Q321" s="6" t="n">
        <v>0.875</v>
      </c>
      <c r="R321">
        <f>M321+IF(N321&gt;1,N(O321)*(N321-1),0)</f>
        <v/>
      </c>
      <c r="S321">
        <f>IFERROR(L321*MAX(N321,1)/R321*IF(ISBLANK(K320),1,K320),0)</f>
        <v/>
      </c>
      <c r="AB321" s="7" t="inlineStr">
        <is>
          <t>^Warhead_MissileHE_Medium, ^Warhead_MissileHE_Light</t>
        </is>
      </c>
    </row>
    <row r="322">
      <c r="B322" s="7" t="inlineStr">
        <is>
          <t xml:space="preserve">  ↳ RocketsRA</t>
        </is>
      </c>
      <c r="C322" s="7" t="inlineStr">
        <is>
          <t>Armament@GARRISONED</t>
        </is>
      </c>
      <c r="L322" s="6" t="n">
        <v>20000</v>
      </c>
      <c r="M322" s="6" t="n">
        <v>50</v>
      </c>
      <c r="N322" s="6" t="n">
        <v>1</v>
      </c>
      <c r="O322" s="6" t="n"/>
      <c r="P322" s="6" t="n">
        <v>6643</v>
      </c>
      <c r="Q322" s="6" t="n">
        <v>0.875</v>
      </c>
      <c r="R322">
        <f>M322+IF(N322&gt;1,N(O322)*(N322-1),0)</f>
        <v/>
      </c>
      <c r="S322">
        <f>IFERROR(L322*MAX(N322,1)/R322*IF(ISBLANK(K320),1,K320),0)</f>
        <v/>
      </c>
      <c r="AB322" s="7" t="inlineStr">
        <is>
          <t>^Warhead_MissileHE_Medium, ^Warhead_MissileHE_Light</t>
        </is>
      </c>
    </row>
    <row r="323">
      <c r="B323" s="7" t="inlineStr">
        <is>
          <t xml:space="preserve">  ↳ RocketsRACryo</t>
        </is>
      </c>
      <c r="C323" s="7" t="inlineStr">
        <is>
          <t>Armament@Upgrade</t>
        </is>
      </c>
      <c r="L323" s="6" t="n">
        <v>20000</v>
      </c>
      <c r="M323" s="6" t="n">
        <v>50</v>
      </c>
      <c r="N323" s="6" t="n">
        <v>1</v>
      </c>
      <c r="O323" s="6" t="n"/>
      <c r="P323" s="6" t="n">
        <v>6643</v>
      </c>
      <c r="Q323" s="6" t="n">
        <v>0.875</v>
      </c>
      <c r="R323">
        <f>M323+IF(N323&gt;1,N(O323)*(N323-1),0)</f>
        <v/>
      </c>
      <c r="S323">
        <f>IFERROR(L323*MAX(N323,1)/R323*IF(ISBLANK(K320),1,K320),0)</f>
        <v/>
      </c>
      <c r="AB323" s="7" t="inlineStr">
        <is>
          <t>^Warhead_MissileHE_Medium, ^Warhead_MissileHE_Light</t>
        </is>
      </c>
    </row>
    <row r="324">
      <c r="B324" s="7" t="inlineStr">
        <is>
          <t xml:space="preserve">  ↳ RocketsRACryo</t>
        </is>
      </c>
      <c r="C324" s="7" t="inlineStr">
        <is>
          <t>Armament@UpgradeGARRISONED</t>
        </is>
      </c>
      <c r="L324" s="6" t="n">
        <v>20000</v>
      </c>
      <c r="M324" s="6" t="n">
        <v>50</v>
      </c>
      <c r="N324" s="6" t="n">
        <v>1</v>
      </c>
      <c r="O324" s="6" t="n"/>
      <c r="P324" s="6" t="n">
        <v>6643</v>
      </c>
      <c r="Q324" s="6" t="n">
        <v>0.875</v>
      </c>
      <c r="R324">
        <f>M324+IF(N324&gt;1,N(O324)*(N324-1),0)</f>
        <v/>
      </c>
      <c r="S324">
        <f>IFERROR(L324*MAX(N324,1)/R324*IF(ISBLANK(K320),1,K320),0)</f>
        <v/>
      </c>
      <c r="AB324" s="7" t="inlineStr">
        <is>
          <t>^Warhead_MissileHE_Medium, ^Warhead_MissileHE_Light</t>
        </is>
      </c>
    </row>
    <row r="325">
      <c r="A325" t="inlineStr">
        <is>
          <t>redalert</t>
        </is>
      </c>
      <c r="B325" t="inlineStr">
        <is>
          <t>ra1_soviets_dragunovantimaterialsniper</t>
        </is>
      </c>
      <c r="C325" t="inlineStr">
        <is>
          <t>Dragunov Anti Material Sniper</t>
        </is>
      </c>
      <c r="D325" s="6" t="inlineStr">
        <is>
          <t>AntiTankAntiAirInfantry</t>
        </is>
      </c>
      <c r="E325" s="6" t="n">
        <v>20000</v>
      </c>
      <c r="F325" s="6" t="n">
        <v>40</v>
      </c>
      <c r="G325" t="inlineStr">
        <is>
          <t>Flak</t>
        </is>
      </c>
      <c r="H325" s="6" t="n">
        <v>0.75</v>
      </c>
      <c r="I325" s="6" t="n">
        <v>1</v>
      </c>
      <c r="J325" s="6" t="n">
        <v>1</v>
      </c>
      <c r="K325" s="6" t="n">
        <v>0.0103</v>
      </c>
      <c r="P325">
        <f>MAX(P326)</f>
        <v/>
      </c>
      <c r="S325">
        <f>S326</f>
        <v/>
      </c>
      <c r="T325">
        <f>(E325/100000+F325/100+(P325/1000)*J325/5+S325/200)*200*I325*H325</f>
        <v/>
      </c>
      <c r="U325">
        <f>((E325*F325/25000)+((P325/1000)*J325*S325/2.5))*I325*H325</f>
        <v/>
      </c>
      <c r="V325">
        <f>(E325*F325*(P325/1000)*J325*S325*I325*H325)/12500000</f>
        <v/>
      </c>
      <c r="W325">
        <f>(((E325/25000)+(F325/80)+(S325/400)+((P325/8000)*J325))*700/4+(((E325/25000)*(F325/80))+(((P325/8000)*J325)*(S325/400)))*700/2+((E325/25000)*(F325/80)*((P325/8000)*J325)*(S325/400))*700)*(H325/0.7674)/3</f>
        <v/>
      </c>
      <c r="X325" s="6" t="n">
        <v>422</v>
      </c>
      <c r="Y325">
        <f>IFERROR(W325-X325,"")</f>
        <v/>
      </c>
      <c r="Z325">
        <f>IFERROR(ABS(Y325)/MAX(X325,1),"")</f>
        <v/>
      </c>
      <c r="AA325">
        <f>IFERROR(ROUND(((3*X325-(((E325/25000)+(F325/80)+(S325/400))*700/4+((E325/25000)*(F325/80))*700/2)*(H325/0.7674))/(700/4+((S325/400))*700/2+((E325/25000)*(F325/80)*(S325/400))*700)*(H325/0.7674)*8000)/J325,-1),"")</f>
        <v/>
      </c>
    </row>
    <row r="326">
      <c r="B326" s="7" t="inlineStr">
        <is>
          <t xml:space="preserve">  ↳ DragunovSniper</t>
        </is>
      </c>
      <c r="C326" s="7" t="inlineStr">
        <is>
          <t>Armament</t>
        </is>
      </c>
      <c r="L326" s="6" t="n">
        <v>400000</v>
      </c>
      <c r="M326" s="6" t="n">
        <v>85</v>
      </c>
      <c r="N326" s="6" t="n">
        <v>1</v>
      </c>
      <c r="O326" s="6" t="n"/>
      <c r="P326" s="6" t="n">
        <v>5804</v>
      </c>
      <c r="Q326" s="6" t="n">
        <v>1</v>
      </c>
      <c r="R326">
        <f>M326+IF(N326&gt;1,N(O326)*(N326-1),0)</f>
        <v/>
      </c>
      <c r="S326">
        <f>IFERROR(L326*MAX(N326,1)/R326*IF(ISBLANK(K325),1,K325),0)</f>
        <v/>
      </c>
      <c r="AB326" s="7" t="inlineStr">
        <is>
          <t>^TankDestroyerCannon, ^RailgunWeapon, ^LightMissile, ^HeavyCannon, ^FlakWeapon</t>
        </is>
      </c>
    </row>
    <row r="327">
      <c r="B327" s="7" t="inlineStr">
        <is>
          <t xml:space="preserve">  ↳ DragunovSniper</t>
        </is>
      </c>
      <c r="C327" s="7" t="inlineStr">
        <is>
          <t>Armament@GARRISONED</t>
        </is>
      </c>
      <c r="L327" s="6" t="n">
        <v>400000</v>
      </c>
      <c r="M327" s="6" t="n">
        <v>85</v>
      </c>
      <c r="N327" s="6" t="n">
        <v>1</v>
      </c>
      <c r="O327" s="6" t="n"/>
      <c r="P327" s="6" t="n">
        <v>5804</v>
      </c>
      <c r="Q327" s="6" t="n">
        <v>1</v>
      </c>
      <c r="R327">
        <f>M327+IF(N327&gt;1,N(O327)*(N327-1),0)</f>
        <v/>
      </c>
      <c r="S327">
        <f>IFERROR(L327*MAX(N327,1)/R327*IF(ISBLANK(K325),1,K325),0)</f>
        <v/>
      </c>
      <c r="AB327" s="7" t="inlineStr">
        <is>
          <t>^TankDestroyerCannon, ^RailgunWeapon, ^LightMissile, ^HeavyCannon, ^FlakWeapon</t>
        </is>
      </c>
    </row>
    <row r="328">
      <c r="A328" t="inlineStr">
        <is>
          <t>redalert</t>
        </is>
      </c>
      <c r="B328" t="inlineStr">
        <is>
          <t>ra1_soviets_firerocketsoldier</t>
        </is>
      </c>
      <c r="C328" t="inlineStr">
        <is>
          <t>Fire Rocket Soldier</t>
        </is>
      </c>
      <c r="D328" s="6" t="inlineStr">
        <is>
          <t>AntiTankAntiAirInfantry</t>
        </is>
      </c>
      <c r="E328" s="6" t="n">
        <v>16000</v>
      </c>
      <c r="F328" s="6" t="n">
        <v>48</v>
      </c>
      <c r="G328" t="inlineStr">
        <is>
          <t>Flak</t>
        </is>
      </c>
      <c r="H328" s="6" t="n">
        <v>1</v>
      </c>
      <c r="I328" s="6" t="n">
        <v>0.5</v>
      </c>
      <c r="J328" s="6" t="n">
        <v>1</v>
      </c>
      <c r="K328" s="6" t="n"/>
      <c r="P328">
        <f>MAX(P329,P331)</f>
        <v/>
      </c>
      <c r="S328">
        <f>S329+S331</f>
        <v/>
      </c>
      <c r="T328">
        <f>(E328/100000+F328/100+(P328/1000)*J328/5+S328/200)*200*I328*H328</f>
        <v/>
      </c>
      <c r="U328">
        <f>((E328*F328/25000)+((P328/1000)*J328*S328/2.5))*I328*H328</f>
        <v/>
      </c>
      <c r="V328">
        <f>(E328*F328*(P328/1000)*J328*S328*I328*H328)/12500000</f>
        <v/>
      </c>
      <c r="W328">
        <f>(T328+U328+V328)/3</f>
        <v/>
      </c>
      <c r="X328" s="6" t="n">
        <v>400</v>
      </c>
      <c r="Y328">
        <f>IFERROR(W328-X328,"")</f>
        <v/>
      </c>
      <c r="Z328">
        <f>IFERROR(ABS(Y328)/MAX(X328,1),"")</f>
        <v/>
      </c>
      <c r="AA328">
        <f>IFERROR((X328-(((E328/100000+F328/100+S328/200)*200*I328*H328)+((E328*F328/25000)*I328*H328))/3)/(((J328/5)*200*I328*H328)+((J328*S328/2.5)*I328*H328)+((E328*F328*J328*S328*I328*H328)/12500000))/3*1000,"")</f>
        <v/>
      </c>
    </row>
    <row r="329">
      <c r="B329" s="7" t="inlineStr">
        <is>
          <t xml:space="preserve">  ↳ FireRockets</t>
        </is>
      </c>
      <c r="C329" s="7" t="inlineStr">
        <is>
          <t>Armament@PRIMARY</t>
        </is>
      </c>
      <c r="L329" s="6" t="n">
        <v>32000</v>
      </c>
      <c r="M329" s="6" t="n">
        <v>53</v>
      </c>
      <c r="N329" s="6" t="n">
        <v>1</v>
      </c>
      <c r="O329" s="6" t="n"/>
      <c r="P329" s="6" t="n">
        <v>6036</v>
      </c>
      <c r="Q329" s="6" t="n">
        <v>0.75</v>
      </c>
      <c r="R329">
        <f>M329+IF(N329&gt;1,N(O329)*(N329-1),0)</f>
        <v/>
      </c>
      <c r="S329">
        <f>IFERROR(L329*MAX(N329,1)/R329*IF(ISBLANK(K328),1,K328),0)</f>
        <v/>
      </c>
      <c r="AB329" s="7" t="inlineStr">
        <is>
          <t>^Warhead_FireMissile_Light</t>
        </is>
      </c>
    </row>
    <row r="330">
      <c r="B330" s="7" t="inlineStr">
        <is>
          <t xml:space="preserve">  ↳ FireRockets</t>
        </is>
      </c>
      <c r="C330" s="7" t="inlineStr">
        <is>
          <t>Armament@GARRISONED</t>
        </is>
      </c>
      <c r="L330" s="6" t="n">
        <v>32000</v>
      </c>
      <c r="M330" s="6" t="n">
        <v>53</v>
      </c>
      <c r="N330" s="6" t="n">
        <v>1</v>
      </c>
      <c r="O330" s="6" t="n"/>
      <c r="P330" s="6" t="n">
        <v>6036</v>
      </c>
      <c r="Q330" s="6" t="n">
        <v>0.75</v>
      </c>
      <c r="R330">
        <f>M330+IF(N330&gt;1,N(O330)*(N330-1),0)</f>
        <v/>
      </c>
      <c r="S330">
        <f>IFERROR(L330*MAX(N330,1)/R330*IF(ISBLANK(K328),1,K328),0)</f>
        <v/>
      </c>
      <c r="AB330" s="7" t="inlineStr">
        <is>
          <t>^Warhead_FireMissile_Light</t>
        </is>
      </c>
    </row>
    <row r="331">
      <c r="B331" s="7" t="inlineStr">
        <is>
          <t xml:space="preserve">  ↳ FireRocketsThermobaric</t>
        </is>
      </c>
      <c r="C331" s="7" t="inlineStr">
        <is>
          <t>Armament@Upgrade</t>
        </is>
      </c>
      <c r="L331" s="6" t="n">
        <v>32000</v>
      </c>
      <c r="M331" s="6" t="n">
        <v>58</v>
      </c>
      <c r="N331" s="6" t="n">
        <v>1</v>
      </c>
      <c r="O331" s="6" t="n"/>
      <c r="P331" s="6" t="n">
        <v>6692</v>
      </c>
      <c r="Q331" s="6" t="n">
        <v>1</v>
      </c>
      <c r="R331">
        <f>M331+IF(N331&gt;1,N(O331)*(N331-1),0)</f>
        <v/>
      </c>
      <c r="S331">
        <f>IFERROR(L331*MAX(N331,1)/R331*IF(ISBLANK(K328),1,K328),0)</f>
        <v/>
      </c>
      <c r="AB331" s="7" t="inlineStr">
        <is>
          <t>^Warhead_FireMissile_Medium</t>
        </is>
      </c>
    </row>
    <row r="332">
      <c r="B332" s="7" t="inlineStr">
        <is>
          <t xml:space="preserve">  ↳ FireRocketsThermobaric</t>
        </is>
      </c>
      <c r="C332" s="7" t="inlineStr">
        <is>
          <t>Armament@UpgradeGARRISONED</t>
        </is>
      </c>
      <c r="L332" s="6" t="n">
        <v>32000</v>
      </c>
      <c r="M332" s="6" t="n">
        <v>58</v>
      </c>
      <c r="N332" s="6" t="n">
        <v>1</v>
      </c>
      <c r="O332" s="6" t="n"/>
      <c r="P332" s="6" t="n">
        <v>6692</v>
      </c>
      <c r="Q332" s="6" t="n">
        <v>1</v>
      </c>
      <c r="R332">
        <f>M332+IF(N332&gt;1,N(O332)*(N332-1),0)</f>
        <v/>
      </c>
      <c r="S332">
        <f>IFERROR(L332*MAX(N332,1)/R332*IF(ISBLANK(K328),1,K328),0)</f>
        <v/>
      </c>
      <c r="AB332" s="7" t="inlineStr">
        <is>
          <t>^Warhead_FireMissile_Medium</t>
        </is>
      </c>
    </row>
    <row r="333">
      <c r="A333" t="inlineStr">
        <is>
          <t>redalert</t>
        </is>
      </c>
      <c r="B333" t="inlineStr">
        <is>
          <t>ra1_soviets_rocketsoldier</t>
        </is>
      </c>
      <c r="C333" t="inlineStr">
        <is>
          <t>Soviet Rocket Soldier</t>
        </is>
      </c>
      <c r="D333" s="6" t="inlineStr">
        <is>
          <t>AntiTankAntiAirInfantry</t>
        </is>
      </c>
      <c r="E333" s="6" t="n">
        <v>10000</v>
      </c>
      <c r="F333" s="6" t="n">
        <v>55</v>
      </c>
      <c r="G333" t="inlineStr">
        <is>
          <t>Flak</t>
        </is>
      </c>
      <c r="H333" s="6" t="n">
        <v>1</v>
      </c>
      <c r="I333" s="6" t="n">
        <v>1</v>
      </c>
      <c r="J333" s="6" t="n">
        <v>1</v>
      </c>
      <c r="K333" s="6" t="n"/>
      <c r="P333">
        <f>MAX(P334)</f>
        <v/>
      </c>
      <c r="S333">
        <f>S334</f>
        <v/>
      </c>
      <c r="T333">
        <f>(E333/100000+F333/100+(P333/1000)*J333/5+S333/200)*200*I333*H333</f>
        <v/>
      </c>
      <c r="U333">
        <f>((E333*F333/25000)+((P333/1000)*J333*S333/2.5))*I333*H333</f>
        <v/>
      </c>
      <c r="V333">
        <f>(E333*F333*(P333/1000)*J333*S333*I333*H333)/12500000</f>
        <v/>
      </c>
      <c r="W333">
        <f>(T333+U333+V333)/3</f>
        <v/>
      </c>
      <c r="X333" s="6" t="n">
        <v>300</v>
      </c>
      <c r="Y333">
        <f>IFERROR(W333-X333,"")</f>
        <v/>
      </c>
      <c r="Z333">
        <f>IFERROR(ABS(Y333)/MAX(X333,1),"")</f>
        <v/>
      </c>
      <c r="AA333">
        <f>IFERROR((X333-(((E333/100000+F333/100+S333/200)*200*I333*H333)+((E333*F333/25000)*I333*H333))/3)/(((J333/5)*200*I333*H333)+((J333*S333/2.5)*I333*H333)+((E333*F333*J333*S333*I333*H333)/12500000))/3*1000,"")</f>
        <v/>
      </c>
    </row>
    <row r="334">
      <c r="B334" s="7" t="inlineStr">
        <is>
          <t xml:space="preserve">  ↳ RocketsRA</t>
        </is>
      </c>
      <c r="C334" s="7" t="inlineStr">
        <is>
          <t>Armament@PRIMARY</t>
        </is>
      </c>
      <c r="L334" s="6" t="n">
        <v>20000</v>
      </c>
      <c r="M334" s="6" t="n">
        <v>50</v>
      </c>
      <c r="N334" s="6" t="n">
        <v>1</v>
      </c>
      <c r="O334" s="6" t="n"/>
      <c r="P334" s="6" t="n">
        <v>6643</v>
      </c>
      <c r="Q334" s="6" t="n">
        <v>0.875</v>
      </c>
      <c r="R334">
        <f>M334+IF(N334&gt;1,N(O334)*(N334-1),0)</f>
        <v/>
      </c>
      <c r="S334">
        <f>IFERROR(L334*MAX(N334,1)/R334*IF(ISBLANK(K333),1,K333),0)</f>
        <v/>
      </c>
      <c r="AB334" s="7" t="inlineStr">
        <is>
          <t>^Warhead_MissileHE_Medium, ^Warhead_MissileHE_Light</t>
        </is>
      </c>
    </row>
    <row r="335">
      <c r="B335" s="7" t="inlineStr">
        <is>
          <t xml:space="preserve">  ↳ RocketsRA</t>
        </is>
      </c>
      <c r="C335" s="7" t="inlineStr">
        <is>
          <t>Armament@GARRISONED</t>
        </is>
      </c>
      <c r="L335" s="6" t="n">
        <v>20000</v>
      </c>
      <c r="M335" s="6" t="n">
        <v>50</v>
      </c>
      <c r="N335" s="6" t="n">
        <v>1</v>
      </c>
      <c r="O335" s="6" t="n"/>
      <c r="P335" s="6" t="n">
        <v>6643</v>
      </c>
      <c r="Q335" s="6" t="n">
        <v>0.875</v>
      </c>
      <c r="R335">
        <f>M335+IF(N335&gt;1,N(O335)*(N335-1),0)</f>
        <v/>
      </c>
      <c r="S335">
        <f>IFERROR(L335*MAX(N335,1)/R335*IF(ISBLANK(K333),1,K333),0)</f>
        <v/>
      </c>
      <c r="AB335" s="7" t="inlineStr">
        <is>
          <t>^Warhead_MissileHE_Medium, ^Warhead_MissileHE_Light</t>
        </is>
      </c>
    </row>
    <row r="336">
      <c r="A336" t="inlineStr">
        <is>
          <t>tiberiansun</t>
        </is>
      </c>
      <c r="B336" t="inlineStr">
        <is>
          <t>cabal_ascended</t>
        </is>
      </c>
      <c r="C336" t="inlineStr">
        <is>
          <t>Ascended</t>
        </is>
      </c>
      <c r="D336" s="6" t="inlineStr">
        <is>
          <t>AntiTankAntiAirInfantry</t>
        </is>
      </c>
      <c r="E336" s="6" t="n">
        <v>70000</v>
      </c>
      <c r="F336" s="6" t="n">
        <v>40</v>
      </c>
      <c r="G336" t="inlineStr">
        <is>
          <t>Flak</t>
        </is>
      </c>
      <c r="H336" s="6" t="n">
        <v>1</v>
      </c>
      <c r="I336" s="6" t="n">
        <v>0.5</v>
      </c>
      <c r="J336" s="6" t="n">
        <v>1.25</v>
      </c>
      <c r="K336" s="6" t="n"/>
      <c r="P336">
        <f>MAX(P337)</f>
        <v/>
      </c>
      <c r="S336">
        <f>S337</f>
        <v/>
      </c>
      <c r="T336">
        <f>(E336/100000+F336/100+(P336/1000)*J336/5+S336/200)*200*I336*H336</f>
        <v/>
      </c>
      <c r="U336">
        <f>((E336*F336/25000)+((P336/1000)*J336*S336/2.5))*I336*H336</f>
        <v/>
      </c>
      <c r="V336">
        <f>(E336*F336*(P336/1000)*J336*S336*I336*H336)/12500000</f>
        <v/>
      </c>
      <c r="W336">
        <f>(T336+U336+V336)/3</f>
        <v/>
      </c>
      <c r="X336" s="6" t="n">
        <v>900</v>
      </c>
      <c r="Y336">
        <f>IFERROR(W336-X336,"")</f>
        <v/>
      </c>
      <c r="Z336">
        <f>IFERROR(ABS(Y336)/MAX(X336,1),"")</f>
        <v/>
      </c>
      <c r="AA336">
        <f>IFERROR((X336-(((E336/100000+F336/100+S336/200)*200*I336*H336)+((E336*F336/25000)*I336*H336))/3)/(((J336/5)*200*I336*H336)+((J336*S336/2.5)*I336*H336)+((E336*F336*J336*S336*I336*H336)/12500000))/3*1000,"")</f>
        <v/>
      </c>
    </row>
    <row r="337">
      <c r="B337" s="7" t="inlineStr">
        <is>
          <t xml:space="preserve">  ↳ CabalAscendedRockets</t>
        </is>
      </c>
      <c r="C337" s="7" t="inlineStr">
        <is>
          <t>Armament@PRIMARY</t>
        </is>
      </c>
      <c r="L337" s="6" t="n">
        <v>36000</v>
      </c>
      <c r="M337" s="6" t="n">
        <v>60</v>
      </c>
      <c r="N337" s="6" t="n">
        <v>2</v>
      </c>
      <c r="O337" s="6" t="n">
        <v>8</v>
      </c>
      <c r="P337" s="6" t="n">
        <v>9000</v>
      </c>
      <c r="Q337" s="6" t="n">
        <v>1</v>
      </c>
      <c r="R337">
        <f>M337+IF(N337&gt;1,N(O337)*(N337-1),0)</f>
        <v/>
      </c>
      <c r="S337">
        <f>IFERROR(L337*MAX(N337,1)/R337*IF(ISBLANK(K336),1,K336),0)</f>
        <v/>
      </c>
      <c r="AB337" s="7" t="inlineStr">
        <is>
          <t>^LightMissile, ^MediumMissile, ^HeavyMissile, ^TankDestroyerCannon, ^FlakWeapon, ^HeavyAAWeapon, ^CabalMissileMedium, ^CabalMissileEffect</t>
        </is>
      </c>
    </row>
    <row r="338">
      <c r="B338" s="7" t="inlineStr">
        <is>
          <t xml:space="preserve">  ↳ CabalAscendedRockets</t>
        </is>
      </c>
      <c r="C338" s="7" t="inlineStr">
        <is>
          <t>Armament@GARRISONED</t>
        </is>
      </c>
      <c r="L338" s="6" t="n">
        <v>36000</v>
      </c>
      <c r="M338" s="6" t="n">
        <v>60</v>
      </c>
      <c r="N338" s="6" t="n">
        <v>2</v>
      </c>
      <c r="O338" s="6" t="n">
        <v>8</v>
      </c>
      <c r="P338" s="6" t="n">
        <v>9000</v>
      </c>
      <c r="Q338" s="6" t="n">
        <v>1</v>
      </c>
      <c r="R338">
        <f>M338+IF(N338&gt;1,N(O338)*(N338-1),0)</f>
        <v/>
      </c>
      <c r="S338">
        <f>IFERROR(L338*MAX(N338,1)/R338*IF(ISBLANK(K336),1,K336),0)</f>
        <v/>
      </c>
      <c r="AB338" s="7" t="inlineStr">
        <is>
          <t>^LightMissile, ^MediumMissile, ^HeavyMissile, ^TankDestroyerCannon, ^FlakWeapon, ^HeavyAAWeapon, ^CabalMissileMedium, ^CabalMissileEffect</t>
        </is>
      </c>
    </row>
    <row r="339">
      <c r="A339" t="inlineStr">
        <is>
          <t>tiberiansun</t>
        </is>
      </c>
      <c r="B339" t="inlineStr">
        <is>
          <t>cabal_rocketcyborg</t>
        </is>
      </c>
      <c r="C339" t="inlineStr">
        <is>
          <t>Rocket Cyborg</t>
        </is>
      </c>
      <c r="D339" s="6" t="inlineStr">
        <is>
          <t>AntiTankAntiAirInfantry</t>
        </is>
      </c>
      <c r="E339" s="6" t="n">
        <v>45000</v>
      </c>
      <c r="F339" s="6" t="n">
        <v>40</v>
      </c>
      <c r="G339" t="inlineStr">
        <is>
          <t>Flak</t>
        </is>
      </c>
      <c r="H339" s="6" t="n">
        <v>1</v>
      </c>
      <c r="I339" s="6" t="n">
        <v>0.5</v>
      </c>
      <c r="J339" s="6" t="n">
        <v>1.25</v>
      </c>
      <c r="K339" s="6" t="n"/>
      <c r="P339">
        <f>MAX(P340,P341)</f>
        <v/>
      </c>
      <c r="S339">
        <f>S340+S341</f>
        <v/>
      </c>
      <c r="T339">
        <f>(E339/100000+F339/100+(P339/1000)*J339/5+S339/200)*200*I339*H339</f>
        <v/>
      </c>
      <c r="U339">
        <f>((E339*F339/25000)+((P339/1000)*J339*S339/2.5))*I339*H339</f>
        <v/>
      </c>
      <c r="V339">
        <f>(E339*F339*(P339/1000)*J339*S339*I339*H339)/12500000</f>
        <v/>
      </c>
      <c r="W339">
        <f>(T339+U339+V339)/3</f>
        <v/>
      </c>
      <c r="X339" s="6" t="n">
        <v>650</v>
      </c>
      <c r="Y339">
        <f>IFERROR(W339-X339,"")</f>
        <v/>
      </c>
      <c r="Z339">
        <f>IFERROR(ABS(Y339)/MAX(X339,1),"")</f>
        <v/>
      </c>
      <c r="AA339">
        <f>IFERROR((X339-(((E339/100000+F339/100+S339/200)*200*I339*H339)+((E339*F339/25000)*I339*H339))/3)/(((J339/5)*200*I339*H339)+((J339*S339/2.5)*I339*H339)+((E339*F339*J339*S339*I339*H339)/12500000))/3*1000,"")</f>
        <v/>
      </c>
    </row>
    <row r="340">
      <c r="B340" s="7" t="inlineStr">
        <is>
          <t xml:space="preserve">  ↳ CabalRocketCyborgRockets</t>
        </is>
      </c>
      <c r="C340" s="7" t="inlineStr">
        <is>
          <t>Armament@PRIMARY</t>
        </is>
      </c>
      <c r="L340" s="6" t="n">
        <v>12000</v>
      </c>
      <c r="M340" s="6" t="n">
        <v>52</v>
      </c>
      <c r="N340" s="6" t="n">
        <v>3</v>
      </c>
      <c r="O340" s="6" t="n">
        <v>8</v>
      </c>
      <c r="P340" s="6" t="n">
        <v>8753</v>
      </c>
      <c r="Q340" s="6" t="n">
        <v>0.875</v>
      </c>
      <c r="R340">
        <f>M340+IF(N340&gt;1,N(O340)*(N340-1),0)</f>
        <v/>
      </c>
      <c r="S340">
        <f>IFERROR(L340*MAX(N340,1)/R340*IF(ISBLANK(K339),1,K339),0)</f>
        <v/>
      </c>
      <c r="AB340" s="7" t="inlineStr">
        <is>
          <t>^Warhead_MissileHE_Light, ^Warhead_MissileHE_Medium</t>
        </is>
      </c>
    </row>
    <row r="341">
      <c r="B341" s="7" t="inlineStr">
        <is>
          <t xml:space="preserve">  ↳ CabalRocketCyborgRocketsUpgraded</t>
        </is>
      </c>
      <c r="C341" s="7" t="inlineStr">
        <is>
          <t>Armament@Upgraded</t>
        </is>
      </c>
      <c r="L341" s="6" t="n">
        <v>12000</v>
      </c>
      <c r="M341" s="6" t="n">
        <v>52</v>
      </c>
      <c r="N341" s="6" t="n">
        <v>4</v>
      </c>
      <c r="O341" s="6" t="n">
        <v>8</v>
      </c>
      <c r="P341" s="6" t="n">
        <v>8753</v>
      </c>
      <c r="Q341" s="6" t="n">
        <v>0.875</v>
      </c>
      <c r="R341">
        <f>M341+IF(N341&gt;1,N(O341)*(N341-1),0)</f>
        <v/>
      </c>
      <c r="S341">
        <f>IFERROR(L341*MAX(N341,1)/R341*IF(ISBLANK(K339),1,K339),0)</f>
        <v/>
      </c>
      <c r="AB341" s="7" t="inlineStr">
        <is>
          <t>^Warhead_MissileHE_Light, ^Warhead_MissileHE_Medium</t>
        </is>
      </c>
    </row>
    <row r="342">
      <c r="B342" s="7" t="inlineStr">
        <is>
          <t xml:space="preserve">  ↳ CabalRocketCyborgRockets</t>
        </is>
      </c>
      <c r="C342" s="7" t="inlineStr">
        <is>
          <t>Armament@GARRISONED</t>
        </is>
      </c>
      <c r="L342" s="6" t="n">
        <v>12000</v>
      </c>
      <c r="M342" s="6" t="n">
        <v>52</v>
      </c>
      <c r="N342" s="6" t="n">
        <v>3</v>
      </c>
      <c r="O342" s="6" t="n">
        <v>8</v>
      </c>
      <c r="P342" s="6" t="n">
        <v>8753</v>
      </c>
      <c r="Q342" s="6" t="n">
        <v>0.875</v>
      </c>
      <c r="R342">
        <f>M342+IF(N342&gt;1,N(O342)*(N342-1),0)</f>
        <v/>
      </c>
      <c r="S342">
        <f>IFERROR(L342*MAX(N342,1)/R342*IF(ISBLANK(K339),1,K339),0)</f>
        <v/>
      </c>
      <c r="AB342" s="7" t="inlineStr">
        <is>
          <t>^Warhead_MissileHE_Light, ^Warhead_MissileHE_Medium</t>
        </is>
      </c>
    </row>
    <row r="343">
      <c r="A343" t="inlineStr">
        <is>
          <t>tiberiansun</t>
        </is>
      </c>
      <c r="B343" t="inlineStr">
        <is>
          <t>ts_nod_elitecadre</t>
        </is>
      </c>
      <c r="C343" t="inlineStr">
        <is>
          <t>Elite Cadre</t>
        </is>
      </c>
      <c r="D343" s="6" t="inlineStr">
        <is>
          <t>AntiTankAntiAirInfantry</t>
        </is>
      </c>
      <c r="E343" s="6" t="n">
        <v>21000</v>
      </c>
      <c r="F343" s="6" t="n">
        <v>55</v>
      </c>
      <c r="G343" t="inlineStr">
        <is>
          <t>Flak</t>
        </is>
      </c>
      <c r="H343" s="6" t="n">
        <v>0.75</v>
      </c>
      <c r="I343" s="6" t="n">
        <v>1</v>
      </c>
      <c r="J343" s="6" t="n">
        <v>1</v>
      </c>
      <c r="K343" s="6" t="n">
        <v>0.009300000000000001</v>
      </c>
      <c r="P343">
        <f>MAX(P344,P345,P348)</f>
        <v/>
      </c>
      <c r="S343">
        <f>S344+S345+S348</f>
        <v/>
      </c>
      <c r="T343">
        <f>(E343/100000+F343/100+(P343/1000)*J343/5+S343/200)*200*I343*H343</f>
        <v/>
      </c>
      <c r="U343">
        <f>((E343*F343/25000)+((P343/1000)*J343*S343/2.5))*I343*H343</f>
        <v/>
      </c>
      <c r="V343">
        <f>(E343*F343*(P343/1000)*J343*S343*I343*H343)/12500000</f>
        <v/>
      </c>
      <c r="W343">
        <f>(((E343/15000)+(F343/50)+(S343/240)+((P343/6000)*J343))*200/4+(((E343/15000)*(F343/50))+(((P343/6000)*J343)*(S343/240)))*200/2+((E343/15000)*(F343/50)*((P343/6000)*J343)*(S343/240))*200)*(H343/1.0)/3</f>
        <v/>
      </c>
      <c r="X343" s="6" t="n">
        <v>435</v>
      </c>
      <c r="Y343">
        <f>IFERROR(W343-X343,"")</f>
        <v/>
      </c>
      <c r="Z343">
        <f>IFERROR(ABS(Y343)/MAX(X343,1),"")</f>
        <v/>
      </c>
      <c r="AA343">
        <f>IFERROR(ROUND(((3*X343-(((E343/15000)+(F343/50)+(S343/240))*200/4+((E343/15000)*(F343/50))*200/2)*(H343/1.0))/(200/4+((S343/240))*200/2+((E343/15000)*(F343/50)*(S343/240))*200)*(H343/1.0)*6000)/J343,-1),"")</f>
        <v/>
      </c>
    </row>
    <row r="344">
      <c r="B344" s="7" t="inlineStr">
        <is>
          <t xml:space="preserve">  ↳ elitecadregun</t>
        </is>
      </c>
      <c r="C344" s="7" t="inlineStr">
        <is>
          <t>Armament@PRIMARY</t>
        </is>
      </c>
      <c r="L344" s="6" t="n">
        <v>16000</v>
      </c>
      <c r="M344" s="6" t="n">
        <v>52</v>
      </c>
      <c r="N344" s="6" t="n">
        <v>5</v>
      </c>
      <c r="O344" s="6" t="n">
        <v>2</v>
      </c>
      <c r="P344" s="6" t="n">
        <v>6217</v>
      </c>
      <c r="Q344" s="6" t="n">
        <v>0.875</v>
      </c>
      <c r="R344">
        <f>M344+IF(N344&gt;1,N(O344)*(N344-1),0)</f>
        <v/>
      </c>
      <c r="S344">
        <f>IFERROR(L344*MAX(N344,1)/R344*IF(ISBLANK(K343),1,K343),0)</f>
        <v/>
      </c>
      <c r="AB344" s="7" t="inlineStr">
        <is>
          <t>^Warhead_Bullet_Light, ^Warhead_Bullet_Medium</t>
        </is>
      </c>
    </row>
    <row r="345">
      <c r="B345" s="7" t="inlineStr">
        <is>
          <t xml:space="preserve">  ↳ laserelitecadregun</t>
        </is>
      </c>
      <c r="C345" s="7" t="inlineStr">
        <is>
          <t>Armament@UPGRADE</t>
        </is>
      </c>
      <c r="L345" s="6" t="n">
        <v>6000</v>
      </c>
      <c r="M345" s="6" t="n">
        <v>50</v>
      </c>
      <c r="N345" s="6" t="n">
        <v>5</v>
      </c>
      <c r="O345" s="6" t="n">
        <v>2</v>
      </c>
      <c r="P345" s="6" t="n">
        <v>6677</v>
      </c>
      <c r="Q345" s="6" t="n">
        <v>1</v>
      </c>
      <c r="R345">
        <f>M345+IF(N345&gt;1,N(O345)*(N345-1),0)</f>
        <v/>
      </c>
      <c r="S345">
        <f>IFERROR(L345*MAX(N345,1)/R345*IF(ISBLANK(K343),1,K343),0)</f>
        <v/>
      </c>
      <c r="AB345" s="7" t="inlineStr">
        <is>
          <t>^SmallArms, ^Chaingun, ^LaserWeapon, ^TSLaserEffect</t>
        </is>
      </c>
    </row>
    <row r="346">
      <c r="B346" s="7" t="inlineStr">
        <is>
          <t xml:space="preserve">  ↳ elitecadregun</t>
        </is>
      </c>
      <c r="C346" s="7" t="inlineStr">
        <is>
          <t>Armament@GARRISONED</t>
        </is>
      </c>
      <c r="L346" s="6" t="n">
        <v>16000</v>
      </c>
      <c r="M346" s="6" t="n">
        <v>52</v>
      </c>
      <c r="N346" s="6" t="n">
        <v>5</v>
      </c>
      <c r="O346" s="6" t="n">
        <v>2</v>
      </c>
      <c r="P346" s="6" t="n">
        <v>6217</v>
      </c>
      <c r="Q346" s="6" t="n">
        <v>0.875</v>
      </c>
      <c r="R346">
        <f>M346+IF(N346&gt;1,N(O346)*(N346-1),0)</f>
        <v/>
      </c>
      <c r="S346">
        <f>IFERROR(L346*MAX(N346,1)/R346*IF(ISBLANK(K343),1,K343),0)</f>
        <v/>
      </c>
      <c r="AB346" s="7" t="inlineStr">
        <is>
          <t>^Warhead_Bullet_Light, ^Warhead_Bullet_Medium</t>
        </is>
      </c>
    </row>
    <row r="347">
      <c r="B347" s="7" t="inlineStr">
        <is>
          <t xml:space="preserve">  ↳ laserelitecadregun</t>
        </is>
      </c>
      <c r="C347" s="7" t="inlineStr">
        <is>
          <t>Armament@GARRISONEDUPGRADE</t>
        </is>
      </c>
      <c r="L347" s="6" t="n">
        <v>6000</v>
      </c>
      <c r="M347" s="6" t="n">
        <v>50</v>
      </c>
      <c r="N347" s="6" t="n">
        <v>5</v>
      </c>
      <c r="O347" s="6" t="n">
        <v>2</v>
      </c>
      <c r="P347" s="6" t="n">
        <v>6677</v>
      </c>
      <c r="Q347" s="6" t="n">
        <v>1</v>
      </c>
      <c r="R347">
        <f>M347+IF(N347&gt;1,N(O347)*(N347-1),0)</f>
        <v/>
      </c>
      <c r="S347">
        <f>IFERROR(L347*MAX(N347,1)/R347*IF(ISBLANK(K343),1,K343),0)</f>
        <v/>
      </c>
      <c r="AB347" s="7" t="inlineStr">
        <is>
          <t>^SmallArms, ^Chaingun, ^LaserWeapon, ^TSLaserEffect</t>
        </is>
      </c>
    </row>
    <row r="348">
      <c r="B348" s="7" t="inlineStr">
        <is>
          <t xml:space="preserve">  ↳ TSCadreGrenade</t>
        </is>
      </c>
      <c r="C348" s="7" t="inlineStr">
        <is>
          <t>Armament@SECONDARY</t>
        </is>
      </c>
      <c r="L348" s="6" t="n">
        <v>36000</v>
      </c>
      <c r="M348" s="6" t="n">
        <v>124</v>
      </c>
      <c r="N348" s="6" t="n">
        <v>1</v>
      </c>
      <c r="O348" s="6" t="n"/>
      <c r="P348" s="6" t="n">
        <v>6623</v>
      </c>
      <c r="Q348" s="6" t="n">
        <v>0.75</v>
      </c>
      <c r="R348">
        <f>M348+IF(N348&gt;1,N(O348)*(N348-1),0)</f>
        <v/>
      </c>
      <c r="S348">
        <f>IFERROR(L348*MAX(N348,1)/R348*IF(ISBLANK(K343),1,K343),0)</f>
        <v/>
      </c>
      <c r="AB348" s="7" t="inlineStr">
        <is>
          <t>^Warhead_Demolition_Light</t>
        </is>
      </c>
    </row>
    <row r="349">
      <c r="B349" s="7" t="inlineStr">
        <is>
          <t xml:space="preserve">  ↳ TSCadreGrenade</t>
        </is>
      </c>
      <c r="C349" s="7" t="inlineStr">
        <is>
          <t>Armament@GARRISONEDSECONDARY</t>
        </is>
      </c>
      <c r="L349" s="6" t="n">
        <v>36000</v>
      </c>
      <c r="M349" s="6" t="n">
        <v>124</v>
      </c>
      <c r="N349" s="6" t="n">
        <v>1</v>
      </c>
      <c r="O349" s="6" t="n"/>
      <c r="P349" s="6" t="n">
        <v>6623</v>
      </c>
      <c r="Q349" s="6" t="n">
        <v>0.75</v>
      </c>
      <c r="R349">
        <f>M349+IF(N349&gt;1,N(O349)*(N349-1),0)</f>
        <v/>
      </c>
      <c r="S349">
        <f>IFERROR(L349*MAX(N349,1)/R349*IF(ISBLANK(K343),1,K343),0)</f>
        <v/>
      </c>
      <c r="AB349" s="7" t="inlineStr">
        <is>
          <t>^Warhead_Demolition_Light</t>
        </is>
      </c>
    </row>
    <row r="350">
      <c r="A350" t="inlineStr">
        <is>
          <t>tiberiansun</t>
        </is>
      </c>
      <c r="B350" t="inlineStr">
        <is>
          <t>ts_nod_rocketinfantry</t>
        </is>
      </c>
      <c r="C350" t="inlineStr">
        <is>
          <t>Rocket Infantry</t>
        </is>
      </c>
      <c r="D350" s="6" t="inlineStr">
        <is>
          <t>AntiTankAntiAirInfantry</t>
        </is>
      </c>
      <c r="E350" s="6" t="n">
        <v>12000</v>
      </c>
      <c r="F350" s="6" t="n">
        <v>50</v>
      </c>
      <c r="G350" t="inlineStr">
        <is>
          <t>Flak</t>
        </is>
      </c>
      <c r="H350" s="6" t="n">
        <v>1</v>
      </c>
      <c r="I350" s="6" t="n">
        <v>1</v>
      </c>
      <c r="J350" s="6" t="n">
        <v>1</v>
      </c>
      <c r="K350" s="6" t="n"/>
      <c r="P350">
        <f>MAX(P351,P353)</f>
        <v/>
      </c>
      <c r="S350">
        <f>S351+S353</f>
        <v/>
      </c>
      <c r="T350">
        <f>(E350/100000+F350/100+(P350/1000)*J350/5+S350/200)*200*I350*H350</f>
        <v/>
      </c>
      <c r="U350">
        <f>((E350*F350/25000)+((P350/1000)*J350*S350/2.5))*I350*H350</f>
        <v/>
      </c>
      <c r="V350">
        <f>(E350*F350*(P350/1000)*J350*S350*I350*H350)/12500000</f>
        <v/>
      </c>
      <c r="W350">
        <f>(T350+U350+V350)/3</f>
        <v/>
      </c>
      <c r="X350" s="6" t="n">
        <v>300</v>
      </c>
      <c r="Y350">
        <f>IFERROR(W350-X350,"")</f>
        <v/>
      </c>
      <c r="Z350">
        <f>IFERROR(ABS(Y350)/MAX(X350,1),"")</f>
        <v/>
      </c>
      <c r="AA350">
        <f>IFERROR((X350-(((E350/100000+F350/100+S350/200)*200*I350*H350)+((E350*F350/25000)*I350*H350))/3)/(((J350/5)*200*I350*H350)+((J350*S350/2.5)*I350*H350)+((E350*F350*J350*S350*I350*H350)/12500000))/3*1000,"")</f>
        <v/>
      </c>
    </row>
    <row r="351">
      <c r="B351" s="7" t="inlineStr">
        <is>
          <t xml:space="preserve">  ↳ TSBazooka</t>
        </is>
      </c>
      <c r="C351" s="7" t="inlineStr">
        <is>
          <t>Armament@PRIMARY</t>
        </is>
      </c>
      <c r="L351" s="6" t="n">
        <v>24000</v>
      </c>
      <c r="M351" s="6" t="n">
        <v>52</v>
      </c>
      <c r="N351" s="6" t="n">
        <v>1</v>
      </c>
      <c r="O351" s="6" t="n"/>
      <c r="P351" s="6" t="n">
        <v>6694</v>
      </c>
      <c r="Q351" s="6" t="n">
        <v>0.75</v>
      </c>
      <c r="R351">
        <f>M351+IF(N351&gt;1,N(O351)*(N351-1),0)</f>
        <v/>
      </c>
      <c r="S351">
        <f>IFERROR(L351*MAX(N351,1)/R351*IF(ISBLANK(K350),1,K350),0)</f>
        <v/>
      </c>
      <c r="AB351" s="7" t="inlineStr">
        <is>
          <t>^Warhead_MissileAP_Light</t>
        </is>
      </c>
    </row>
    <row r="352">
      <c r="B352" s="7" t="inlineStr">
        <is>
          <t xml:space="preserve">  ↳ TSBazooka</t>
        </is>
      </c>
      <c r="C352" s="7" t="inlineStr">
        <is>
          <t>Armament@GARRISONED</t>
        </is>
      </c>
      <c r="L352" s="6" t="n">
        <v>24000</v>
      </c>
      <c r="M352" s="6" t="n">
        <v>52</v>
      </c>
      <c r="N352" s="6" t="n">
        <v>1</v>
      </c>
      <c r="O352" s="6" t="n"/>
      <c r="P352" s="6" t="n">
        <v>6694</v>
      </c>
      <c r="Q352" s="6" t="n">
        <v>0.75</v>
      </c>
      <c r="R352">
        <f>M352+IF(N352&gt;1,N(O352)*(N352-1),0)</f>
        <v/>
      </c>
      <c r="S352">
        <f>IFERROR(L352*MAX(N352,1)/R352*IF(ISBLANK(K350),1,K350),0)</f>
        <v/>
      </c>
      <c r="AB352" s="7" t="inlineStr">
        <is>
          <t>^Warhead_MissileAP_Light</t>
        </is>
      </c>
    </row>
    <row r="353">
      <c r="B353" s="7" t="inlineStr">
        <is>
          <t xml:space="preserve">  ↳ TSTibBazooka</t>
        </is>
      </c>
      <c r="C353" s="7" t="inlineStr">
        <is>
          <t>Armament@UPGRADE</t>
        </is>
      </c>
      <c r="L353" s="6" t="n">
        <v>30000</v>
      </c>
      <c r="M353" s="6" t="n">
        <v>52</v>
      </c>
      <c r="N353" s="6" t="n">
        <v>1</v>
      </c>
      <c r="O353" s="6" t="n"/>
      <c r="P353" s="6" t="n">
        <v>6694</v>
      </c>
      <c r="Q353" s="6" t="n">
        <v>1</v>
      </c>
      <c r="R353">
        <f>M353+IF(N353&gt;1,N(O353)*(N353-1),0)</f>
        <v/>
      </c>
      <c r="S353">
        <f>IFERROR(L353*MAX(N353,1)/R353*IF(ISBLANK(K350),1,K350),0)</f>
        <v/>
      </c>
      <c r="AB353" s="7" t="inlineStr">
        <is>
          <t>^LightChemicalWeapon, ^LightMissile</t>
        </is>
      </c>
    </row>
    <row r="354">
      <c r="B354" s="7" t="inlineStr">
        <is>
          <t xml:space="preserve">  ↳ TSTibBazooka</t>
        </is>
      </c>
      <c r="C354" s="7" t="inlineStr">
        <is>
          <t>Armament@GARRISONEDUPGRADE</t>
        </is>
      </c>
      <c r="L354" s="6" t="n">
        <v>30000</v>
      </c>
      <c r="M354" s="6" t="n">
        <v>52</v>
      </c>
      <c r="N354" s="6" t="n">
        <v>1</v>
      </c>
      <c r="O354" s="6" t="n"/>
      <c r="P354" s="6" t="n">
        <v>6694</v>
      </c>
      <c r="Q354" s="6" t="n">
        <v>1</v>
      </c>
      <c r="R354">
        <f>M354+IF(N354&gt;1,N(O354)*(N354-1),0)</f>
        <v/>
      </c>
      <c r="S354">
        <f>IFERROR(L354*MAX(N354,1)/R354*IF(ISBLANK(K350),1,K350),0)</f>
        <v/>
      </c>
      <c r="AB354" s="7" t="inlineStr">
        <is>
          <t>^LightChemicalWeapon, ^LightMissile</t>
        </is>
      </c>
    </row>
    <row r="355">
      <c r="A355" t="inlineStr">
        <is>
          <t>tiberiansun</t>
        </is>
      </c>
      <c r="B355" t="inlineStr">
        <is>
          <t>ts_gdi_falconenforcer</t>
        </is>
      </c>
      <c r="C355" t="inlineStr">
        <is>
          <t>Falcon Enforcer</t>
        </is>
      </c>
      <c r="D355" s="6" t="inlineStr">
        <is>
          <t>AntiTankAntiAirInfantry</t>
        </is>
      </c>
      <c r="E355" s="6" t="n">
        <v>45000</v>
      </c>
      <c r="F355" s="6" t="n">
        <v>62</v>
      </c>
      <c r="G355" t="inlineStr">
        <is>
          <t>Flak</t>
        </is>
      </c>
      <c r="H355" s="6" t="n">
        <v>1</v>
      </c>
      <c r="I355" s="6" t="n">
        <v>1</v>
      </c>
      <c r="J355" s="6" t="n">
        <v>1</v>
      </c>
      <c r="K355" s="6" t="n">
        <v>0.0095</v>
      </c>
      <c r="P355">
        <f>MAX(P356,P358)</f>
        <v/>
      </c>
      <c r="S355">
        <f>S356+S358</f>
        <v/>
      </c>
      <c r="T355">
        <f>(E355/100000+F355/100+(P355/1000)*J355/5+S355/200)*200*I355*H355</f>
        <v/>
      </c>
      <c r="U355">
        <f>((E355*F355/25000)+((P355/1000)*J355*S355/2.5))*I355*H355</f>
        <v/>
      </c>
      <c r="V355">
        <f>(E355*F355*(P355/1000)*J355*S355*I355*H355)/12500000</f>
        <v/>
      </c>
      <c r="W355">
        <f>(((E355/15000)+(F355/50)+(S355/240)+((P355/6000)*J355))*200/4+(((E355/15000)*(F355/50))+(((P355/6000)*J355)*(S355/240)))*200/2+((E355/15000)*(F355/50)*((P355/6000)*J355)*(S355/240))*200)*(H355/1.0)/3</f>
        <v/>
      </c>
      <c r="X355" s="6" t="n">
        <v>1322</v>
      </c>
      <c r="Y355">
        <f>IFERROR(W355-X355,"")</f>
        <v/>
      </c>
      <c r="Z355">
        <f>IFERROR(ABS(Y355)/MAX(X355,1),"")</f>
        <v/>
      </c>
      <c r="AA355">
        <f>IFERROR(ROUND(((3*X355-(((E355/15000)+(F355/50)+(S355/240))*200/4+((E355/15000)*(F355/50))*200/2)*(H355/1.0))/(200/4+((S355/240))*200/2+((E355/15000)*(F355/50)*(S355/240))*200)*(H355/1.0)*6000)/J355,-1),"")</f>
        <v/>
      </c>
    </row>
    <row r="356">
      <c r="B356" s="7" t="inlineStr">
        <is>
          <t xml:space="preserve">  ↳ TS30mm</t>
        </is>
      </c>
      <c r="C356" s="7" t="inlineStr">
        <is>
          <t>Armament@PRIMARY</t>
        </is>
      </c>
      <c r="L356" s="6" t="n">
        <v>16000</v>
      </c>
      <c r="M356" s="6" t="n">
        <v>26</v>
      </c>
      <c r="N356" s="6" t="n">
        <v>3</v>
      </c>
      <c r="O356" s="6" t="n">
        <v>2</v>
      </c>
      <c r="P356" s="6" t="n">
        <v>6125</v>
      </c>
      <c r="Q356" s="6" t="n">
        <v>1</v>
      </c>
      <c r="R356">
        <f>M356+IF(N356&gt;1,N(O356)*(N356-1),0)</f>
        <v/>
      </c>
      <c r="S356">
        <f>IFERROR(L356*MAX(N356,1)/R356*IF(ISBLANK(K355),1,K355),0)</f>
        <v/>
      </c>
      <c r="AB356" s="7" t="inlineStr">
        <is>
          <t>^Warhead_MissileHE_Medium, ^Warhead_Flak_Medium</t>
        </is>
      </c>
    </row>
    <row r="357">
      <c r="B357" s="7" t="inlineStr">
        <is>
          <t xml:space="preserve">  ↳ TS30mm</t>
        </is>
      </c>
      <c r="C357" s="7" t="inlineStr">
        <is>
          <t>Armament@GARRISONED</t>
        </is>
      </c>
      <c r="L357" s="6" t="n">
        <v>16000</v>
      </c>
      <c r="M357" s="6" t="n">
        <v>26</v>
      </c>
      <c r="N357" s="6" t="n">
        <v>3</v>
      </c>
      <c r="O357" s="6" t="n">
        <v>2</v>
      </c>
      <c r="P357" s="6" t="n">
        <v>6125</v>
      </c>
      <c r="Q357" s="6" t="n">
        <v>1</v>
      </c>
      <c r="R357">
        <f>M357+IF(N357&gt;1,N(O357)*(N357-1),0)</f>
        <v/>
      </c>
      <c r="S357">
        <f>IFERROR(L357*MAX(N357,1)/R357*IF(ISBLANK(K355),1,K355),0)</f>
        <v/>
      </c>
      <c r="AB357" s="7" t="inlineStr">
        <is>
          <t>^Warhead_MissileHE_Medium, ^Warhead_Flak_Medium</t>
        </is>
      </c>
    </row>
    <row r="358">
      <c r="B358" s="7" t="inlineStr">
        <is>
          <t xml:space="preserve">  ↳ TS30mmRail</t>
        </is>
      </c>
      <c r="C358" s="7" t="inlineStr">
        <is>
          <t>Armament@Upgrade</t>
        </is>
      </c>
      <c r="L358" s="6" t="n">
        <v>6000</v>
      </c>
      <c r="M358" s="6" t="n">
        <v>26</v>
      </c>
      <c r="N358" s="6" t="n">
        <v>3</v>
      </c>
      <c r="O358" s="6" t="n">
        <v>2</v>
      </c>
      <c r="P358" s="6" t="n">
        <v>5873</v>
      </c>
      <c r="Q358" s="6" t="n">
        <v>1</v>
      </c>
      <c r="R358">
        <f>M358+IF(N358&gt;1,N(O358)*(N358-1),0)</f>
        <v/>
      </c>
      <c r="S358">
        <f>IFERROR(L358*MAX(N358,1)/R358*IF(ISBLANK(K355),1,K355),0)</f>
        <v/>
      </c>
      <c r="AB358" s="7" t="inlineStr">
        <is>
          <t>^MediumMissile, ^FlakWeapon, ^RailgunWeapon</t>
        </is>
      </c>
    </row>
    <row r="359">
      <c r="B359" s="7" t="inlineStr">
        <is>
          <t xml:space="preserve">  ↳ TS30mmRail</t>
        </is>
      </c>
      <c r="C359" s="7" t="inlineStr">
        <is>
          <t>Armament@UpgradeGARRISONED</t>
        </is>
      </c>
      <c r="L359" s="6" t="n">
        <v>6000</v>
      </c>
      <c r="M359" s="6" t="n">
        <v>26</v>
      </c>
      <c r="N359" s="6" t="n">
        <v>3</v>
      </c>
      <c r="O359" s="6" t="n">
        <v>2</v>
      </c>
      <c r="P359" s="6" t="n">
        <v>5873</v>
      </c>
      <c r="Q359" s="6" t="n">
        <v>1</v>
      </c>
      <c r="R359">
        <f>M359+IF(N359&gt;1,N(O359)*(N359-1),0)</f>
        <v/>
      </c>
      <c r="S359">
        <f>IFERROR(L359*MAX(N359,1)/R359*IF(ISBLANK(K355),1,K355),0)</f>
        <v/>
      </c>
      <c r="AB359" s="7" t="inlineStr">
        <is>
          <t>^MediumMissile, ^FlakWeapon, ^RailgunWeapon</t>
        </is>
      </c>
    </row>
    <row r="360">
      <c r="A360" t="inlineStr">
        <is>
          <t>tiberiansun</t>
        </is>
      </c>
      <c r="B360" t="inlineStr">
        <is>
          <t>forgotten_rocketinfantry</t>
        </is>
      </c>
      <c r="C360" t="inlineStr">
        <is>
          <t>actor_forgotten_rocketinfantry.name</t>
        </is>
      </c>
      <c r="D360" s="6" t="inlineStr">
        <is>
          <t>AntiTankAntiAirInfantry</t>
        </is>
      </c>
      <c r="E360" s="6" t="n">
        <v>12000</v>
      </c>
      <c r="F360" s="6" t="n">
        <v>50</v>
      </c>
      <c r="G360" t="inlineStr">
        <is>
          <t>Flak</t>
        </is>
      </c>
      <c r="H360" s="6" t="n">
        <v>1</v>
      </c>
      <c r="I360" s="6" t="n">
        <v>1</v>
      </c>
      <c r="J360" s="6" t="n">
        <v>1</v>
      </c>
      <c r="K360" s="6" t="n"/>
      <c r="P360">
        <f>MAX(P361,P363)</f>
        <v/>
      </c>
      <c r="S360">
        <f>S361+S363</f>
        <v/>
      </c>
      <c r="T360">
        <f>(E360/100000+F360/100+(P360/1000)*J360/5+S360/200)*200*I360*H360</f>
        <v/>
      </c>
      <c r="U360">
        <f>((E360*F360/25000)+((P360/1000)*J360*S360/2.5))*I360*H360</f>
        <v/>
      </c>
      <c r="V360">
        <f>(E360*F360*(P360/1000)*J360*S360*I360*H360)/12500000</f>
        <v/>
      </c>
      <c r="W360">
        <f>(T360+U360+V360)/3</f>
        <v/>
      </c>
      <c r="X360" s="6" t="n">
        <v>300</v>
      </c>
      <c r="Y360">
        <f>IFERROR(W360-X360,"")</f>
        <v/>
      </c>
      <c r="Z360">
        <f>IFERROR(ABS(Y360)/MAX(X360,1),"")</f>
        <v/>
      </c>
      <c r="AA360">
        <f>IFERROR((X360-(((E360/100000+F360/100+S360/200)*200*I360*H360)+((E360*F360/25000)*I360*H360))/3)/(((J360/5)*200*I360*H360)+((J360*S360/2.5)*I360*H360)+((E360*F360*J360*S360*I360*H360)/12500000))/3*1000,"")</f>
        <v/>
      </c>
    </row>
    <row r="361">
      <c r="B361" s="7" t="inlineStr">
        <is>
          <t xml:space="preserve">  ↳ TSBazooka</t>
        </is>
      </c>
      <c r="C361" s="7" t="inlineStr">
        <is>
          <t>Armament@PRIMARY</t>
        </is>
      </c>
      <c r="L361" s="6" t="n">
        <v>24000</v>
      </c>
      <c r="M361" s="6" t="n">
        <v>52</v>
      </c>
      <c r="N361" s="6" t="n">
        <v>1</v>
      </c>
      <c r="O361" s="6" t="n"/>
      <c r="P361" s="6" t="n">
        <v>6694</v>
      </c>
      <c r="Q361" s="6" t="n">
        <v>0.75</v>
      </c>
      <c r="R361">
        <f>M361+IF(N361&gt;1,N(O361)*(N361-1),0)</f>
        <v/>
      </c>
      <c r="S361">
        <f>IFERROR(L361*MAX(N361,1)/R361*IF(ISBLANK(K360),1,K360),0)</f>
        <v/>
      </c>
      <c r="AB361" s="7" t="inlineStr">
        <is>
          <t>^Warhead_MissileAP_Light</t>
        </is>
      </c>
    </row>
    <row r="362">
      <c r="B362" s="7" t="inlineStr">
        <is>
          <t xml:space="preserve">  ↳ TSBazooka</t>
        </is>
      </c>
      <c r="C362" s="7" t="inlineStr">
        <is>
          <t>Armament@GARRISONED</t>
        </is>
      </c>
      <c r="L362" s="6" t="n">
        <v>24000</v>
      </c>
      <c r="M362" s="6" t="n">
        <v>52</v>
      </c>
      <c r="N362" s="6" t="n">
        <v>1</v>
      </c>
      <c r="O362" s="6" t="n"/>
      <c r="P362" s="6" t="n">
        <v>6694</v>
      </c>
      <c r="Q362" s="6" t="n">
        <v>0.75</v>
      </c>
      <c r="R362">
        <f>M362+IF(N362&gt;1,N(O362)*(N362-1),0)</f>
        <v/>
      </c>
      <c r="S362">
        <f>IFERROR(L362*MAX(N362,1)/R362*IF(ISBLANK(K360),1,K360),0)</f>
        <v/>
      </c>
      <c r="AB362" s="7" t="inlineStr">
        <is>
          <t>^Warhead_MissileAP_Light</t>
        </is>
      </c>
    </row>
    <row r="363">
      <c r="B363" s="7" t="inlineStr">
        <is>
          <t xml:space="preserve">  ↳ TSChemBazooka</t>
        </is>
      </c>
      <c r="C363" s="7" t="inlineStr">
        <is>
          <t>Armament@UPGRADE</t>
        </is>
      </c>
      <c r="L363" s="6" t="n">
        <v>30000</v>
      </c>
      <c r="M363" s="6" t="n">
        <v>52</v>
      </c>
      <c r="N363" s="6" t="n">
        <v>1</v>
      </c>
      <c r="O363" s="6" t="n"/>
      <c r="P363" s="6" t="n">
        <v>6694</v>
      </c>
      <c r="Q363" s="6" t="n">
        <v>1</v>
      </c>
      <c r="R363">
        <f>M363+IF(N363&gt;1,N(O363)*(N363-1),0)</f>
        <v/>
      </c>
      <c r="S363">
        <f>IFERROR(L363*MAX(N363,1)/R363*IF(ISBLANK(K360),1,K360),0)</f>
        <v/>
      </c>
      <c r="AB363" s="7" t="inlineStr">
        <is>
          <t>^LightChemicalWeapon, ^LightMissile</t>
        </is>
      </c>
    </row>
    <row r="364">
      <c r="B364" s="7" t="inlineStr">
        <is>
          <t xml:space="preserve">  ↳ TSChemBazooka</t>
        </is>
      </c>
      <c r="C364" s="7" t="inlineStr">
        <is>
          <t>Armament@GARRISONEDUPGRADE</t>
        </is>
      </c>
      <c r="L364" s="6" t="n">
        <v>30000</v>
      </c>
      <c r="M364" s="6" t="n">
        <v>52</v>
      </c>
      <c r="N364" s="6" t="n">
        <v>1</v>
      </c>
      <c r="O364" s="6" t="n"/>
      <c r="P364" s="6" t="n">
        <v>6694</v>
      </c>
      <c r="Q364" s="6" t="n">
        <v>1</v>
      </c>
      <c r="R364">
        <f>M364+IF(N364&gt;1,N(O364)*(N364-1),0)</f>
        <v/>
      </c>
      <c r="S364">
        <f>IFERROR(L364*MAX(N364,1)/R364*IF(ISBLANK(K360),1,K360),0)</f>
        <v/>
      </c>
      <c r="AB364" s="7" t="inlineStr">
        <is>
          <t>^LightChemicalWeapon, ^LightMissile</t>
        </is>
      </c>
    </row>
    <row r="365">
      <c r="A365" t="inlineStr">
        <is>
          <t>shared</t>
        </is>
      </c>
      <c r="B365" t="inlineStr">
        <is>
          <t>ra2sidewind</t>
        </is>
      </c>
      <c r="C365" t="inlineStr">
        <is>
          <t>Sidewinder</t>
        </is>
      </c>
      <c r="D365" s="6" t="inlineStr">
        <is>
          <t>AntiTankAntiAirInfantry</t>
        </is>
      </c>
      <c r="E365" s="6" t="n">
        <v>15000</v>
      </c>
      <c r="F365" s="6" t="n">
        <v>45</v>
      </c>
      <c r="G365" t="inlineStr">
        <is>
          <t>Flak</t>
        </is>
      </c>
      <c r="H365" s="6" t="n">
        <v>1</v>
      </c>
      <c r="I365" s="6" t="n">
        <v>1</v>
      </c>
      <c r="J365" s="6" t="n">
        <v>1</v>
      </c>
      <c r="K365" s="6" t="n"/>
      <c r="P365">
        <f>MAX(P366,P368)</f>
        <v/>
      </c>
      <c r="S365">
        <f>S366+S368</f>
        <v/>
      </c>
      <c r="T365">
        <f>(E365/100000+F365/100+(P365/1000)*J365/5+S365/200)*200*I365*H365</f>
        <v/>
      </c>
      <c r="U365">
        <f>((E365*F365/25000)+((P365/1000)*J365*S365/2.5))*I365*H365</f>
        <v/>
      </c>
      <c r="V365">
        <f>(E365*F365*(P365/1000)*J365*S365*I365*H365)/12500000</f>
        <v/>
      </c>
      <c r="W365">
        <f>(T365+U365+V365)/3</f>
        <v/>
      </c>
      <c r="X365" s="6" t="n">
        <v>300</v>
      </c>
      <c r="Y365">
        <f>IFERROR(W365-X365,"")</f>
        <v/>
      </c>
      <c r="Z365">
        <f>IFERROR(ABS(Y365)/MAX(X365,1),"")</f>
        <v/>
      </c>
      <c r="AA365">
        <f>IFERROR((X365-(((E365/100000+F365/100+S365/200)*200*I365*H365)+((E365*F365/25000)*I365*H365))/3)/(((J365/5)*200*I365*H365)+((J365*S365/2.5)*I365*H365)+((E365*F365*J365*S365*I365*H365)/12500000))/3*1000,"")</f>
        <v/>
      </c>
    </row>
    <row r="366">
      <c r="B366" s="7" t="inlineStr">
        <is>
          <t xml:space="preserve">  ↳ RA2GIRocketsG</t>
        </is>
      </c>
      <c r="C366" s="7" t="inlineStr">
        <is>
          <t>Armament@PRIMARY</t>
        </is>
      </c>
      <c r="L366" s="6" t="n">
        <v>24000</v>
      </c>
      <c r="M366" s="6" t="n">
        <v>45</v>
      </c>
      <c r="N366" s="6" t="n">
        <v>1</v>
      </c>
      <c r="O366" s="6" t="n"/>
      <c r="P366" s="6" t="n">
        <v>6567</v>
      </c>
      <c r="Q366" s="6" t="n">
        <v>0.75</v>
      </c>
      <c r="R366">
        <f>M366+IF(N366&gt;1,N(O366)*(N366-1),0)</f>
        <v/>
      </c>
      <c r="S366">
        <f>IFERROR(L366*MAX(N366,1)/R366*IF(ISBLANK(K365),1,K365),0)</f>
        <v/>
      </c>
      <c r="AB366" s="7" t="inlineStr">
        <is>
          <t>^Warhead_MissileAP_Light</t>
        </is>
      </c>
    </row>
    <row r="367">
      <c r="B367" s="7" t="inlineStr">
        <is>
          <t xml:space="preserve">  ↳ RA2GIRocketsG</t>
        </is>
      </c>
      <c r="C367" s="7" t="inlineStr">
        <is>
          <t>Armament@GARRISONED</t>
        </is>
      </c>
      <c r="L367" s="6" t="n">
        <v>24000</v>
      </c>
      <c r="M367" s="6" t="n">
        <v>45</v>
      </c>
      <c r="N367" s="6" t="n">
        <v>1</v>
      </c>
      <c r="O367" s="6" t="n"/>
      <c r="P367" s="6" t="n">
        <v>6567</v>
      </c>
      <c r="Q367" s="6" t="n">
        <v>0.75</v>
      </c>
      <c r="R367">
        <f>M367+IF(N367&gt;1,N(O367)*(N367-1),0)</f>
        <v/>
      </c>
      <c r="S367">
        <f>IFERROR(L367*MAX(N367,1)/R367*IF(ISBLANK(K365),1,K365),0)</f>
        <v/>
      </c>
      <c r="AB367" s="7" t="inlineStr">
        <is>
          <t>^Warhead_MissileAP_Light</t>
        </is>
      </c>
    </row>
    <row r="368">
      <c r="B368" s="7" t="inlineStr">
        <is>
          <t xml:space="preserve">  ↳ RA2GIRocketsG_elite</t>
        </is>
      </c>
      <c r="C368" s="7" t="inlineStr">
        <is>
          <t>Armament@PRIMARYE</t>
        </is>
      </c>
      <c r="L368" s="6" t="n">
        <v>48000</v>
      </c>
      <c r="M368" s="6" t="n">
        <v>45</v>
      </c>
      <c r="N368" s="6" t="n">
        <v>1</v>
      </c>
      <c r="O368" s="6" t="n"/>
      <c r="P368" s="6" t="n">
        <v>7567</v>
      </c>
      <c r="Q368" s="6" t="n">
        <v>0.75</v>
      </c>
      <c r="R368">
        <f>M368+IF(N368&gt;1,N(O368)*(N368-1),0)</f>
        <v/>
      </c>
      <c r="S368">
        <f>IFERROR(L368*MAX(N368,1)/R368*IF(ISBLANK(K365),1,K365),0)</f>
        <v/>
      </c>
      <c r="AB368" s="7" t="inlineStr">
        <is>
          <t>^Warhead_MissileAP_Light</t>
        </is>
      </c>
    </row>
    <row r="369">
      <c r="B369" s="7" t="inlineStr">
        <is>
          <t xml:space="preserve">  ↳ RA2GIRocketsG_elite</t>
        </is>
      </c>
      <c r="C369" s="7" t="inlineStr">
        <is>
          <t>Armament@GARRISONEDE</t>
        </is>
      </c>
      <c r="L369" s="6" t="n">
        <v>48000</v>
      </c>
      <c r="M369" s="6" t="n">
        <v>45</v>
      </c>
      <c r="N369" s="6" t="n">
        <v>1</v>
      </c>
      <c r="O369" s="6" t="n"/>
      <c r="P369" s="6" t="n">
        <v>7567</v>
      </c>
      <c r="Q369" s="6" t="n">
        <v>0.75</v>
      </c>
      <c r="R369">
        <f>M369+IF(N369&gt;1,N(O369)*(N369-1),0)</f>
        <v/>
      </c>
      <c r="S369">
        <f>IFERROR(L369*MAX(N369,1)/R369*IF(ISBLANK(K365),1,K365),0)</f>
        <v/>
      </c>
      <c r="AB369" s="7" t="inlineStr">
        <is>
          <t>^Warhead_MissileAP_Light</t>
        </is>
      </c>
    </row>
    <row r="370">
      <c r="A370" t="inlineStr">
        <is>
          <t>redalert2</t>
        </is>
      </c>
      <c r="B370" t="inlineStr">
        <is>
          <t>ra2_allies_guardiangi</t>
        </is>
      </c>
      <c r="C370" t="inlineStr">
        <is>
          <t>Guardian G.I.</t>
        </is>
      </c>
      <c r="D370" s="6" t="inlineStr">
        <is>
          <t>AntiTankAntiAirInfantry</t>
        </is>
      </c>
      <c r="E370" s="6" t="n">
        <v>45000</v>
      </c>
      <c r="F370" s="6" t="n">
        <v>45</v>
      </c>
      <c r="G370" t="inlineStr">
        <is>
          <t>Flak</t>
        </is>
      </c>
      <c r="H370" s="6" t="n">
        <v>1</v>
      </c>
      <c r="I370" s="6" t="n">
        <v>0.5</v>
      </c>
      <c r="J370" s="6" t="n">
        <v>1.25</v>
      </c>
      <c r="K370" s="6" t="n"/>
      <c r="P370">
        <f>MAX(P371,P372,P373,P374,P376,P378)</f>
        <v/>
      </c>
      <c r="S370">
        <f>S371+S372+S373+S374+S376+S378</f>
        <v/>
      </c>
      <c r="T370">
        <f>(E370/100000+F370/100+(P370/1000)*J370/5+S370/200)*200*I370*H370</f>
        <v/>
      </c>
      <c r="U370">
        <f>((E370*F370/25000)+((P370/1000)*J370*S370/2.5))*I370*H370</f>
        <v/>
      </c>
      <c r="V370">
        <f>(E370*F370*(P370/1000)*J370*S370*I370*H370)/12500000</f>
        <v/>
      </c>
      <c r="W370">
        <f>(T370+U370+V370)/3</f>
        <v/>
      </c>
      <c r="X370" s="6" t="n">
        <v>400</v>
      </c>
      <c r="Y370">
        <f>IFERROR(W370-X370,"")</f>
        <v/>
      </c>
      <c r="Z370">
        <f>IFERROR(ABS(Y370)/MAX(X370,1),"")</f>
        <v/>
      </c>
      <c r="AA370">
        <f>IFERROR((X370-(((E370/100000+F370/100+S370/200)*200*I370*H370)+((E370*F370/25000)*I370*H370))/3)/(((J370/5)*200*I370*H370)+((J370*S370/2.5)*I370*H370)+((E370*F370*J370*S370*I370*H370)/12500000))/3*1000,"")</f>
        <v/>
      </c>
    </row>
    <row r="371">
      <c r="B371" s="7" t="inlineStr">
        <is>
          <t xml:space="preserve">  ↳ GuardianGIMG</t>
        </is>
      </c>
      <c r="C371" s="7" t="inlineStr">
        <is>
          <t>Armament@PRIMARY</t>
        </is>
      </c>
      <c r="L371" s="6" t="n">
        <v>4000</v>
      </c>
      <c r="M371" s="6" t="n">
        <v>20</v>
      </c>
      <c r="N371" s="6" t="n">
        <v>3</v>
      </c>
      <c r="O371" s="6" t="n">
        <v>2</v>
      </c>
      <c r="P371" s="6" t="n">
        <v>4762</v>
      </c>
      <c r="Q371" s="6" t="n">
        <v>0.875</v>
      </c>
      <c r="R371">
        <f>M371+IF(N371&gt;1,N(O371)*(N371-1),0)</f>
        <v/>
      </c>
      <c r="S371">
        <f>IFERROR(L371*MAX(N371,1)/R371*IF(ISBLANK(K370),1,K370),0)</f>
        <v/>
      </c>
      <c r="AB371" s="7" t="inlineStr">
        <is>
          <t>^Warhead_Bullet_Light, ^Warhead_Bullet_Medium</t>
        </is>
      </c>
    </row>
    <row r="372">
      <c r="B372" s="7" t="inlineStr">
        <is>
          <t xml:space="preserve">  ↳ GuardianGIMG2</t>
        </is>
      </c>
      <c r="C372" s="7" t="inlineStr">
        <is>
          <t>Armament@PRIMARY2</t>
        </is>
      </c>
      <c r="L372" s="6" t="n">
        <v>4000</v>
      </c>
      <c r="M372" s="6" t="n">
        <v>19</v>
      </c>
      <c r="N372" s="6" t="n">
        <v>3</v>
      </c>
      <c r="O372" s="6" t="n">
        <v>3</v>
      </c>
      <c r="P372" s="6" t="n">
        <v>4750</v>
      </c>
      <c r="Q372" s="6" t="n">
        <v>1</v>
      </c>
      <c r="R372">
        <f>M372+IF(N372&gt;1,N(O372)*(N372-1),0)</f>
        <v/>
      </c>
      <c r="S372">
        <f>IFERROR(L372*MAX(N372,1)/R372*IF(ISBLANK(K370),1,K370),0)</f>
        <v/>
      </c>
      <c r="AB372" s="7" t="inlineStr">
        <is>
          <t>^Warhead_Bullet_Medium</t>
        </is>
      </c>
    </row>
    <row r="373">
      <c r="B373" s="7" t="inlineStr">
        <is>
          <t xml:space="preserve">  ↳ GuardianGIMG_elite</t>
        </is>
      </c>
      <c r="C373" s="7" t="inlineStr">
        <is>
          <t>Armament@ELITE</t>
        </is>
      </c>
      <c r="L373" s="6" t="n">
        <v>4000</v>
      </c>
      <c r="M373" s="6" t="n">
        <v>20</v>
      </c>
      <c r="N373" s="6" t="n">
        <v>6</v>
      </c>
      <c r="O373" s="6" t="n">
        <v>2</v>
      </c>
      <c r="P373" s="6" t="n">
        <v>5762</v>
      </c>
      <c r="Q373" s="6" t="n">
        <v>0.875</v>
      </c>
      <c r="R373">
        <f>M373+IF(N373&gt;1,N(O373)*(N373-1),0)</f>
        <v/>
      </c>
      <c r="S373">
        <f>IFERROR(L373*MAX(N373,1)/R373*IF(ISBLANK(K370),1,K370),0)</f>
        <v/>
      </c>
      <c r="AB373" s="7" t="inlineStr">
        <is>
          <t>^Warhead_Bullet_Light, ^Warhead_Bullet_Medium</t>
        </is>
      </c>
    </row>
    <row r="374">
      <c r="B374" s="7" t="inlineStr">
        <is>
          <t xml:space="preserve">  ↳ GuardianGIMG2_elite</t>
        </is>
      </c>
      <c r="C374" s="7" t="inlineStr">
        <is>
          <t>Armament@ELITE2</t>
        </is>
      </c>
      <c r="L374" s="6" t="n">
        <v>4000</v>
      </c>
      <c r="M374" s="6" t="n">
        <v>19</v>
      </c>
      <c r="N374" s="6" t="n">
        <v>6</v>
      </c>
      <c r="O374" s="6" t="n">
        <v>3</v>
      </c>
      <c r="P374" s="6" t="n">
        <v>5750</v>
      </c>
      <c r="Q374" s="6" t="n">
        <v>1</v>
      </c>
      <c r="R374">
        <f>M374+IF(N374&gt;1,N(O374)*(N374-1),0)</f>
        <v/>
      </c>
      <c r="S374">
        <f>IFERROR(L374*MAX(N374,1)/R374*IF(ISBLANK(K370),1,K370),0)</f>
        <v/>
      </c>
      <c r="AB374" s="7" t="inlineStr">
        <is>
          <t>^Warhead_Bullet_Medium</t>
        </is>
      </c>
    </row>
    <row r="375">
      <c r="B375" s="7" t="inlineStr">
        <is>
          <t xml:space="preserve">  ↳ aadeploytargeting_8c0_AA</t>
        </is>
      </c>
      <c r="C375" s="7" t="inlineStr">
        <is>
          <t>Armament@BOTAA</t>
        </is>
      </c>
      <c r="L375" s="6" t="n"/>
      <c r="M375" s="6" t="n">
        <v>50</v>
      </c>
      <c r="N375" s="6" t="n">
        <v>1</v>
      </c>
      <c r="O375" s="6" t="n"/>
      <c r="P375" s="6" t="n">
        <v>8000</v>
      </c>
      <c r="Q375" s="6" t="n">
        <v>1</v>
      </c>
      <c r="R375">
        <f>M375+IF(N375&gt;1,N(O375)*(N375-1),0)</f>
        <v/>
      </c>
      <c r="S375">
        <f>IFERROR(L375*MAX(N375,1)/R375*IF(ISBLANK(K370),1,K370),0)</f>
        <v/>
      </c>
      <c r="AB375" s="7" t="inlineStr">
        <is>
          <t>^AADeployTargeting</t>
        </is>
      </c>
    </row>
    <row r="376">
      <c r="B376" s="7" t="inlineStr">
        <is>
          <t xml:space="preserve">  ↳ RA2GIRocketsG</t>
        </is>
      </c>
      <c r="C376" s="7" t="inlineStr">
        <is>
          <t>Armament@DEPLOYED</t>
        </is>
      </c>
      <c r="L376" s="6" t="n">
        <v>24000</v>
      </c>
      <c r="M376" s="6" t="n">
        <v>45</v>
      </c>
      <c r="N376" s="6" t="n">
        <v>1</v>
      </c>
      <c r="O376" s="6" t="n"/>
      <c r="P376" s="6" t="n">
        <v>6567</v>
      </c>
      <c r="Q376" s="6" t="n">
        <v>0.75</v>
      </c>
      <c r="R376">
        <f>M376+IF(N376&gt;1,N(O376)*(N376-1),0)</f>
        <v/>
      </c>
      <c r="S376">
        <f>IFERROR(L376*MAX(N376,1)/R376*IF(ISBLANK(K370),1,K370),0)</f>
        <v/>
      </c>
      <c r="AB376" s="7" t="inlineStr">
        <is>
          <t>^Warhead_MissileAP_Light</t>
        </is>
      </c>
    </row>
    <row r="377">
      <c r="B377" s="7" t="inlineStr">
        <is>
          <t xml:space="preserve">  ↳ RA2GIRocketsG</t>
        </is>
      </c>
      <c r="C377" s="7" t="inlineStr">
        <is>
          <t>Armament@GARRISONED</t>
        </is>
      </c>
      <c r="L377" s="6" t="n">
        <v>24000</v>
      </c>
      <c r="M377" s="6" t="n">
        <v>45</v>
      </c>
      <c r="N377" s="6" t="n">
        <v>1</v>
      </c>
      <c r="O377" s="6" t="n"/>
      <c r="P377" s="6" t="n">
        <v>6567</v>
      </c>
      <c r="Q377" s="6" t="n">
        <v>0.75</v>
      </c>
      <c r="R377">
        <f>M377+IF(N377&gt;1,N(O377)*(N377-1),0)</f>
        <v/>
      </c>
      <c r="S377">
        <f>IFERROR(L377*MAX(N377,1)/R377*IF(ISBLANK(K370),1,K370),0)</f>
        <v/>
      </c>
      <c r="AB377" s="7" t="inlineStr">
        <is>
          <t>^Warhead_MissileAP_Light</t>
        </is>
      </c>
    </row>
    <row r="378">
      <c r="B378" s="7" t="inlineStr">
        <is>
          <t xml:space="preserve">  ↳ RA2GIRocketsG_elite</t>
        </is>
      </c>
      <c r="C378" s="7" t="inlineStr">
        <is>
          <t>Armament@DEPLOYEDELITE</t>
        </is>
      </c>
      <c r="L378" s="6" t="n">
        <v>48000</v>
      </c>
      <c r="M378" s="6" t="n">
        <v>45</v>
      </c>
      <c r="N378" s="6" t="n">
        <v>1</v>
      </c>
      <c r="O378" s="6" t="n"/>
      <c r="P378" s="6" t="n">
        <v>7567</v>
      </c>
      <c r="Q378" s="6" t="n">
        <v>0.75</v>
      </c>
      <c r="R378">
        <f>M378+IF(N378&gt;1,N(O378)*(N378-1),0)</f>
        <v/>
      </c>
      <c r="S378">
        <f>IFERROR(L378*MAX(N378,1)/R378*IF(ISBLANK(K370),1,K370),0)</f>
        <v/>
      </c>
      <c r="AB378" s="7" t="inlineStr">
        <is>
          <t>^Warhead_MissileAP_Light</t>
        </is>
      </c>
    </row>
    <row r="379">
      <c r="B379" s="7" t="inlineStr">
        <is>
          <t xml:space="preserve">  ↳ RA2GIRocketsG_elite</t>
        </is>
      </c>
      <c r="C379" s="7" t="inlineStr">
        <is>
          <t>Armament@GARRISONEDELITE</t>
        </is>
      </c>
      <c r="L379" s="6" t="n">
        <v>48000</v>
      </c>
      <c r="M379" s="6" t="n">
        <v>45</v>
      </c>
      <c r="N379" s="6" t="n">
        <v>1</v>
      </c>
      <c r="O379" s="6" t="n"/>
      <c r="P379" s="6" t="n">
        <v>7567</v>
      </c>
      <c r="Q379" s="6" t="n">
        <v>0.75</v>
      </c>
      <c r="R379">
        <f>M379+IF(N379&gt;1,N(O379)*(N379-1),0)</f>
        <v/>
      </c>
      <c r="S379">
        <f>IFERROR(L379*MAX(N379,1)/R379*IF(ISBLANK(K370),1,K370),0)</f>
        <v/>
      </c>
      <c r="AB379" s="7" t="inlineStr">
        <is>
          <t>^Warhead_MissileAP_Light</t>
        </is>
      </c>
    </row>
    <row r="380">
      <c r="A380" t="inlineStr">
        <is>
          <t>redalert2</t>
        </is>
      </c>
      <c r="B380" t="inlineStr">
        <is>
          <t>ra2_soviets_flaktrooper</t>
        </is>
      </c>
      <c r="C380" t="inlineStr">
        <is>
          <t>Flak Trooper</t>
        </is>
      </c>
      <c r="D380" s="6" t="inlineStr">
        <is>
          <t>AntiTankAntiAirInfantry</t>
        </is>
      </c>
      <c r="E380" s="6" t="n">
        <v>10000</v>
      </c>
      <c r="F380" s="6" t="n">
        <v>44</v>
      </c>
      <c r="G380" t="inlineStr">
        <is>
          <t>Flak</t>
        </is>
      </c>
      <c r="H380" s="6" t="n">
        <v>1</v>
      </c>
      <c r="I380" s="6" t="n">
        <v>0.5</v>
      </c>
      <c r="J380" s="6" t="n">
        <v>1</v>
      </c>
      <c r="K380" s="6" t="n">
        <v>0.0107</v>
      </c>
      <c r="P380">
        <f>MAX(P381,P382,P385,P386)</f>
        <v/>
      </c>
      <c r="S380">
        <f>S381+S382+S385+S386</f>
        <v/>
      </c>
      <c r="T380">
        <f>(E380/100000+F380/100+(P380/1000)*J380/5+S380/200)*200*I380*H380</f>
        <v/>
      </c>
      <c r="U380">
        <f>((E380*F380/25000)+((P380/1000)*J380*S380/2.5))*I380*H380</f>
        <v/>
      </c>
      <c r="V380">
        <f>(E380*F380*(P380/1000)*J380*S380*I380*H380)/12500000</f>
        <v/>
      </c>
      <c r="W380">
        <f>(((E380/15000)+(F380/50)+(S380/240)+((P380/6000)*J380))*200/4+(((E380/15000)*(F380/50))+(((P380/6000)*J380)*(S380/240)))*200/2+((E380/15000)*(F380/50)*((P380/6000)*J380)*(S380/240))*200)*(H380/1.0)/3</f>
        <v/>
      </c>
      <c r="X380" s="6" t="n">
        <v>416</v>
      </c>
      <c r="Y380">
        <f>IFERROR(W380-X380,"")</f>
        <v/>
      </c>
      <c r="Z380">
        <f>IFERROR(ABS(Y380)/MAX(X380,1),"")</f>
        <v/>
      </c>
      <c r="AA380">
        <f>IFERROR(ROUND(((3*X380-(((E380/15000)+(F380/50)+(S380/240))*200/4+((E380/15000)*(F380/50))*200/2)*(H380/1.0))/(200/4+((S380/240))*200/2+((E380/15000)*(F380/50)*(S380/240))*200)*(H380/1.0)*6000)/J380,-1),"")</f>
        <v/>
      </c>
    </row>
    <row r="381">
      <c r="B381" s="7" t="inlineStr">
        <is>
          <t xml:space="preserve">  ↳ RA2CRFlakGuyGun</t>
        </is>
      </c>
      <c r="C381" s="7" t="inlineStr">
        <is>
          <t>Armament@PRIMARY</t>
        </is>
      </c>
      <c r="L381" s="6" t="n">
        <v>16000</v>
      </c>
      <c r="M381" s="6" t="n">
        <v>17</v>
      </c>
      <c r="N381" s="6" t="n">
        <v>1</v>
      </c>
      <c r="O381" s="6" t="n"/>
      <c r="P381" s="6" t="n">
        <v>5627</v>
      </c>
      <c r="Q381" s="6" t="n">
        <v>1</v>
      </c>
      <c r="R381">
        <f>M381+IF(N381&gt;1,N(O381)*(N381-1),0)</f>
        <v/>
      </c>
      <c r="S381">
        <f>IFERROR(L381*MAX(N381,1)/R381*IF(ISBLANK(K380),1,K380),0)</f>
        <v/>
      </c>
      <c r="AB381" s="7" t="inlineStr">
        <is>
          <t>^Warhead_Flak_Medium</t>
        </is>
      </c>
    </row>
    <row r="382">
      <c r="B382" s="7" t="inlineStr">
        <is>
          <t xml:space="preserve">  ↳ RA2FLAKAA</t>
        </is>
      </c>
      <c r="C382" s="7" t="inlineStr">
        <is>
          <t>Armament@PRIMARYAA</t>
        </is>
      </c>
      <c r="L382" s="6" t="n">
        <v>8000</v>
      </c>
      <c r="M382" s="6" t="n">
        <v>26</v>
      </c>
      <c r="N382" s="6" t="n">
        <v>1</v>
      </c>
      <c r="O382" s="6" t="n"/>
      <c r="P382" s="6" t="n">
        <v>7834</v>
      </c>
      <c r="Q382" s="6" t="n">
        <v>1</v>
      </c>
      <c r="R382">
        <f>M382+IF(N382&gt;1,N(O382)*(N382-1),0)</f>
        <v/>
      </c>
      <c r="S382">
        <f>IFERROR(L382*MAX(N382,1)/R382*IF(ISBLANK(K380),1,K380),0)</f>
        <v/>
      </c>
      <c r="AB382" s="7" t="inlineStr">
        <is>
          <t>^Warhead_Flak_Medium</t>
        </is>
      </c>
    </row>
    <row r="383">
      <c r="B383" s="7" t="inlineStr">
        <is>
          <t xml:space="preserve">  ↳ RA2CRFlakGuyGun</t>
        </is>
      </c>
      <c r="C383" s="7" t="inlineStr">
        <is>
          <t>Armament@GARRISONED</t>
        </is>
      </c>
      <c r="L383" s="6" t="n">
        <v>16000</v>
      </c>
      <c r="M383" s="6" t="n">
        <v>17</v>
      </c>
      <c r="N383" s="6" t="n">
        <v>1</v>
      </c>
      <c r="O383" s="6" t="n"/>
      <c r="P383" s="6" t="n">
        <v>5627</v>
      </c>
      <c r="Q383" s="6" t="n">
        <v>1</v>
      </c>
      <c r="R383">
        <f>M383+IF(N383&gt;1,N(O383)*(N383-1),0)</f>
        <v/>
      </c>
      <c r="S383">
        <f>IFERROR(L383*MAX(N383,1)/R383*IF(ISBLANK(K380),1,K380),0)</f>
        <v/>
      </c>
      <c r="AB383" s="7" t="inlineStr">
        <is>
          <t>^Warhead_Flak_Medium</t>
        </is>
      </c>
    </row>
    <row r="384">
      <c r="B384" s="7" t="inlineStr">
        <is>
          <t xml:space="preserve">  ↳ RA2FLAKAA</t>
        </is>
      </c>
      <c r="C384" s="7" t="inlineStr">
        <is>
          <t>Armament@GARRISONEDAA</t>
        </is>
      </c>
      <c r="L384" s="6" t="n">
        <v>8000</v>
      </c>
      <c r="M384" s="6" t="n">
        <v>26</v>
      </c>
      <c r="N384" s="6" t="n">
        <v>1</v>
      </c>
      <c r="O384" s="6" t="n"/>
      <c r="P384" s="6" t="n">
        <v>7834</v>
      </c>
      <c r="Q384" s="6" t="n">
        <v>1</v>
      </c>
      <c r="R384">
        <f>M384+IF(N384&gt;1,N(O384)*(N384-1),0)</f>
        <v/>
      </c>
      <c r="S384">
        <f>IFERROR(L384*MAX(N384,1)/R384*IF(ISBLANK(K380),1,K380),0)</f>
        <v/>
      </c>
      <c r="AB384" s="7" t="inlineStr">
        <is>
          <t>^Warhead_Flak_Medium</t>
        </is>
      </c>
    </row>
    <row r="385">
      <c r="B385" s="7" t="inlineStr">
        <is>
          <t xml:space="preserve">  ↳ RA2CRFlakGuyGun_elite</t>
        </is>
      </c>
      <c r="C385" s="7" t="inlineStr">
        <is>
          <t>Armament@PRIMARYE</t>
        </is>
      </c>
      <c r="L385" s="6" t="n">
        <v>16000</v>
      </c>
      <c r="M385" s="6" t="n">
        <v>17</v>
      </c>
      <c r="N385" s="6" t="n">
        <v>2</v>
      </c>
      <c r="O385" s="6" t="n">
        <v>3</v>
      </c>
      <c r="P385" s="6" t="n">
        <v>5900</v>
      </c>
      <c r="Q385" s="6" t="n">
        <v>1</v>
      </c>
      <c r="R385">
        <f>M385+IF(N385&gt;1,N(O385)*(N385-1),0)</f>
        <v/>
      </c>
      <c r="S385">
        <f>IFERROR(L385*MAX(N385,1)/R385*IF(ISBLANK(K380),1,K380),0)</f>
        <v/>
      </c>
      <c r="AB385" s="7" t="inlineStr">
        <is>
          <t>^Warhead_Flak_Medium</t>
        </is>
      </c>
    </row>
    <row r="386">
      <c r="B386" s="7" t="inlineStr">
        <is>
          <t xml:space="preserve">  ↳ RA2FLAKAA_elite</t>
        </is>
      </c>
      <c r="C386" s="7" t="inlineStr">
        <is>
          <t>Armament@PRIMARYAAE</t>
        </is>
      </c>
      <c r="L386" s="6" t="n">
        <v>8000</v>
      </c>
      <c r="M386" s="6" t="n">
        <v>26</v>
      </c>
      <c r="N386" s="6" t="n">
        <v>2</v>
      </c>
      <c r="O386" s="6" t="n">
        <v>3</v>
      </c>
      <c r="P386" s="6" t="n">
        <v>8834</v>
      </c>
      <c r="Q386" s="6" t="n">
        <v>1</v>
      </c>
      <c r="R386">
        <f>M386+IF(N386&gt;1,N(O386)*(N386-1),0)</f>
        <v/>
      </c>
      <c r="S386">
        <f>IFERROR(L386*MAX(N386,1)/R386*IF(ISBLANK(K380),1,K380),0)</f>
        <v/>
      </c>
      <c r="AB386" s="7" t="inlineStr">
        <is>
          <t>^Warhead_Flak_Medium</t>
        </is>
      </c>
    </row>
    <row r="387">
      <c r="B387" s="7" t="inlineStr">
        <is>
          <t xml:space="preserve">  ↳ RA2CRFlakGuyGun_elite</t>
        </is>
      </c>
      <c r="C387" s="7" t="inlineStr">
        <is>
          <t>Armament@GARRISONEDE</t>
        </is>
      </c>
      <c r="L387" s="6" t="n">
        <v>16000</v>
      </c>
      <c r="M387" s="6" t="n">
        <v>17</v>
      </c>
      <c r="N387" s="6" t="n">
        <v>2</v>
      </c>
      <c r="O387" s="6" t="n">
        <v>3</v>
      </c>
      <c r="P387" s="6" t="n">
        <v>5900</v>
      </c>
      <c r="Q387" s="6" t="n">
        <v>1</v>
      </c>
      <c r="R387">
        <f>M387+IF(N387&gt;1,N(O387)*(N387-1),0)</f>
        <v/>
      </c>
      <c r="S387">
        <f>IFERROR(L387*MAX(N387,1)/R387*IF(ISBLANK(K380),1,K380),0)</f>
        <v/>
      </c>
      <c r="AB387" s="7" t="inlineStr">
        <is>
          <t>^Warhead_Flak_Medium</t>
        </is>
      </c>
    </row>
    <row r="388">
      <c r="B388" s="7" t="inlineStr">
        <is>
          <t xml:space="preserve">  ↳ RA2FLAKAA_elite</t>
        </is>
      </c>
      <c r="C388" s="7" t="inlineStr">
        <is>
          <t>Armament@GARRISONEDAAE</t>
        </is>
      </c>
      <c r="L388" s="6" t="n">
        <v>8000</v>
      </c>
      <c r="M388" s="6" t="n">
        <v>26</v>
      </c>
      <c r="N388" s="6" t="n">
        <v>2</v>
      </c>
      <c r="O388" s="6" t="n">
        <v>3</v>
      </c>
      <c r="P388" s="6" t="n">
        <v>8834</v>
      </c>
      <c r="Q388" s="6" t="n">
        <v>1</v>
      </c>
      <c r="R388">
        <f>M388+IF(N388&gt;1,N(O388)*(N388-1),0)</f>
        <v/>
      </c>
      <c r="S388">
        <f>IFERROR(L388*MAX(N388,1)/R388*IF(ISBLANK(K380),1,K380),0)</f>
        <v/>
      </c>
      <c r="AB388" s="7" t="inlineStr">
        <is>
          <t>^Warhead_Flak_Medium</t>
        </is>
      </c>
    </row>
    <row r="389">
      <c r="A389" t="inlineStr">
        <is>
          <t>redalert2</t>
        </is>
      </c>
      <c r="B389" t="inlineStr">
        <is>
          <t>yuri_gatlingtrooper</t>
        </is>
      </c>
      <c r="C389" t="inlineStr">
        <is>
          <t>Gatling Trooper</t>
        </is>
      </c>
      <c r="D389" s="6" t="inlineStr">
        <is>
          <t>AntiTankAntiAirInfantry</t>
        </is>
      </c>
      <c r="E389" s="6" t="n">
        <v>36000</v>
      </c>
      <c r="F389" s="6" t="n">
        <v>45</v>
      </c>
      <c r="G389" t="inlineStr">
        <is>
          <t>Flak</t>
        </is>
      </c>
      <c r="H389" s="6" t="n">
        <v>0.75</v>
      </c>
      <c r="I389" s="6" t="n">
        <v>0.8</v>
      </c>
      <c r="J389" s="6" t="n">
        <v>1.25</v>
      </c>
      <c r="K389" s="6" t="n">
        <v>0.0108</v>
      </c>
      <c r="P389">
        <f>MAX(P390)</f>
        <v/>
      </c>
      <c r="S389">
        <f>S390</f>
        <v/>
      </c>
      <c r="T389">
        <f>(E389/100000+F389/100+(P389/1000)*J389/5+S389/200)*200*I389*H389</f>
        <v/>
      </c>
      <c r="U389">
        <f>((E389*F389/25000)+((P389/1000)*J389*S389/2.5))*I389*H389</f>
        <v/>
      </c>
      <c r="V389">
        <f>(E389*F389*(P389/1000)*J389*S389*I389*H389)/12500000</f>
        <v/>
      </c>
      <c r="W389">
        <f>(((E389/15000)+(F389/50)+(S389/240)+((P389/6000)*J389))*200/4+(((E389/15000)*(F389/50))+(((P389/6000)*J389)*(S389/240)))*200/2+((E389/15000)*(F389/50)*((P389/6000)*J389)*(S389/240))*200)*(H389/1.0)/3</f>
        <v/>
      </c>
      <c r="X389" s="6" t="n">
        <v>431</v>
      </c>
      <c r="Y389">
        <f>IFERROR(W389-X389,"")</f>
        <v/>
      </c>
      <c r="Z389">
        <f>IFERROR(ABS(Y389)/MAX(X389,1),"")</f>
        <v/>
      </c>
      <c r="AA389">
        <f>IFERROR(ROUND(((3*X389-(((E389/15000)+(F389/50)+(S389/240))*200/4+((E389/15000)*(F389/50))*200/2)*(H389/1.0))/(200/4+((S389/240))*200/2+((E389/15000)*(F389/50)*(S389/240))*200)*(H389/1.0)*6000)/J389,-1),"")</f>
        <v/>
      </c>
    </row>
    <row r="390">
      <c r="B390" s="7" t="inlineStr">
        <is>
          <t xml:space="preserve">  ↳ RA2GattlingInf</t>
        </is>
      </c>
      <c r="C390" s="7" t="inlineStr">
        <is>
          <t>Armament@PRIMARY</t>
        </is>
      </c>
      <c r="L390" s="6" t="n">
        <v>16000</v>
      </c>
      <c r="M390" s="6" t="n">
        <v>15</v>
      </c>
      <c r="N390" s="6" t="n">
        <v>1</v>
      </c>
      <c r="O390" s="6" t="n"/>
      <c r="P390" s="6" t="n">
        <v>5531</v>
      </c>
      <c r="Q390" s="6" t="n">
        <v>0.875</v>
      </c>
      <c r="R390">
        <f>M390+IF(N390&gt;1,N(O390)*(N390-1),0)</f>
        <v/>
      </c>
      <c r="S390">
        <f>IFERROR(L390*MAX(N390,1)/R390*IF(ISBLANK(K389),1,K389),0)</f>
        <v/>
      </c>
      <c r="AB390" s="7" t="inlineStr">
        <is>
          <t>^Warhead_Bullet_Light, ^Warhead_Bullet_Medium</t>
        </is>
      </c>
    </row>
    <row r="391">
      <c r="B391" s="7" t="inlineStr">
        <is>
          <t xml:space="preserve">  ↳ RA2GattlingInf</t>
        </is>
      </c>
      <c r="C391" s="7" t="inlineStr">
        <is>
          <t>Armament@GARRISONED</t>
        </is>
      </c>
      <c r="L391" s="6" t="n">
        <v>16000</v>
      </c>
      <c r="M391" s="6" t="n">
        <v>15</v>
      </c>
      <c r="N391" s="6" t="n">
        <v>1</v>
      </c>
      <c r="O391" s="6" t="n"/>
      <c r="P391" s="6" t="n">
        <v>5531</v>
      </c>
      <c r="Q391" s="6" t="n">
        <v>0.875</v>
      </c>
      <c r="R391">
        <f>M391+IF(N391&gt;1,N(O391)*(N391-1),0)</f>
        <v/>
      </c>
      <c r="S391">
        <f>IFERROR(L391*MAX(N391,1)/R391*IF(ISBLANK(K389),1,K389),0)</f>
        <v/>
      </c>
      <c r="AB391" s="7" t="inlineStr">
        <is>
          <t>^Warhead_Bullet_Light, ^Warhead_Bullet_Medium</t>
        </is>
      </c>
    </row>
    <row r="392">
      <c r="A392" t="inlineStr">
        <is>
          <t>redalert2</t>
        </is>
      </c>
      <c r="B392" t="inlineStr">
        <is>
          <t>yuri_initiate</t>
        </is>
      </c>
      <c r="C392" t="inlineStr">
        <is>
          <t>Yuri Initiate</t>
        </is>
      </c>
      <c r="D392" s="6" t="inlineStr">
        <is>
          <t>AntiTankAntiAirInfantry</t>
        </is>
      </c>
      <c r="E392" s="6" t="n">
        <v>24000</v>
      </c>
      <c r="F392" s="6" t="n">
        <v>66</v>
      </c>
      <c r="G392" t="inlineStr">
        <is>
          <t>Flak</t>
        </is>
      </c>
      <c r="H392" s="6" t="n">
        <v>1</v>
      </c>
      <c r="I392" s="6" t="n">
        <v>0.5</v>
      </c>
      <c r="J392" s="6" t="n">
        <v>1</v>
      </c>
      <c r="K392" s="6" t="n">
        <v>0.005</v>
      </c>
      <c r="P392">
        <f>MAX(P393,P395)</f>
        <v/>
      </c>
      <c r="S392">
        <f>S393+S395</f>
        <v/>
      </c>
      <c r="T392">
        <f>(E392/100000+F392/100+(P392/1000)*J392/5+S392/200)*200*I392*H392</f>
        <v/>
      </c>
      <c r="U392">
        <f>((E392*F392/25000)+((P392/1000)*J392*S392/2.5))*I392*H392</f>
        <v/>
      </c>
      <c r="V392">
        <f>(E392*F392*(P392/1000)*J392*S392*I392*H392)/12500000</f>
        <v/>
      </c>
      <c r="W392">
        <f>(T392+U392+V392)/3</f>
        <v/>
      </c>
      <c r="X392" s="6" t="n">
        <v>200</v>
      </c>
      <c r="Y392">
        <f>IFERROR(W392-X392,"")</f>
        <v/>
      </c>
      <c r="Z392">
        <f>IFERROR(ABS(Y392)/MAX(X392,1),"")</f>
        <v/>
      </c>
      <c r="AA392">
        <f>IFERROR((X392-(((E392/100000+F392/100+S392/200)*200*I392*H392)+((E392*F392/25000)*I392*H392))/3)/(((J392/5)*200*I392*H392)+((J392*S392/2.5)*I392*H392)+((E392*F392*J392*S392*I392*H392)/12500000))/3*1000,"")</f>
        <v/>
      </c>
    </row>
    <row r="393">
      <c r="B393" s="7" t="inlineStr">
        <is>
          <t xml:space="preserve">  ↳ RA2PsychicJab</t>
        </is>
      </c>
      <c r="C393" s="7" t="inlineStr">
        <is>
          <t>Armament@PRIMARY</t>
        </is>
      </c>
      <c r="L393" s="6" t="n">
        <v>8000</v>
      </c>
      <c r="M393" s="6" t="n">
        <v>15</v>
      </c>
      <c r="N393" s="6" t="n">
        <v>1</v>
      </c>
      <c r="O393" s="6" t="n"/>
      <c r="P393" s="6" t="n">
        <v>4440</v>
      </c>
      <c r="Q393" s="6" t="n">
        <v>1</v>
      </c>
      <c r="R393">
        <f>M393+IF(N393&gt;1,N(O393)*(N393-1),0)</f>
        <v/>
      </c>
      <c r="S393">
        <f>IFERROR(L393*MAX(N393,1)/R393*IF(ISBLANK(K392),1,K392),0)</f>
        <v/>
      </c>
      <c r="AB393" s="7" t="inlineStr">
        <is>
          <t>^Warhead_CannonHE_Medium</t>
        </is>
      </c>
    </row>
    <row r="394">
      <c r="B394" s="7" t="inlineStr">
        <is>
          <t xml:space="preserve">  ↳ RA2PsychicJab</t>
        </is>
      </c>
      <c r="C394" s="7" t="inlineStr">
        <is>
          <t>Armament@GARRISONED</t>
        </is>
      </c>
      <c r="L394" s="6" t="n">
        <v>8000</v>
      </c>
      <c r="M394" s="6" t="n">
        <v>15</v>
      </c>
      <c r="N394" s="6" t="n">
        <v>1</v>
      </c>
      <c r="O394" s="6" t="n"/>
      <c r="P394" s="6" t="n">
        <v>4440</v>
      </c>
      <c r="Q394" s="6" t="n">
        <v>1</v>
      </c>
      <c r="R394">
        <f>M394+IF(N394&gt;1,N(O394)*(N394-1),0)</f>
        <v/>
      </c>
      <c r="S394">
        <f>IFERROR(L394*MAX(N394,1)/R394*IF(ISBLANK(K392),1,K392),0)</f>
        <v/>
      </c>
      <c r="AB394" s="7" t="inlineStr">
        <is>
          <t>^Warhead_CannonHE_Medium</t>
        </is>
      </c>
    </row>
    <row r="395">
      <c r="B395" s="7" t="inlineStr">
        <is>
          <t xml:space="preserve">  ↳ RA2PsychicJab_elite</t>
        </is>
      </c>
      <c r="C395" s="7" t="inlineStr">
        <is>
          <t>Armament@PRIMARYELITE</t>
        </is>
      </c>
      <c r="L395" s="6" t="n">
        <v>8000</v>
      </c>
      <c r="M395" s="6" t="n">
        <v>15</v>
      </c>
      <c r="N395" s="6" t="n">
        <v>2</v>
      </c>
      <c r="O395" s="6" t="n">
        <v>3</v>
      </c>
      <c r="P395" s="6" t="n">
        <v>5440</v>
      </c>
      <c r="Q395" s="6" t="n">
        <v>1</v>
      </c>
      <c r="R395">
        <f>M395+IF(N395&gt;1,N(O395)*(N395-1),0)</f>
        <v/>
      </c>
      <c r="S395">
        <f>IFERROR(L395*MAX(N395,1)/R395*IF(ISBLANK(K392),1,K392),0)</f>
        <v/>
      </c>
      <c r="AB395" s="7" t="inlineStr">
        <is>
          <t>^Warhead_CannonHE_Medium</t>
        </is>
      </c>
    </row>
    <row r="396">
      <c r="B396" s="7" t="inlineStr">
        <is>
          <t xml:space="preserve">  ↳ RA2PsychicJab_elite</t>
        </is>
      </c>
      <c r="C396" s="7" t="inlineStr">
        <is>
          <t>Armament@GARRISONEDELITE</t>
        </is>
      </c>
      <c r="L396" s="6" t="n">
        <v>8000</v>
      </c>
      <c r="M396" s="6" t="n">
        <v>15</v>
      </c>
      <c r="N396" s="6" t="n">
        <v>2</v>
      </c>
      <c r="O396" s="6" t="n">
        <v>3</v>
      </c>
      <c r="P396" s="6" t="n">
        <v>5440</v>
      </c>
      <c r="Q396" s="6" t="n">
        <v>1</v>
      </c>
      <c r="R396">
        <f>M396+IF(N396&gt;1,N(O396)*(N396-1),0)</f>
        <v/>
      </c>
      <c r="S396">
        <f>IFERROR(L396*MAX(N396,1)/R396*IF(ISBLANK(K392),1,K392),0)</f>
        <v/>
      </c>
      <c r="AB396" s="7" t="inlineStr">
        <is>
          <t>^Warhead_CannonHE_Medium</t>
        </is>
      </c>
    </row>
    <row r="397">
      <c r="A397" t="inlineStr">
        <is>
          <t>redalert2mod</t>
        </is>
      </c>
      <c r="B397" t="inlineStr">
        <is>
          <t>asianalliance_asiantankkiller</t>
        </is>
      </c>
      <c r="C397" t="inlineStr">
        <is>
          <t>Asian Tank Killer</t>
        </is>
      </c>
      <c r="D397" s="6" t="inlineStr">
        <is>
          <t>AntiTankAntiAirInfantry</t>
        </is>
      </c>
      <c r="E397" s="6" t="n">
        <v>17000</v>
      </c>
      <c r="F397" s="6" t="n">
        <v>51</v>
      </c>
      <c r="G397" t="inlineStr">
        <is>
          <t>Flak</t>
        </is>
      </c>
      <c r="H397" s="6" t="n">
        <v>1</v>
      </c>
      <c r="I397" s="6" t="n">
        <v>0.5</v>
      </c>
      <c r="J397" s="6" t="n">
        <v>1</v>
      </c>
      <c r="K397" s="6" t="n"/>
      <c r="P397">
        <f>MAX(P398,P399,P400,P401)</f>
        <v/>
      </c>
      <c r="S397">
        <f>S398+S399+S400+S401</f>
        <v/>
      </c>
      <c r="T397">
        <f>(E397/100000+F397/100+(P397/1000)*J397/5+S397/200)*200*I397*H397</f>
        <v/>
      </c>
      <c r="U397">
        <f>((E397*F397/25000)+((P397/1000)*J397*S397/2.5))*I397*H397</f>
        <v/>
      </c>
      <c r="V397">
        <f>(E397*F397*(P397/1000)*J397*S397*I397*H397)/12500000</f>
        <v/>
      </c>
      <c r="W397">
        <f>(T397+U397+V397)/3</f>
        <v/>
      </c>
      <c r="X397" s="6" t="n">
        <v>300</v>
      </c>
      <c r="Y397">
        <f>IFERROR(W397-X397,"")</f>
        <v/>
      </c>
      <c r="Z397">
        <f>IFERROR(ABS(Y397)/MAX(X397,1),"")</f>
        <v/>
      </c>
      <c r="AA397">
        <f>IFERROR((X397-(((E397/100000+F397/100+S397/200)*200*I397*H397)+((E397*F397/25000)*I397*H397))/3)/(((J397/5)*200*I397*H397)+((J397*S397/2.5)*I397*H397)+((E397*F397*J397*S397*I397*H397)/12500000))/3*1000,"")</f>
        <v/>
      </c>
    </row>
    <row r="398">
      <c r="B398" s="7" t="inlineStr">
        <is>
          <t xml:space="preserve">  ↳ AsianTankKillerRocket</t>
        </is>
      </c>
      <c r="C398" s="7" t="inlineStr">
        <is>
          <t>Armament@PRIMARY</t>
        </is>
      </c>
      <c r="L398" s="6" t="n">
        <v>34000</v>
      </c>
      <c r="M398" s="6" t="n">
        <v>75</v>
      </c>
      <c r="N398" s="6" t="n">
        <v>1</v>
      </c>
      <c r="O398" s="6" t="n"/>
      <c r="P398" s="6" t="n">
        <v>6460</v>
      </c>
      <c r="Q398" s="6" t="n">
        <v>0.75</v>
      </c>
      <c r="R398">
        <f>M398+IF(N398&gt;1,N(O398)*(N398-1),0)</f>
        <v/>
      </c>
      <c r="S398">
        <f>IFERROR(L398*MAX(N398,1)/R398*IF(ISBLANK(K397),1,K397),0)</f>
        <v/>
      </c>
      <c r="AB398" s="7" t="inlineStr">
        <is>
          <t>^Warhead_MissileAP_Light</t>
        </is>
      </c>
    </row>
    <row r="399">
      <c r="B399" s="7" t="inlineStr">
        <is>
          <t xml:space="preserve">  ↳ AsianTankKillerRocket_upgrade</t>
        </is>
      </c>
      <c r="C399" s="7" t="inlineStr">
        <is>
          <t>Armament@Upgrade</t>
        </is>
      </c>
      <c r="L399" s="6" t="n">
        <v>34000</v>
      </c>
      <c r="M399" s="6" t="n">
        <v>75</v>
      </c>
      <c r="N399" s="6" t="n">
        <v>1</v>
      </c>
      <c r="O399" s="6" t="n"/>
      <c r="P399" s="6" t="n">
        <v>6460</v>
      </c>
      <c r="Q399" s="6" t="n">
        <v>0.75</v>
      </c>
      <c r="R399">
        <f>M399+IF(N399&gt;1,N(O399)*(N399-1),0)</f>
        <v/>
      </c>
      <c r="S399">
        <f>IFERROR(L399*MAX(N399,1)/R399*IF(ISBLANK(K397),1,K397),0)</f>
        <v/>
      </c>
      <c r="AB399" s="7" t="inlineStr">
        <is>
          <t>^Warhead_MissileAP_Light</t>
        </is>
      </c>
    </row>
    <row r="400">
      <c r="B400" s="7" t="inlineStr">
        <is>
          <t xml:space="preserve">  ↳ AsianTankKillerRocket_elite</t>
        </is>
      </c>
      <c r="C400" s="7" t="inlineStr">
        <is>
          <t>Armament@PRIMARYELITE</t>
        </is>
      </c>
      <c r="L400" s="6" t="n">
        <v>68000</v>
      </c>
      <c r="M400" s="6" t="n">
        <v>75</v>
      </c>
      <c r="N400" s="6" t="n">
        <v>1</v>
      </c>
      <c r="O400" s="6" t="n"/>
      <c r="P400" s="6" t="n">
        <v>7460</v>
      </c>
      <c r="Q400" s="6" t="n">
        <v>0.75</v>
      </c>
      <c r="R400">
        <f>M400+IF(N400&gt;1,N(O400)*(N400-1),0)</f>
        <v/>
      </c>
      <c r="S400">
        <f>IFERROR(L400*MAX(N400,1)/R400*IF(ISBLANK(K397),1,K397),0)</f>
        <v/>
      </c>
      <c r="AB400" s="7" t="inlineStr">
        <is>
          <t>^Warhead_MissileAP_Light</t>
        </is>
      </c>
    </row>
    <row r="401">
      <c r="B401" s="7" t="inlineStr">
        <is>
          <t xml:space="preserve">  ↳ AsianTankKillerRocket_upgrade_elite</t>
        </is>
      </c>
      <c r="C401" s="7" t="inlineStr">
        <is>
          <t>Armament@PRIMARYELITEUpgrade</t>
        </is>
      </c>
      <c r="L401" s="6" t="n">
        <v>68000</v>
      </c>
      <c r="M401" s="6" t="n">
        <v>75</v>
      </c>
      <c r="N401" s="6" t="n">
        <v>1</v>
      </c>
      <c r="O401" s="6" t="n"/>
      <c r="P401" s="6" t="n">
        <v>7460</v>
      </c>
      <c r="Q401" s="6" t="n">
        <v>0.75</v>
      </c>
      <c r="R401">
        <f>M401+IF(N401&gt;1,N(O401)*(N401-1),0)</f>
        <v/>
      </c>
      <c r="S401">
        <f>IFERROR(L401*MAX(N401,1)/R401*IF(ISBLANK(K397),1,K397),0)</f>
        <v/>
      </c>
      <c r="AB401" s="7" t="inlineStr">
        <is>
          <t>^Warhead_MissileAP_Light</t>
        </is>
      </c>
    </row>
    <row r="402">
      <c r="B402" s="7" t="inlineStr">
        <is>
          <t xml:space="preserve">  ↳ AsianTankKillerRocket</t>
        </is>
      </c>
      <c r="C402" s="7" t="inlineStr">
        <is>
          <t>Armament@GARRISONED</t>
        </is>
      </c>
      <c r="L402" s="6" t="n">
        <v>34000</v>
      </c>
      <c r="M402" s="6" t="n">
        <v>75</v>
      </c>
      <c r="N402" s="6" t="n">
        <v>1</v>
      </c>
      <c r="O402" s="6" t="n"/>
      <c r="P402" s="6" t="n">
        <v>6460</v>
      </c>
      <c r="Q402" s="6" t="n">
        <v>0.75</v>
      </c>
      <c r="R402">
        <f>M402+IF(N402&gt;1,N(O402)*(N402-1),0)</f>
        <v/>
      </c>
      <c r="S402">
        <f>IFERROR(L402*MAX(N402,1)/R402*IF(ISBLANK(K397),1,K397),0)</f>
        <v/>
      </c>
      <c r="AB402" s="7" t="inlineStr">
        <is>
          <t>^Warhead_MissileAP_Light</t>
        </is>
      </c>
    </row>
    <row r="403">
      <c r="B403" s="7" t="inlineStr">
        <is>
          <t xml:space="preserve">  ↳ AsianTankKillerRocket_upgrade</t>
        </is>
      </c>
      <c r="C403" s="7" t="inlineStr">
        <is>
          <t>Armament@GARRISONEDUpgrade</t>
        </is>
      </c>
      <c r="L403" s="6" t="n">
        <v>34000</v>
      </c>
      <c r="M403" s="6" t="n">
        <v>75</v>
      </c>
      <c r="N403" s="6" t="n">
        <v>1</v>
      </c>
      <c r="O403" s="6" t="n"/>
      <c r="P403" s="6" t="n">
        <v>6460</v>
      </c>
      <c r="Q403" s="6" t="n">
        <v>0.75</v>
      </c>
      <c r="R403">
        <f>M403+IF(N403&gt;1,N(O403)*(N403-1),0)</f>
        <v/>
      </c>
      <c r="S403">
        <f>IFERROR(L403*MAX(N403,1)/R403*IF(ISBLANK(K397),1,K397),0)</f>
        <v/>
      </c>
      <c r="AB403" s="7" t="inlineStr">
        <is>
          <t>^Warhead_MissileAP_Light</t>
        </is>
      </c>
    </row>
    <row r="404">
      <c r="B404" s="7" t="inlineStr">
        <is>
          <t xml:space="preserve">  ↳ AsianTankKillerRocket_elite</t>
        </is>
      </c>
      <c r="C404" s="7" t="inlineStr">
        <is>
          <t>Armament@GARRISONEDELITE</t>
        </is>
      </c>
      <c r="L404" s="6" t="n">
        <v>68000</v>
      </c>
      <c r="M404" s="6" t="n">
        <v>75</v>
      </c>
      <c r="N404" s="6" t="n">
        <v>1</v>
      </c>
      <c r="O404" s="6" t="n"/>
      <c r="P404" s="6" t="n">
        <v>7460</v>
      </c>
      <c r="Q404" s="6" t="n">
        <v>0.75</v>
      </c>
      <c r="R404">
        <f>M404+IF(N404&gt;1,N(O404)*(N404-1),0)</f>
        <v/>
      </c>
      <c r="S404">
        <f>IFERROR(L404*MAX(N404,1)/R404*IF(ISBLANK(K397),1,K397),0)</f>
        <v/>
      </c>
      <c r="AB404" s="7" t="inlineStr">
        <is>
          <t>^Warhead_MissileAP_Light</t>
        </is>
      </c>
    </row>
    <row r="405">
      <c r="B405" s="7" t="inlineStr">
        <is>
          <t xml:space="preserve">  ↳ AsianTankKillerRocket_upgrade_elite</t>
        </is>
      </c>
      <c r="C405" s="7" t="inlineStr">
        <is>
          <t>Armament@GARRISONEDELITEUpgrade</t>
        </is>
      </c>
      <c r="L405" s="6" t="n">
        <v>68000</v>
      </c>
      <c r="M405" s="6" t="n">
        <v>75</v>
      </c>
      <c r="N405" s="6" t="n">
        <v>1</v>
      </c>
      <c r="O405" s="6" t="n"/>
      <c r="P405" s="6" t="n">
        <v>7460</v>
      </c>
      <c r="Q405" s="6" t="n">
        <v>0.75</v>
      </c>
      <c r="R405">
        <f>M405+IF(N405&gt;1,N(O405)*(N405-1),0)</f>
        <v/>
      </c>
      <c r="S405">
        <f>IFERROR(L405*MAX(N405,1)/R405*IF(ISBLANK(K397),1,K397),0)</f>
        <v/>
      </c>
      <c r="AB405" s="7" t="inlineStr">
        <is>
          <t>^Warhead_MissileAP_Light</t>
        </is>
      </c>
    </row>
    <row r="406">
      <c r="A406" t="inlineStr">
        <is>
          <t>redalert2mod</t>
        </is>
      </c>
      <c r="B406" t="inlineStr">
        <is>
          <t>asianalliance_veteranarcher</t>
        </is>
      </c>
      <c r="C406" t="inlineStr">
        <is>
          <t>Veteran Archer</t>
        </is>
      </c>
      <c r="D406" s="6" t="inlineStr">
        <is>
          <t>AntiTankAntiAirInfantry</t>
        </is>
      </c>
      <c r="E406" s="6" t="n">
        <v>14000</v>
      </c>
      <c r="F406" s="6" t="n">
        <v>68</v>
      </c>
      <c r="G406" t="inlineStr">
        <is>
          <t>Flak</t>
        </is>
      </c>
      <c r="H406" s="6" t="n">
        <v>1</v>
      </c>
      <c r="I406" s="6" t="n">
        <v>0.5</v>
      </c>
      <c r="J406" s="6" t="n">
        <v>1</v>
      </c>
      <c r="K406" s="6" t="n"/>
      <c r="P406">
        <f>MAX(P407,P408)</f>
        <v/>
      </c>
      <c r="S406">
        <f>S407+S408</f>
        <v/>
      </c>
      <c r="T406">
        <f>(E406/100000+F406/100+(P406/1000)*J406/5+S406/200)*200*I406*H406</f>
        <v/>
      </c>
      <c r="U406">
        <f>((E406*F406/25000)+((P406/1000)*J406*S406/2.5))*I406*H406</f>
        <v/>
      </c>
      <c r="V406">
        <f>(E406*F406*(P406/1000)*J406*S406*I406*H406)/12500000</f>
        <v/>
      </c>
      <c r="W406">
        <f>(((E406/20000)+(F406/70)+(S406/200)+((P406/7000)*J406))*500/4+(((E406/20000)*(F406/70))+(((P406/7000)*J406)*(S406/200)))*500/2+((E406/20000)*(F406/70)*((P406/7000)*J406)*(S406/200))*500)*(H406/1.0)/3</f>
        <v/>
      </c>
      <c r="X406" s="6" t="n">
        <v>450</v>
      </c>
      <c r="Y406">
        <f>IFERROR(W406-X406,"")</f>
        <v/>
      </c>
      <c r="Z406">
        <f>IFERROR(ABS(Y406)/MAX(X406,1),"")</f>
        <v/>
      </c>
      <c r="AA406">
        <f>IFERROR(ROUND(((3*X406-(((E406/20000)+(F406/70)+(S406/200))*500/4+((E406/20000)*(F406/70))*500/2)*(H406/1.0))/(500/4+((S406/200))*500/2+((E406/20000)*(F406/70)*(S406/200))*500)*(H406/1.0)*7000)/J406,-1),"")</f>
        <v/>
      </c>
    </row>
    <row r="407">
      <c r="B407" s="7" t="inlineStr">
        <is>
          <t xml:space="preserve">  ↳ AsianMaidenBow</t>
        </is>
      </c>
      <c r="C407" s="7" t="inlineStr">
        <is>
          <t>Armament@PRIMARY</t>
        </is>
      </c>
      <c r="L407" s="6" t="n">
        <v>12000</v>
      </c>
      <c r="M407" s="6" t="n">
        <v>68</v>
      </c>
      <c r="N407" s="6" t="n">
        <v>3</v>
      </c>
      <c r="O407" s="6" t="n">
        <v>0</v>
      </c>
      <c r="P407" s="6" t="n">
        <v>6740</v>
      </c>
      <c r="Q407" s="6" t="n">
        <v>1</v>
      </c>
      <c r="R407">
        <f>M407+IF(N407&gt;1,N(O407)*(N407-1),0)</f>
        <v/>
      </c>
      <c r="S407">
        <f>IFERROR(L407*MAX(N407,1)/R407*IF(ISBLANK(K406),1,K406),0)</f>
        <v/>
      </c>
      <c r="AB407" s="7" t="inlineStr">
        <is>
          <t>AsianPhotonCannon, ^Grenade, ^ArrowWeapon</t>
        </is>
      </c>
    </row>
    <row r="408">
      <c r="B408" s="7" t="inlineStr">
        <is>
          <t xml:space="preserve">  ↳ AsianMaidenBow_elite</t>
        </is>
      </c>
      <c r="C408" s="7" t="inlineStr">
        <is>
          <t>Armament@ELITE</t>
        </is>
      </c>
      <c r="L408" s="6" t="n">
        <v>12000</v>
      </c>
      <c r="M408" s="6" t="n">
        <v>68</v>
      </c>
      <c r="N408" s="6" t="n">
        <v>6</v>
      </c>
      <c r="O408" s="6" t="n">
        <v>0</v>
      </c>
      <c r="P408" s="6" t="n">
        <v>7740</v>
      </c>
      <c r="Q408" s="6" t="n">
        <v>1</v>
      </c>
      <c r="R408">
        <f>M408+IF(N408&gt;1,N(O408)*(N408-1),0)</f>
        <v/>
      </c>
      <c r="S408">
        <f>IFERROR(L408*MAX(N408,1)/R408*IF(ISBLANK(K406),1,K406),0)</f>
        <v/>
      </c>
      <c r="AB408" s="7" t="inlineStr">
        <is>
          <t>AsianMaidenBow</t>
        </is>
      </c>
    </row>
    <row r="409">
      <c r="B409" s="7" t="inlineStr">
        <is>
          <t xml:space="preserve">  ↳ AsianMaidenBow</t>
        </is>
      </c>
      <c r="C409" s="7" t="inlineStr">
        <is>
          <t>Armament@GARRISONED</t>
        </is>
      </c>
      <c r="L409" s="6" t="n">
        <v>12000</v>
      </c>
      <c r="M409" s="6" t="n">
        <v>68</v>
      </c>
      <c r="N409" s="6" t="n">
        <v>3</v>
      </c>
      <c r="O409" s="6" t="n">
        <v>0</v>
      </c>
      <c r="P409" s="6" t="n">
        <v>6740</v>
      </c>
      <c r="Q409" s="6" t="n">
        <v>1</v>
      </c>
      <c r="R409">
        <f>M409+IF(N409&gt;1,N(O409)*(N409-1),0)</f>
        <v/>
      </c>
      <c r="S409">
        <f>IFERROR(L409*MAX(N409,1)/R409*IF(ISBLANK(K406),1,K406),0)</f>
        <v/>
      </c>
      <c r="AB409" s="7" t="inlineStr">
        <is>
          <t>AsianPhotonCannon, ^Grenade, ^ArrowWeapon</t>
        </is>
      </c>
    </row>
    <row r="410">
      <c r="B410" s="7" t="inlineStr">
        <is>
          <t xml:space="preserve">  ↳ AsianMaidenBow_elite</t>
        </is>
      </c>
      <c r="C410" s="7" t="inlineStr">
        <is>
          <t>Armament@GARRISONEDELITE</t>
        </is>
      </c>
      <c r="L410" s="6" t="n">
        <v>12000</v>
      </c>
      <c r="M410" s="6" t="n">
        <v>68</v>
      </c>
      <c r="N410" s="6" t="n">
        <v>6</v>
      </c>
      <c r="O410" s="6" t="n">
        <v>0</v>
      </c>
      <c r="P410" s="6" t="n">
        <v>7740</v>
      </c>
      <c r="Q410" s="6" t="n">
        <v>1</v>
      </c>
      <c r="R410">
        <f>M410+IF(N410&gt;1,N(O410)*(N410-1),0)</f>
        <v/>
      </c>
      <c r="S410">
        <f>IFERROR(L410*MAX(N410,1)/R410*IF(ISBLANK(K406),1,K406),0)</f>
        <v/>
      </c>
      <c r="AB410" s="7" t="inlineStr">
        <is>
          <t>AsianMaidenBow</t>
        </is>
      </c>
    </row>
    <row r="411">
      <c r="A411" t="inlineStr">
        <is>
          <t>redalert2mod</t>
        </is>
      </c>
      <c r="B411" t="inlineStr">
        <is>
          <t>steelconsortium_clonetrooper</t>
        </is>
      </c>
      <c r="C411" t="inlineStr">
        <is>
          <t>Clone Trooper</t>
        </is>
      </c>
      <c r="D411" s="6" t="inlineStr">
        <is>
          <t>AntiTankAntiAirInfantry</t>
        </is>
      </c>
      <c r="E411" s="6" t="n">
        <v>17000</v>
      </c>
      <c r="F411" s="6" t="n">
        <v>57</v>
      </c>
      <c r="G411" t="inlineStr">
        <is>
          <t>Flak</t>
        </is>
      </c>
      <c r="H411" s="6" t="n">
        <v>1</v>
      </c>
      <c r="I411" s="6" t="n">
        <v>1</v>
      </c>
      <c r="J411" s="6" t="n">
        <v>1</v>
      </c>
      <c r="K411" s="6" t="n">
        <v>0.0091</v>
      </c>
      <c r="P411">
        <f>MAX(P412,P413,P416,P417)</f>
        <v/>
      </c>
      <c r="S411">
        <f>S412+S413+S416+S417</f>
        <v/>
      </c>
      <c r="T411">
        <f>(E411/100000+F411/100+(P411/1000)*J411/5+S411/200)*200*I411*H411</f>
        <v/>
      </c>
      <c r="U411">
        <f>((E411*F411/25000)+((P411/1000)*J411*S411/2.5))*I411*H411</f>
        <v/>
      </c>
      <c r="V411">
        <f>(E411*F411*(P411/1000)*J411*S411*I411*H411)/12500000</f>
        <v/>
      </c>
      <c r="W411">
        <f>(T411+U411+V411)/3</f>
        <v/>
      </c>
      <c r="X411" s="6" t="n">
        <v>143</v>
      </c>
      <c r="Y411">
        <f>IFERROR(W411-X411,"")</f>
        <v/>
      </c>
      <c r="Z411">
        <f>IFERROR(ABS(Y411)/MAX(X411,1),"")</f>
        <v/>
      </c>
      <c r="AA411">
        <f>IFERROR((X411-(((E411/100000+F411/100+S411/200)*200*I411*H411)+((E411*F411/25000)*I411*H411))/3)/(((J411/5)*200*I411*H411)+((J411*S411/2.5)*I411*H411)+((E411*F411*J411*S411*I411*H411)/12500000))/3*1000,"")</f>
        <v/>
      </c>
    </row>
    <row r="412">
      <c r="B412" s="7" t="inlineStr">
        <is>
          <t xml:space="preserve">  ↳ SteelCloneGun</t>
        </is>
      </c>
      <c r="C412" s="7" t="inlineStr">
        <is>
          <t>Armament@PRIMARY</t>
        </is>
      </c>
      <c r="L412" s="6" t="n">
        <v>6000</v>
      </c>
      <c r="M412" s="6" t="n">
        <v>25</v>
      </c>
      <c r="N412" s="6" t="n">
        <v>1</v>
      </c>
      <c r="O412" s="6" t="n"/>
      <c r="P412" s="6" t="n">
        <v>6463</v>
      </c>
      <c r="Q412" s="6" t="n">
        <v>1</v>
      </c>
      <c r="R412">
        <f>M412+IF(N412&gt;1,N(O412)*(N412-1),0)</f>
        <v/>
      </c>
      <c r="S412">
        <f>IFERROR(L412*MAX(N412,1)/R412*IF(ISBLANK(K411),1,K411),0)</f>
        <v/>
      </c>
      <c r="AB412" s="7" t="inlineStr">
        <is>
          <t>^Warhead_CannonHE_Heavy, ^Warhead_MissileAP_Medium, ^Warhead_Bullet_Light</t>
        </is>
      </c>
    </row>
    <row r="413">
      <c r="B413" s="7" t="inlineStr">
        <is>
          <t xml:space="preserve">  ↳ SteelCloneGun_elite</t>
        </is>
      </c>
      <c r="C413" s="7" t="inlineStr">
        <is>
          <t>Armament@ELITE</t>
        </is>
      </c>
      <c r="L413" s="6" t="n">
        <v>6000</v>
      </c>
      <c r="M413" s="6" t="n">
        <v>25</v>
      </c>
      <c r="N413" s="6" t="n">
        <v>2</v>
      </c>
      <c r="O413" s="6" t="n">
        <v>3</v>
      </c>
      <c r="P413" s="6" t="n">
        <v>6000</v>
      </c>
      <c r="Q413" s="6" t="n">
        <v>1</v>
      </c>
      <c r="R413">
        <f>M413+IF(N413&gt;1,N(O413)*(N413-1),0)</f>
        <v/>
      </c>
      <c r="S413">
        <f>IFERROR(L413*MAX(N413,1)/R413*IF(ISBLANK(K411),1,K411),0)</f>
        <v/>
      </c>
      <c r="AB413" s="7" t="inlineStr">
        <is>
          <t>^Warhead_CannonHE_Heavy, ^Warhead_MissileAP_Medium, ^Warhead_Bullet_Light</t>
        </is>
      </c>
    </row>
    <row r="414">
      <c r="B414" s="7" t="inlineStr">
        <is>
          <t xml:space="preserve">  ↳ SteelCloneGun</t>
        </is>
      </c>
      <c r="C414" s="7" t="inlineStr">
        <is>
          <t>Armament@GARRISONED</t>
        </is>
      </c>
      <c r="L414" s="6" t="n">
        <v>6000</v>
      </c>
      <c r="M414" s="6" t="n">
        <v>25</v>
      </c>
      <c r="N414" s="6" t="n">
        <v>1</v>
      </c>
      <c r="O414" s="6" t="n"/>
      <c r="P414" s="6" t="n">
        <v>6463</v>
      </c>
      <c r="Q414" s="6" t="n">
        <v>1</v>
      </c>
      <c r="R414">
        <f>M414+IF(N414&gt;1,N(O414)*(N414-1),0)</f>
        <v/>
      </c>
      <c r="S414">
        <f>IFERROR(L414*MAX(N414,1)/R414*IF(ISBLANK(K411),1,K411),0)</f>
        <v/>
      </c>
      <c r="AB414" s="7" t="inlineStr">
        <is>
          <t>^Warhead_CannonHE_Heavy, ^Warhead_MissileAP_Medium, ^Warhead_Bullet_Light</t>
        </is>
      </c>
    </row>
    <row r="415">
      <c r="B415" s="7" t="inlineStr">
        <is>
          <t xml:space="preserve">  ↳ SteelCloneGun_elite</t>
        </is>
      </c>
      <c r="C415" s="7" t="inlineStr">
        <is>
          <t>Armament@GARRISONEDELITE</t>
        </is>
      </c>
      <c r="L415" s="6" t="n">
        <v>6000</v>
      </c>
      <c r="M415" s="6" t="n">
        <v>25</v>
      </c>
      <c r="N415" s="6" t="n">
        <v>2</v>
      </c>
      <c r="O415" s="6" t="n">
        <v>3</v>
      </c>
      <c r="P415" s="6" t="n">
        <v>6000</v>
      </c>
      <c r="Q415" s="6" t="n">
        <v>1</v>
      </c>
      <c r="R415">
        <f>M415+IF(N415&gt;1,N(O415)*(N415-1),0)</f>
        <v/>
      </c>
      <c r="S415">
        <f>IFERROR(L415*MAX(N415,1)/R415*IF(ISBLANK(K411),1,K411),0)</f>
        <v/>
      </c>
      <c r="AB415" s="7" t="inlineStr">
        <is>
          <t>^Warhead_CannonHE_Heavy, ^Warhead_MissileAP_Medium, ^Warhead_Bullet_Light</t>
        </is>
      </c>
    </row>
    <row r="416">
      <c r="B416" s="7" t="inlineStr">
        <is>
          <t xml:space="preserve">  ↳ SteelCloneGunResonance</t>
        </is>
      </c>
      <c r="C416" s="7" t="inlineStr">
        <is>
          <t>Armament@UpgradePRIMARY</t>
        </is>
      </c>
      <c r="L416" s="6" t="n">
        <v>6000</v>
      </c>
      <c r="M416" s="6" t="n">
        <v>25</v>
      </c>
      <c r="N416" s="6" t="n">
        <v>1</v>
      </c>
      <c r="O416" s="6" t="n"/>
      <c r="P416" s="6" t="n">
        <v>6463</v>
      </c>
      <c r="Q416" s="6" t="n">
        <v>1</v>
      </c>
      <c r="R416">
        <f>M416+IF(N416&gt;1,N(O416)*(N416-1),0)</f>
        <v/>
      </c>
      <c r="S416">
        <f>IFERROR(L416*MAX(N416,1)/R416*IF(ISBLANK(K411),1,K411),0)</f>
        <v/>
      </c>
      <c r="AB416" s="7" t="inlineStr">
        <is>
          <t>^Warhead_CannonHE_Heavy, ^Warhead_MissileAP_Medium, ^Warhead_Bullet_Light</t>
        </is>
      </c>
    </row>
    <row r="417">
      <c r="B417" s="7" t="inlineStr">
        <is>
          <t xml:space="preserve">  ↳ SteelCloneGunResonance_elite</t>
        </is>
      </c>
      <c r="C417" s="7" t="inlineStr">
        <is>
          <t>Armament@UpgradeELITE</t>
        </is>
      </c>
      <c r="L417" s="6" t="n">
        <v>6000</v>
      </c>
      <c r="M417" s="6" t="n">
        <v>25</v>
      </c>
      <c r="N417" s="6" t="n">
        <v>2</v>
      </c>
      <c r="O417" s="6" t="n">
        <v>3</v>
      </c>
      <c r="P417" s="6" t="n">
        <v>6000</v>
      </c>
      <c r="Q417" s="6" t="n">
        <v>1</v>
      </c>
      <c r="R417">
        <f>M417+IF(N417&gt;1,N(O417)*(N417-1),0)</f>
        <v/>
      </c>
      <c r="S417">
        <f>IFERROR(L417*MAX(N417,1)/R417*IF(ISBLANK(K411),1,K411),0)</f>
        <v/>
      </c>
      <c r="AB417" s="7" t="inlineStr">
        <is>
          <t>^Warhead_CannonHE_Heavy, ^Warhead_MissileAP_Medium, ^Warhead_Bullet_Light</t>
        </is>
      </c>
    </row>
    <row r="418">
      <c r="B418" s="7" t="inlineStr">
        <is>
          <t xml:space="preserve">  ↳ SteelCloneGunResonance</t>
        </is>
      </c>
      <c r="C418" s="7" t="inlineStr">
        <is>
          <t>Armament@UpgradeGARRISONED</t>
        </is>
      </c>
      <c r="L418" s="6" t="n">
        <v>6000</v>
      </c>
      <c r="M418" s="6" t="n">
        <v>25</v>
      </c>
      <c r="N418" s="6" t="n">
        <v>1</v>
      </c>
      <c r="O418" s="6" t="n"/>
      <c r="P418" s="6" t="n">
        <v>6463</v>
      </c>
      <c r="Q418" s="6" t="n">
        <v>1</v>
      </c>
      <c r="R418">
        <f>M418+IF(N418&gt;1,N(O418)*(N418-1),0)</f>
        <v/>
      </c>
      <c r="S418">
        <f>IFERROR(L418*MAX(N418,1)/R418*IF(ISBLANK(K411),1,K411),0)</f>
        <v/>
      </c>
      <c r="AB418" s="7" t="inlineStr">
        <is>
          <t>^Warhead_CannonHE_Heavy, ^Warhead_MissileAP_Medium, ^Warhead_Bullet_Light</t>
        </is>
      </c>
    </row>
    <row r="419">
      <c r="B419" s="7" t="inlineStr">
        <is>
          <t xml:space="preserve">  ↳ SteelCloneGunResonance_elite</t>
        </is>
      </c>
      <c r="C419" s="7" t="inlineStr">
        <is>
          <t>Armament@UpgradeGARRISONEDELITE</t>
        </is>
      </c>
      <c r="L419" s="6" t="n">
        <v>6000</v>
      </c>
      <c r="M419" s="6" t="n">
        <v>25</v>
      </c>
      <c r="N419" s="6" t="n">
        <v>2</v>
      </c>
      <c r="O419" s="6" t="n">
        <v>3</v>
      </c>
      <c r="P419" s="6" t="n">
        <v>6000</v>
      </c>
      <c r="Q419" s="6" t="n">
        <v>1</v>
      </c>
      <c r="R419">
        <f>M419+IF(N419&gt;1,N(O419)*(N419-1),0)</f>
        <v/>
      </c>
      <c r="S419">
        <f>IFERROR(L419*MAX(N419,1)/R419*IF(ISBLANK(K411),1,K411),0)</f>
        <v/>
      </c>
      <c r="AB419" s="7" t="inlineStr">
        <is>
          <t>^Warhead_CannonHE_Heavy, ^Warhead_MissileAP_Medium, ^Warhead_Bullet_Light</t>
        </is>
      </c>
    </row>
    <row r="420">
      <c r="A420" t="inlineStr">
        <is>
          <t>redalert2mod</t>
        </is>
      </c>
      <c r="B420" t="inlineStr">
        <is>
          <t>latinsyndicate_tankkiller</t>
        </is>
      </c>
      <c r="C420" t="inlineStr">
        <is>
          <t>Latin Tank Killer</t>
        </is>
      </c>
      <c r="D420" s="6" t="inlineStr">
        <is>
          <t>AntiTankAntiAirInfantry</t>
        </is>
      </c>
      <c r="E420" s="6" t="n">
        <v>13000</v>
      </c>
      <c r="F420" s="6" t="n">
        <v>53</v>
      </c>
      <c r="G420" t="inlineStr">
        <is>
          <t>Flak</t>
        </is>
      </c>
      <c r="H420" s="6" t="n">
        <v>1</v>
      </c>
      <c r="I420" s="6" t="n">
        <v>1</v>
      </c>
      <c r="J420" s="6" t="n">
        <v>1</v>
      </c>
      <c r="K420" s="6" t="n"/>
      <c r="P420">
        <f>MAX(P421,P423)</f>
        <v/>
      </c>
      <c r="S420">
        <f>S421+S423</f>
        <v/>
      </c>
      <c r="T420">
        <f>(E420/100000+F420/100+(P420/1000)*J420/5+S420/200)*200*I420*H420</f>
        <v/>
      </c>
      <c r="U420">
        <f>((E420*F420/25000)+((P420/1000)*J420*S420/2.5))*I420*H420</f>
        <v/>
      </c>
      <c r="V420">
        <f>(E420*F420*(P420/1000)*J420*S420*I420*H420)/12500000</f>
        <v/>
      </c>
      <c r="W420">
        <f>(T420+U420+V420)/3</f>
        <v/>
      </c>
      <c r="X420" s="6" t="n">
        <v>270</v>
      </c>
      <c r="Y420">
        <f>IFERROR(W420-X420,"")</f>
        <v/>
      </c>
      <c r="Z420">
        <f>IFERROR(ABS(Y420)/MAX(X420,1),"")</f>
        <v/>
      </c>
      <c r="AA420">
        <f>IFERROR((X420-(((E420/100000+F420/100+S420/200)*200*I420*H420)+((E420*F420/25000)*I420*H420))/3)/(((J420/5)*200*I420*H420)+((J420*S420/2.5)*I420*H420)+((E420*F420*J420*S420*I420*H420)/12500000))/3*1000,"")</f>
        <v/>
      </c>
    </row>
    <row r="421">
      <c r="B421" s="7" t="inlineStr">
        <is>
          <t xml:space="preserve">  ↳ LatinTankKillerRocket</t>
        </is>
      </c>
      <c r="C421" s="7" t="inlineStr">
        <is>
          <t>Armament@PRIMARY</t>
        </is>
      </c>
      <c r="L421" s="6" t="n">
        <v>26000</v>
      </c>
      <c r="M421" s="6" t="n">
        <v>66</v>
      </c>
      <c r="N421" s="6" t="n">
        <v>1</v>
      </c>
      <c r="O421" s="6" t="n"/>
      <c r="P421" s="6" t="n">
        <v>6666</v>
      </c>
      <c r="Q421" s="6" t="n">
        <v>0.75</v>
      </c>
      <c r="R421">
        <f>M421+IF(N421&gt;1,N(O421)*(N421-1),0)</f>
        <v/>
      </c>
      <c r="S421">
        <f>IFERROR(L421*MAX(N421,1)/R421*IF(ISBLANK(K420),1,K420),0)</f>
        <v/>
      </c>
      <c r="AB421" s="7" t="inlineStr">
        <is>
          <t>^Warhead_MissileAP_Light</t>
        </is>
      </c>
    </row>
    <row r="422">
      <c r="B422" s="7" t="inlineStr">
        <is>
          <t xml:space="preserve">  ↳ LatinTankKillerRocket</t>
        </is>
      </c>
      <c r="C422" s="7" t="inlineStr">
        <is>
          <t>Armament@GARRISONED</t>
        </is>
      </c>
      <c r="L422" s="6" t="n">
        <v>26000</v>
      </c>
      <c r="M422" s="6" t="n">
        <v>66</v>
      </c>
      <c r="N422" s="6" t="n">
        <v>1</v>
      </c>
      <c r="O422" s="6" t="n"/>
      <c r="P422" s="6" t="n">
        <v>6666</v>
      </c>
      <c r="Q422" s="6" t="n">
        <v>0.75</v>
      </c>
      <c r="R422">
        <f>M422+IF(N422&gt;1,N(O422)*(N422-1),0)</f>
        <v/>
      </c>
      <c r="S422">
        <f>IFERROR(L422*MAX(N422,1)/R422*IF(ISBLANK(K420),1,K420),0)</f>
        <v/>
      </c>
      <c r="AB422" s="7" t="inlineStr">
        <is>
          <t>^Warhead_MissileAP_Light</t>
        </is>
      </c>
    </row>
    <row r="423">
      <c r="B423" s="7" t="inlineStr">
        <is>
          <t xml:space="preserve">  ↳ LatinTankKillerRocket_elite</t>
        </is>
      </c>
      <c r="C423" s="7" t="inlineStr">
        <is>
          <t>Armament@PRIMARYE</t>
        </is>
      </c>
      <c r="L423" s="6" t="n">
        <v>52000</v>
      </c>
      <c r="M423" s="6" t="n">
        <v>66</v>
      </c>
      <c r="N423" s="6" t="n">
        <v>1</v>
      </c>
      <c r="O423" s="6" t="n"/>
      <c r="P423" s="6" t="n">
        <v>7777</v>
      </c>
      <c r="Q423" s="6" t="n">
        <v>0.75</v>
      </c>
      <c r="R423">
        <f>M423+IF(N423&gt;1,N(O423)*(N423-1),0)</f>
        <v/>
      </c>
      <c r="S423">
        <f>IFERROR(L423*MAX(N423,1)/R423*IF(ISBLANK(K420),1,K420),0)</f>
        <v/>
      </c>
      <c r="AB423" s="7" t="inlineStr">
        <is>
          <t>^Warhead_MissileAP_Light</t>
        </is>
      </c>
    </row>
    <row r="424">
      <c r="B424" s="7" t="inlineStr">
        <is>
          <t xml:space="preserve">  ↳ LatinTankKillerRocket_elite</t>
        </is>
      </c>
      <c r="C424" s="7" t="inlineStr">
        <is>
          <t>Armament@GARRISONEDE</t>
        </is>
      </c>
      <c r="L424" s="6" t="n">
        <v>52000</v>
      </c>
      <c r="M424" s="6" t="n">
        <v>66</v>
      </c>
      <c r="N424" s="6" t="n">
        <v>1</v>
      </c>
      <c r="O424" s="6" t="n"/>
      <c r="P424" s="6" t="n">
        <v>7777</v>
      </c>
      <c r="Q424" s="6" t="n">
        <v>0.75</v>
      </c>
      <c r="R424">
        <f>M424+IF(N424&gt;1,N(O424)*(N424-1),0)</f>
        <v/>
      </c>
      <c r="S424">
        <f>IFERROR(L424*MAX(N424,1)/R424*IF(ISBLANK(K420),1,K420),0)</f>
        <v/>
      </c>
      <c r="AB424" s="7" t="inlineStr">
        <is>
          <t>^Warhead_MissileAP_Light</t>
        </is>
      </c>
    </row>
    <row r="425">
      <c r="A425" t="inlineStr">
        <is>
          <t>redalert2mod</t>
        </is>
      </c>
      <c r="B425" t="inlineStr">
        <is>
          <t>naxis_portableflak</t>
        </is>
      </c>
      <c r="C425" t="inlineStr">
        <is>
          <t>Portable Flak</t>
        </is>
      </c>
      <c r="D425" s="6" t="inlineStr">
        <is>
          <t>AntiTankAntiAirInfantry</t>
        </is>
      </c>
      <c r="E425" s="6" t="n">
        <v>12000</v>
      </c>
      <c r="F425" s="6" t="n">
        <v>55</v>
      </c>
      <c r="G425" t="inlineStr">
        <is>
          <t>Flak</t>
        </is>
      </c>
      <c r="H425" s="6" t="n">
        <v>1</v>
      </c>
      <c r="I425" s="6" t="n">
        <v>0.5</v>
      </c>
      <c r="J425" s="6" t="n">
        <v>1</v>
      </c>
      <c r="K425" s="6" t="n"/>
      <c r="P425">
        <f>MAX(P427,P428)</f>
        <v/>
      </c>
      <c r="S425">
        <f>S427+S428</f>
        <v/>
      </c>
      <c r="T425">
        <f>(E425/100000+F425/100+(P425/1000)*J425/5+S425/200)*200*I425*H425</f>
        <v/>
      </c>
      <c r="U425">
        <f>((E425*F425/25000)+((P425/1000)*J425*S425/2.5))*I425*H425</f>
        <v/>
      </c>
      <c r="V425">
        <f>(E425*F425*(P425/1000)*J425*S425*I425*H425)/12500000</f>
        <v/>
      </c>
      <c r="W425">
        <f>(((E425/5000)+(F425/50)+(S425/0)+((P425/0)*J425))*500/4+(((E425/5000)*(F425/50))+(((P425/0)*J425)*(S425/0)))*500/2+((E425/5000)*(F425/50)*((P425/0)*J425)*(S425/0))*500)*(H425/1.0)/3</f>
        <v/>
      </c>
      <c r="X425" s="6" t="n">
        <v>400</v>
      </c>
      <c r="Y425">
        <f>IFERROR(W425-X425,"")</f>
        <v/>
      </c>
      <c r="Z425">
        <f>IFERROR(ABS(Y425)/MAX(X425,1),"")</f>
        <v/>
      </c>
      <c r="AA425">
        <f>IFERROR(ROUND(((3*X425-(((E425/5000)+(F425/50)+(S425/0))*500/4+((E425/5000)*(F425/50))*500/2)*(H425/1.0))/(500/4+((S425/0))*500/2+((E425/5000)*(F425/50)*(S425/0))*500)*(H425/1.0)*0)/J425,-1),"")</f>
        <v/>
      </c>
    </row>
    <row r="426">
      <c r="B426" s="7" t="inlineStr">
        <is>
          <t xml:space="preserve">  ↳ NaxQuadCannonTargeting</t>
        </is>
      </c>
      <c r="C426" s="7" t="inlineStr">
        <is>
          <t>Armament@Dummy</t>
        </is>
      </c>
      <c r="L426" s="6" t="n"/>
      <c r="M426" s="6" t="n">
        <v>50</v>
      </c>
      <c r="N426" s="6" t="n">
        <v>1</v>
      </c>
      <c r="O426" s="6" t="n"/>
      <c r="P426" s="6" t="n">
        <v>8888</v>
      </c>
      <c r="Q426" s="6" t="n">
        <v>1</v>
      </c>
      <c r="R426">
        <f>M426+IF(N426&gt;1,N(O426)*(N426-1),0)</f>
        <v/>
      </c>
      <c r="S426">
        <f>IFERROR(L426*MAX(N426,1)/R426*IF(ISBLANK(K425),1,K425),0)</f>
        <v/>
      </c>
      <c r="AB426" s="7" t="inlineStr">
        <is>
          <t>^AADeployTargeting</t>
        </is>
      </c>
    </row>
    <row r="427">
      <c r="B427" s="7" t="inlineStr">
        <is>
          <t xml:space="preserve">  ↳ PortableFlak</t>
        </is>
      </c>
      <c r="C427" s="7" t="inlineStr">
        <is>
          <t>Armament@Deployed</t>
        </is>
      </c>
      <c r="L427" s="6" t="n">
        <v>7000</v>
      </c>
      <c r="M427" s="6" t="n">
        <v>47</v>
      </c>
      <c r="N427" s="6" t="n">
        <v>6</v>
      </c>
      <c r="O427" s="6" t="n">
        <v>4</v>
      </c>
      <c r="P427" s="6" t="n">
        <v>8888</v>
      </c>
      <c r="Q427" s="6" t="n">
        <v>1</v>
      </c>
      <c r="R427">
        <f>M427+IF(N427&gt;1,N(O427)*(N427-1),0)</f>
        <v/>
      </c>
      <c r="S427">
        <f>IFERROR(L427*MAX(N427,1)/R427*IF(ISBLANK(K425),1,K425),0)</f>
        <v/>
      </c>
      <c r="AB427" s="7" t="inlineStr">
        <is>
          <t>^Warhead_Flak_Medium</t>
        </is>
      </c>
    </row>
    <row r="428">
      <c r="B428" s="7" t="inlineStr">
        <is>
          <t xml:space="preserve">  ↳ PortableFlak_elite</t>
        </is>
      </c>
      <c r="C428" s="7" t="inlineStr">
        <is>
          <t>Armament@DEPLOYEDELITE</t>
        </is>
      </c>
      <c r="L428" s="6" t="n">
        <v>7000</v>
      </c>
      <c r="M428" s="6" t="n">
        <v>47</v>
      </c>
      <c r="N428" s="6" t="n">
        <v>8</v>
      </c>
      <c r="O428" s="6" t="n">
        <v>3</v>
      </c>
      <c r="P428" s="6" t="n">
        <v>9999</v>
      </c>
      <c r="Q428" s="6" t="n">
        <v>1</v>
      </c>
      <c r="R428">
        <f>M428+IF(N428&gt;1,N(O428)*(N428-1),0)</f>
        <v/>
      </c>
      <c r="S428">
        <f>IFERROR(L428*MAX(N428,1)/R428*IF(ISBLANK(K425),1,K425),0)</f>
        <v/>
      </c>
      <c r="AB428" s="7" t="inlineStr">
        <is>
          <t>^Warhead_Flak_Medium</t>
        </is>
      </c>
    </row>
    <row r="429">
      <c r="B429" s="7" t="inlineStr">
        <is>
          <t xml:space="preserve">  ↳ PortableFlak</t>
        </is>
      </c>
      <c r="C429" s="7" t="inlineStr">
        <is>
          <t>Armament@GARRISONED</t>
        </is>
      </c>
      <c r="L429" s="6" t="n">
        <v>7000</v>
      </c>
      <c r="M429" s="6" t="n">
        <v>47</v>
      </c>
      <c r="N429" s="6" t="n">
        <v>6</v>
      </c>
      <c r="O429" s="6" t="n">
        <v>4</v>
      </c>
      <c r="P429" s="6" t="n">
        <v>8888</v>
      </c>
      <c r="Q429" s="6" t="n">
        <v>1</v>
      </c>
      <c r="R429">
        <f>M429+IF(N429&gt;1,N(O429)*(N429-1),0)</f>
        <v/>
      </c>
      <c r="S429">
        <f>IFERROR(L429*MAX(N429,1)/R429*IF(ISBLANK(K425),1,K425),0)</f>
        <v/>
      </c>
      <c r="AB429" s="7" t="inlineStr">
        <is>
          <t>^Warhead_Flak_Medium</t>
        </is>
      </c>
    </row>
    <row r="430">
      <c r="B430" s="7" t="inlineStr">
        <is>
          <t xml:space="preserve">  ↳ PortableFlak_elite</t>
        </is>
      </c>
      <c r="C430" s="7" t="inlineStr">
        <is>
          <t>Armament@GARRISONEDELITE</t>
        </is>
      </c>
      <c r="L430" s="6" t="n">
        <v>7000</v>
      </c>
      <c r="M430" s="6" t="n">
        <v>47</v>
      </c>
      <c r="N430" s="6" t="n">
        <v>8</v>
      </c>
      <c r="O430" s="6" t="n">
        <v>3</v>
      </c>
      <c r="P430" s="6" t="n">
        <v>9999</v>
      </c>
      <c r="Q430" s="6" t="n">
        <v>1</v>
      </c>
      <c r="R430">
        <f>M430+IF(N430&gt;1,N(O430)*(N430-1),0)</f>
        <v/>
      </c>
      <c r="S430">
        <f>IFERROR(L430*MAX(N430,1)/R430*IF(ISBLANK(K425),1,K425),0)</f>
        <v/>
      </c>
      <c r="AB430" s="7" t="inlineStr">
        <is>
          <t>^Warhead_Flak_Medium</t>
        </is>
      </c>
    </row>
    <row r="431">
      <c r="A431" t="inlineStr">
        <is>
          <t>redalert2mod</t>
        </is>
      </c>
      <c r="B431" t="inlineStr">
        <is>
          <t>schwarzermond_lunarrocket</t>
        </is>
      </c>
      <c r="C431" t="inlineStr">
        <is>
          <t>Lunar Rocket</t>
        </is>
      </c>
      <c r="D431" s="6" t="inlineStr">
        <is>
          <t>AntiTankAntiAirInfantry</t>
        </is>
      </c>
      <c r="E431" s="6" t="n">
        <v>18000</v>
      </c>
      <c r="F431" s="6" t="n">
        <v>60</v>
      </c>
      <c r="G431" t="inlineStr">
        <is>
          <t>Flak</t>
        </is>
      </c>
      <c r="H431" s="6" t="n">
        <v>1</v>
      </c>
      <c r="I431" s="6" t="n">
        <v>0.5</v>
      </c>
      <c r="J431" s="6" t="n">
        <v>1.75</v>
      </c>
      <c r="K431" s="6" t="n"/>
      <c r="P431">
        <f>MAX(P432,P433)</f>
        <v/>
      </c>
      <c r="S431">
        <f>S432+S433</f>
        <v/>
      </c>
      <c r="T431">
        <f>(E431/100000+F431/100+(P431/1000)*J431/5+S431/200)*200*I431*H431</f>
        <v/>
      </c>
      <c r="U431">
        <f>((E431*F431/25000)+((P431/1000)*J431*S431/2.5))*I431*H431</f>
        <v/>
      </c>
      <c r="V431">
        <f>(E431*F431*(P431/1000)*J431*S431*I431*H431)/12500000</f>
        <v/>
      </c>
      <c r="W431">
        <f>(T431+U431+V431)/3</f>
        <v/>
      </c>
      <c r="X431" s="6" t="n">
        <v>350</v>
      </c>
      <c r="Y431">
        <f>IFERROR(W431-X431,"")</f>
        <v/>
      </c>
      <c r="Z431">
        <f>IFERROR(ABS(Y431)/MAX(X431,1),"")</f>
        <v/>
      </c>
      <c r="AA431">
        <f>IFERROR((X431-(((E431/100000+F431/100+S431/200)*200*I431*H431)+((E431*F431/25000)*I431*H431))/3)/(((J431/5)*200*I431*H431)+((J431*S431/2.5)*I431*H431)+((E431*F431*J431*S431*I431*H431)/12500000))/3*1000,"")</f>
        <v/>
      </c>
    </row>
    <row r="432">
      <c r="B432" s="7" t="inlineStr">
        <is>
          <t xml:space="preserve">  ↳ NaxCorrosionRocketTrooper_elite</t>
        </is>
      </c>
      <c r="C432" s="7" t="inlineStr">
        <is>
          <t>Armament@PRIMARY</t>
        </is>
      </c>
      <c r="L432" s="6" t="n">
        <v>16000</v>
      </c>
      <c r="M432" s="6" t="n">
        <v>50</v>
      </c>
      <c r="N432" s="6" t="n">
        <v>1</v>
      </c>
      <c r="O432" s="6" t="n">
        <v>2</v>
      </c>
      <c r="P432" s="6" t="n">
        <v>6055</v>
      </c>
      <c r="Q432" s="6" t="n">
        <v>1</v>
      </c>
      <c r="R432">
        <f>M432+IF(N432&gt;1,N(O432)*(N432-1),0)</f>
        <v/>
      </c>
      <c r="S432">
        <f>IFERROR(L432*MAX(N432,1)/R432*IF(ISBLANK(K431),1,K431),0)</f>
        <v/>
      </c>
      <c r="AB432" s="7" t="inlineStr">
        <is>
          <t>^Warhead_Concussion_Light, ^Warhead_MissileAP_Heavy, ^Warhead_MissileAP_Medium</t>
        </is>
      </c>
    </row>
    <row r="433">
      <c r="B433" s="7" t="inlineStr">
        <is>
          <t xml:space="preserve">  ↳ NaxCorrosionRocketTrooper_elite</t>
        </is>
      </c>
      <c r="C433" s="7" t="inlineStr">
        <is>
          <t>Armament@ELITE</t>
        </is>
      </c>
      <c r="L433" s="6" t="n">
        <v>16000</v>
      </c>
      <c r="M433" s="6" t="n">
        <v>50</v>
      </c>
      <c r="N433" s="6" t="n">
        <v>1</v>
      </c>
      <c r="O433" s="6" t="n">
        <v>2</v>
      </c>
      <c r="P433" s="6" t="n">
        <v>6055</v>
      </c>
      <c r="Q433" s="6" t="n">
        <v>1</v>
      </c>
      <c r="R433">
        <f>M433+IF(N433&gt;1,N(O433)*(N433-1),0)</f>
        <v/>
      </c>
      <c r="S433">
        <f>IFERROR(L433*MAX(N433,1)/R433*IF(ISBLANK(K431),1,K431),0)</f>
        <v/>
      </c>
      <c r="AB433" s="7" t="inlineStr">
        <is>
          <t>^Warhead_Concussion_Light, ^Warhead_MissileAP_Heavy, ^Warhead_MissileAP_Medium</t>
        </is>
      </c>
    </row>
    <row r="434">
      <c r="B434" s="7" t="inlineStr">
        <is>
          <t xml:space="preserve">  ↳ NaxCorrosionRocketTrooper_elite</t>
        </is>
      </c>
      <c r="C434" s="7" t="inlineStr">
        <is>
          <t>Armament@GARRISONED</t>
        </is>
      </c>
      <c r="L434" s="6" t="n">
        <v>16000</v>
      </c>
      <c r="M434" s="6" t="n">
        <v>50</v>
      </c>
      <c r="N434" s="6" t="n">
        <v>1</v>
      </c>
      <c r="O434" s="6" t="n">
        <v>2</v>
      </c>
      <c r="P434" s="6" t="n">
        <v>6055</v>
      </c>
      <c r="Q434" s="6" t="n">
        <v>1</v>
      </c>
      <c r="R434">
        <f>M434+IF(N434&gt;1,N(O434)*(N434-1),0)</f>
        <v/>
      </c>
      <c r="S434">
        <f>IFERROR(L434*MAX(N434,1)/R434*IF(ISBLANK(K431),1,K431),0)</f>
        <v/>
      </c>
      <c r="AB434" s="7" t="inlineStr">
        <is>
          <t>^Warhead_Concussion_Light, ^Warhead_MissileAP_Heavy, ^Warhead_MissileAP_Medium</t>
        </is>
      </c>
    </row>
    <row r="435">
      <c r="B435" s="7" t="inlineStr">
        <is>
          <t xml:space="preserve">  ↳ NaxCorrosionRocketTrooper_elite</t>
        </is>
      </c>
      <c r="C435" s="7" t="inlineStr">
        <is>
          <t>Armament@GARRISONEDELITE</t>
        </is>
      </c>
      <c r="L435" s="6" t="n">
        <v>16000</v>
      </c>
      <c r="M435" s="6" t="n">
        <v>50</v>
      </c>
      <c r="N435" s="6" t="n">
        <v>1</v>
      </c>
      <c r="O435" s="6" t="n">
        <v>2</v>
      </c>
      <c r="P435" s="6" t="n">
        <v>6055</v>
      </c>
      <c r="Q435" s="6" t="n">
        <v>1</v>
      </c>
      <c r="R435">
        <f>M435+IF(N435&gt;1,N(O435)*(N435-1),0)</f>
        <v/>
      </c>
      <c r="S435">
        <f>IFERROR(L435*MAX(N435,1)/R435*IF(ISBLANK(K431),1,K431),0)</f>
        <v/>
      </c>
      <c r="AB435" s="7" t="inlineStr">
        <is>
          <t>^Warhead_Concussion_Light, ^Warhead_MissileAP_Heavy, ^Warhead_MissileAP_Medium</t>
        </is>
      </c>
    </row>
    <row r="436">
      <c r="A436" t="inlineStr">
        <is>
          <t>redalert2mod</t>
        </is>
      </c>
      <c r="B436" t="inlineStr">
        <is>
          <t>futuretech_javelinsoldier</t>
        </is>
      </c>
      <c r="C436" t="inlineStr">
        <is>
          <t>Javelin Soldier</t>
        </is>
      </c>
      <c r="D436" s="6" t="inlineStr">
        <is>
          <t>AntiTankAntiAirInfantry</t>
        </is>
      </c>
      <c r="E436" s="6" t="n">
        <v>25000</v>
      </c>
      <c r="F436" s="6" t="n">
        <v>50</v>
      </c>
      <c r="G436" t="inlineStr">
        <is>
          <t>Flak</t>
        </is>
      </c>
      <c r="H436" s="6" t="n">
        <v>1</v>
      </c>
      <c r="I436" s="6" t="n">
        <v>0.5</v>
      </c>
      <c r="J436" s="6" t="n">
        <v>1.25</v>
      </c>
      <c r="K436" s="6" t="n"/>
      <c r="P436">
        <f>MAX(P437,P438,P440,P441)</f>
        <v/>
      </c>
      <c r="S436">
        <f>S437+S438+S440+S441</f>
        <v/>
      </c>
      <c r="T436">
        <f>(E436/100000+F436/100+(P436/1000)*J436/5+S436/200)*200*I436*H436</f>
        <v/>
      </c>
      <c r="U436">
        <f>((E436*F436/25000)+((P436/1000)*J436*S436/2.5))*I436*H436</f>
        <v/>
      </c>
      <c r="V436">
        <f>(E436*F436*(P436/1000)*J436*S436*I436*H436)/12500000</f>
        <v/>
      </c>
      <c r="W436">
        <f>(T436+U436+V436)/3</f>
        <v/>
      </c>
      <c r="X436" s="6" t="n">
        <v>400</v>
      </c>
      <c r="Y436">
        <f>IFERROR(W436-X436,"")</f>
        <v/>
      </c>
      <c r="Z436">
        <f>IFERROR(ABS(Y436)/MAX(X436,1),"")</f>
        <v/>
      </c>
      <c r="AA436">
        <f>IFERROR((X436-(((E436/100000+F436/100+S436/200)*200*I436*H436)+((E436*F436/25000)*I436*H436))/3)/(((J436/5)*200*I436*H436)+((J436*S436/2.5)*I436*H436)+((E436*F436*J436*S436*I436*H436)/12500000))/3*1000,"")</f>
        <v/>
      </c>
    </row>
    <row r="437">
      <c r="B437" s="7" t="inlineStr">
        <is>
          <t xml:space="preserve">  ↳ FutureJavelinRockets</t>
        </is>
      </c>
      <c r="C437" s="7" t="inlineStr">
        <is>
          <t>Armament@PRIMARY</t>
        </is>
      </c>
      <c r="L437" s="6" t="n">
        <v>10000</v>
      </c>
      <c r="M437" s="6" t="n">
        <v>25</v>
      </c>
      <c r="N437" s="6" t="n">
        <v>1</v>
      </c>
      <c r="O437" s="6" t="n"/>
      <c r="P437" s="6" t="n">
        <v>6000</v>
      </c>
      <c r="Q437" s="6" t="n">
        <v>1.25</v>
      </c>
      <c r="R437">
        <f>M437+IF(N437&gt;1,N(O437)*(N437-1),0)</f>
        <v/>
      </c>
      <c r="S437">
        <f>IFERROR(L437*MAX(N437,1)/R437*IF(ISBLANK(K436),1,K436),0)</f>
        <v/>
      </c>
      <c r="AB437" s="7" t="inlineStr">
        <is>
          <t>^Warhead_MissileAP_Heavy</t>
        </is>
      </c>
    </row>
    <row r="438">
      <c r="B438" s="7" t="inlineStr">
        <is>
          <t xml:space="preserve">  ↳ FutureJavelinRocketsDeployed</t>
        </is>
      </c>
      <c r="C438" s="7" t="inlineStr">
        <is>
          <t>Armament@PRIMARY2</t>
        </is>
      </c>
      <c r="L438" s="6" t="n">
        <v>10000</v>
      </c>
      <c r="M438" s="6" t="n">
        <v>25</v>
      </c>
      <c r="N438" s="6" t="n">
        <v>1</v>
      </c>
      <c r="O438" s="6" t="n"/>
      <c r="P438" s="6" t="n">
        <v>7500</v>
      </c>
      <c r="Q438" s="6" t="n">
        <v>1.25</v>
      </c>
      <c r="R438">
        <f>M438+IF(N438&gt;1,N(O438)*(N438-1),0)</f>
        <v/>
      </c>
      <c r="S438">
        <f>IFERROR(L438*MAX(N438,1)/R438*IF(ISBLANK(K436),1,K436),0)</f>
        <v/>
      </c>
      <c r="AB438" s="7" t="inlineStr">
        <is>
          <t>^Warhead_MissileAP_Heavy</t>
        </is>
      </c>
    </row>
    <row r="439">
      <c r="B439" s="7" t="inlineStr">
        <is>
          <t xml:space="preserve">  ↳ FutureJavelinRocketsDeployed</t>
        </is>
      </c>
      <c r="C439" s="7" t="inlineStr">
        <is>
          <t>Armament@GARRISONED</t>
        </is>
      </c>
      <c r="L439" s="6" t="n">
        <v>10000</v>
      </c>
      <c r="M439" s="6" t="n">
        <v>25</v>
      </c>
      <c r="N439" s="6" t="n">
        <v>1</v>
      </c>
      <c r="O439" s="6" t="n"/>
      <c r="P439" s="6" t="n">
        <v>7500</v>
      </c>
      <c r="Q439" s="6" t="n">
        <v>1.25</v>
      </c>
      <c r="R439">
        <f>M439+IF(N439&gt;1,N(O439)*(N439-1),0)</f>
        <v/>
      </c>
      <c r="S439">
        <f>IFERROR(L439*MAX(N439,1)/R439*IF(ISBLANK(K436),1,K436),0)</f>
        <v/>
      </c>
      <c r="AB439" s="7" t="inlineStr">
        <is>
          <t>^Warhead_MissileAP_Heavy</t>
        </is>
      </c>
    </row>
    <row r="440">
      <c r="B440" s="7" t="inlineStr">
        <is>
          <t xml:space="preserve">  ↳ FutureJavelinRockets_elite</t>
        </is>
      </c>
      <c r="C440" s="7" t="inlineStr">
        <is>
          <t>Armament@ELITE</t>
        </is>
      </c>
      <c r="L440" s="6" t="n">
        <v>10000</v>
      </c>
      <c r="M440" s="6" t="n">
        <v>25</v>
      </c>
      <c r="N440" s="6" t="n">
        <v>2</v>
      </c>
      <c r="O440" s="6" t="n">
        <v>3</v>
      </c>
      <c r="P440" s="6" t="n">
        <v>7000</v>
      </c>
      <c r="Q440" s="6" t="n">
        <v>1.25</v>
      </c>
      <c r="R440">
        <f>M440+IF(N440&gt;1,N(O440)*(N440-1),0)</f>
        <v/>
      </c>
      <c r="S440">
        <f>IFERROR(L440*MAX(N440,1)/R440*IF(ISBLANK(K436),1,K436),0)</f>
        <v/>
      </c>
      <c r="AB440" s="7" t="inlineStr">
        <is>
          <t>^Warhead_MissileAP_Heavy</t>
        </is>
      </c>
    </row>
    <row r="441">
      <c r="B441" s="7" t="inlineStr">
        <is>
          <t xml:space="preserve">  ↳ FutureJavelinRocketsDeployed_elite</t>
        </is>
      </c>
      <c r="C441" s="7" t="inlineStr">
        <is>
          <t>Armament@ELITE2</t>
        </is>
      </c>
      <c r="L441" s="6" t="n">
        <v>10000</v>
      </c>
      <c r="M441" s="6" t="n">
        <v>25</v>
      </c>
      <c r="N441" s="6" t="n">
        <v>2</v>
      </c>
      <c r="O441" s="6" t="n">
        <v>3</v>
      </c>
      <c r="P441" s="6" t="n">
        <v>8500</v>
      </c>
      <c r="Q441" s="6" t="n">
        <v>1.25</v>
      </c>
      <c r="R441">
        <f>M441+IF(N441&gt;1,N(O441)*(N441-1),0)</f>
        <v/>
      </c>
      <c r="S441">
        <f>IFERROR(L441*MAX(N441,1)/R441*IF(ISBLANK(K436),1,K436),0)</f>
        <v/>
      </c>
      <c r="AB441" s="7" t="inlineStr">
        <is>
          <t>^Warhead_MissileAP_Heavy</t>
        </is>
      </c>
    </row>
    <row r="442">
      <c r="B442" s="7" t="inlineStr">
        <is>
          <t xml:space="preserve">  ↳ FutureJavelinRocketsDeployed_elite</t>
        </is>
      </c>
      <c r="C442" s="7" t="inlineStr">
        <is>
          <t>Armament@GARRISONEDELITE</t>
        </is>
      </c>
      <c r="L442" s="6" t="n">
        <v>10000</v>
      </c>
      <c r="M442" s="6" t="n">
        <v>25</v>
      </c>
      <c r="N442" s="6" t="n">
        <v>2</v>
      </c>
      <c r="O442" s="6" t="n">
        <v>3</v>
      </c>
      <c r="P442" s="6" t="n">
        <v>8500</v>
      </c>
      <c r="Q442" s="6" t="n">
        <v>1.25</v>
      </c>
      <c r="R442">
        <f>M442+IF(N442&gt;1,N(O442)*(N442-1),0)</f>
        <v/>
      </c>
      <c r="S442">
        <f>IFERROR(L442*MAX(N442,1)/R442*IF(ISBLANK(K436),1,K436),0)</f>
        <v/>
      </c>
      <c r="AB442" s="7" t="inlineStr">
        <is>
          <t>^Warhead_MissileAP_Heavy</t>
        </is>
      </c>
    </row>
    <row r="443">
      <c r="B443" s="7" t="inlineStr">
        <is>
          <t xml:space="preserve">  ↳ aadeploytargeting_8c0_AA</t>
        </is>
      </c>
      <c r="C443" s="7" t="inlineStr">
        <is>
          <t>Armament@BOTAA</t>
        </is>
      </c>
      <c r="L443" s="6" t="n"/>
      <c r="M443" s="6" t="n">
        <v>50</v>
      </c>
      <c r="N443" s="6" t="n">
        <v>1</v>
      </c>
      <c r="O443" s="6" t="n"/>
      <c r="P443" s="6" t="n">
        <v>8000</v>
      </c>
      <c r="Q443" s="6" t="n">
        <v>1</v>
      </c>
      <c r="R443">
        <f>M443+IF(N443&gt;1,N(O443)*(N443-1),0)</f>
        <v/>
      </c>
      <c r="S443">
        <f>IFERROR(L443*MAX(N443,1)/R443*IF(ISBLANK(K436),1,K436),0)</f>
        <v/>
      </c>
      <c r="AB443" s="7" t="inlineStr">
        <is>
          <t>^AADeployTargeting</t>
        </is>
      </c>
    </row>
    <row r="444">
      <c r="A444" t="inlineStr">
        <is>
          <t>redalert2mod</t>
        </is>
      </c>
      <c r="B444" t="inlineStr">
        <is>
          <t>tkm_rocketeer</t>
        </is>
      </c>
      <c r="C444" t="inlineStr">
        <is>
          <t>Rocketeer</t>
        </is>
      </c>
      <c r="D444" s="6" t="inlineStr">
        <is>
          <t>AntiTankAntiAirInfantry</t>
        </is>
      </c>
      <c r="E444" s="6" t="n">
        <v>9000</v>
      </c>
      <c r="F444" s="6" t="n">
        <v>60</v>
      </c>
      <c r="G444" t="inlineStr">
        <is>
          <t>Flak</t>
        </is>
      </c>
      <c r="H444" s="6" t="n">
        <v>1</v>
      </c>
      <c r="I444" s="6" t="n">
        <v>1</v>
      </c>
      <c r="J444" s="6" t="n">
        <v>1</v>
      </c>
      <c r="K444" s="6" t="n"/>
      <c r="P444">
        <f>MAX(P445,P446,P447,P448)</f>
        <v/>
      </c>
      <c r="S444">
        <f>S445+S446+S447+S448</f>
        <v/>
      </c>
      <c r="T444">
        <f>(E444/100000+F444/100+(P444/1000)*J444/5+S444/200)*200*I444*H444</f>
        <v/>
      </c>
      <c r="U444">
        <f>((E444*F444/25000)+((P444/1000)*J444*S444/2.5))*I444*H444</f>
        <v/>
      </c>
      <c r="V444">
        <f>(E444*F444*(P444/1000)*J444*S444*I444*H444)/12500000</f>
        <v/>
      </c>
      <c r="W444">
        <f>(T444+U444+V444)/3</f>
        <v/>
      </c>
      <c r="X444" s="6" t="n">
        <v>200</v>
      </c>
      <c r="Y444">
        <f>IFERROR(W444-X444,"")</f>
        <v/>
      </c>
      <c r="Z444">
        <f>IFERROR(ABS(Y444)/MAX(X444,1),"")</f>
        <v/>
      </c>
      <c r="AA444">
        <f>IFERROR((X444-(((E444/100000+F444/100+S444/200)*200*I444*H444)+((E444*F444/25000)*I444*H444))/3)/(((J444/5)*200*I444*H444)+((J444*S444/2.5)*I444*H444)+((E444*F444*J444*S444*I444*H444)/12500000))/3*1000,"")</f>
        <v/>
      </c>
    </row>
    <row r="445">
      <c r="B445" s="7" t="inlineStr">
        <is>
          <t xml:space="preserve">  ↳ tkmrockets</t>
        </is>
      </c>
      <c r="C445" s="7" t="inlineStr">
        <is>
          <t>Armament@PRIMARY</t>
        </is>
      </c>
      <c r="L445" s="6" t="n">
        <v>18000</v>
      </c>
      <c r="M445" s="6" t="n">
        <v>64</v>
      </c>
      <c r="N445" s="6" t="n">
        <v>1</v>
      </c>
      <c r="O445" s="6" t="n"/>
      <c r="P445" s="6" t="n">
        <v>6214</v>
      </c>
      <c r="Q445" s="6" t="n">
        <v>0.75</v>
      </c>
      <c r="R445">
        <f>M445+IF(N445&gt;1,N(O445)*(N445-1),0)</f>
        <v/>
      </c>
      <c r="S445">
        <f>IFERROR(L445*MAX(N445,1)/R445*IF(ISBLANK(K444),1,K444),0)</f>
        <v/>
      </c>
      <c r="AB445" s="7" t="inlineStr">
        <is>
          <t>^Warhead_MissileAP_Light</t>
        </is>
      </c>
    </row>
    <row r="446">
      <c r="B446" s="7" t="inlineStr">
        <is>
          <t xml:space="preserve">  ↳ tkmcryorockets</t>
        </is>
      </c>
      <c r="C446" s="7" t="inlineStr">
        <is>
          <t>Armament@PRIMARYNATO</t>
        </is>
      </c>
      <c r="L446" s="6" t="n">
        <v>18000</v>
      </c>
      <c r="M446" s="6" t="n">
        <v>64</v>
      </c>
      <c r="N446" s="6" t="n">
        <v>1</v>
      </c>
      <c r="O446" s="6" t="n"/>
      <c r="P446" s="6" t="n">
        <v>6214</v>
      </c>
      <c r="Q446" s="6" t="n">
        <v>0.75</v>
      </c>
      <c r="R446">
        <f>M446+IF(N446&gt;1,N(O446)*(N446-1),0)</f>
        <v/>
      </c>
      <c r="S446">
        <f>IFERROR(L446*MAX(N446,1)/R446*IF(ISBLANK(K444),1,K444),0)</f>
        <v/>
      </c>
      <c r="AB446" s="7" t="inlineStr">
        <is>
          <t>^Warhead_MissileAP_Light</t>
        </is>
      </c>
    </row>
    <row r="447">
      <c r="B447" s="7" t="inlineStr">
        <is>
          <t xml:space="preserve">  ↳ tkmtwinrockets</t>
        </is>
      </c>
      <c r="C447" s="7" t="inlineStr">
        <is>
          <t>Armament@PRIMARYBEREZKA</t>
        </is>
      </c>
      <c r="L447" s="6" t="n">
        <v>18000</v>
      </c>
      <c r="M447" s="6" t="n">
        <v>64</v>
      </c>
      <c r="N447" s="6" t="n">
        <v>2</v>
      </c>
      <c r="O447" s="6" t="n"/>
      <c r="P447" s="6" t="n">
        <v>7214</v>
      </c>
      <c r="Q447" s="6" t="n">
        <v>0.75</v>
      </c>
      <c r="R447">
        <f>M447+IF(N447&gt;1,N(O447)*(N447-1),0)</f>
        <v/>
      </c>
      <c r="S447">
        <f>IFERROR(L447*MAX(N447,1)/R447*IF(ISBLANK(K444),1,K444),0)</f>
        <v/>
      </c>
      <c r="AB447" s="7" t="inlineStr">
        <is>
          <t>^Warhead_MissileAP_Light</t>
        </is>
      </c>
    </row>
    <row r="448">
      <c r="B448" s="7" t="inlineStr">
        <is>
          <t xml:space="preserve">  ↳ tkmfirerockets</t>
        </is>
      </c>
      <c r="C448" s="7" t="inlineStr">
        <is>
          <t>Armament@PRIMARYTITAN</t>
        </is>
      </c>
      <c r="L448" s="6" t="n">
        <v>22000</v>
      </c>
      <c r="M448" s="6" t="n">
        <v>64</v>
      </c>
      <c r="N448" s="6" t="n">
        <v>1</v>
      </c>
      <c r="O448" s="6" t="n"/>
      <c r="P448" s="6" t="n">
        <v>6214</v>
      </c>
      <c r="Q448" s="6" t="n">
        <v>0.75</v>
      </c>
      <c r="R448">
        <f>M448+IF(N448&gt;1,N(O448)*(N448-1),0)</f>
        <v/>
      </c>
      <c r="S448">
        <f>IFERROR(L448*MAX(N448,1)/R448*IF(ISBLANK(K444),1,K444),0)</f>
        <v/>
      </c>
      <c r="AB448" s="7" t="inlineStr">
        <is>
          <t>^Warhead_MissileAP_Light, ^Warhead_Flame_Light</t>
        </is>
      </c>
    </row>
    <row r="449">
      <c r="B449" s="7" t="inlineStr">
        <is>
          <t xml:space="preserve">  ↳ Rockets</t>
        </is>
      </c>
      <c r="C449" s="7" t="inlineStr">
        <is>
          <t>Armament@GARRISONED</t>
        </is>
      </c>
      <c r="L449" s="6" t="n">
        <v>18000</v>
      </c>
      <c r="M449" s="6" t="n">
        <v>63</v>
      </c>
      <c r="N449" s="6" t="n">
        <v>1</v>
      </c>
      <c r="O449" s="6" t="n"/>
      <c r="P449" s="6" t="n">
        <v>6368</v>
      </c>
      <c r="Q449" s="6" t="n">
        <v>0.75</v>
      </c>
      <c r="R449">
        <f>M449+IF(N449&gt;1,N(O449)*(N449-1),0)</f>
        <v/>
      </c>
      <c r="S449">
        <f>IFERROR(L449*MAX(N449,1)/R449*IF(ISBLANK(K444),1,K444),0)</f>
        <v/>
      </c>
      <c r="AB449" s="7" t="inlineStr">
        <is>
          <t>^Warhead_MissileAP_Light</t>
        </is>
      </c>
    </row>
    <row r="450">
      <c r="B450" s="7" t="inlineStr">
        <is>
          <t xml:space="preserve">  ↳ tkmcryorockets</t>
        </is>
      </c>
      <c r="C450" s="7" t="inlineStr">
        <is>
          <t>Armament@GARRISONEDTITAN</t>
        </is>
      </c>
      <c r="L450" s="6" t="n">
        <v>18000</v>
      </c>
      <c r="M450" s="6" t="n">
        <v>64</v>
      </c>
      <c r="N450" s="6" t="n">
        <v>1</v>
      </c>
      <c r="O450" s="6" t="n"/>
      <c r="P450" s="6" t="n">
        <v>6214</v>
      </c>
      <c r="Q450" s="6" t="n">
        <v>0.75</v>
      </c>
      <c r="R450">
        <f>M450+IF(N450&gt;1,N(O450)*(N450-1),0)</f>
        <v/>
      </c>
      <c r="S450">
        <f>IFERROR(L450*MAX(N450,1)/R450*IF(ISBLANK(K444),1,K444),0)</f>
        <v/>
      </c>
      <c r="AB450" s="7" t="inlineStr">
        <is>
          <t>^Warhead_MissileAP_Light</t>
        </is>
      </c>
    </row>
    <row r="451">
      <c r="B451" s="7" t="inlineStr">
        <is>
          <t xml:space="preserve">  ↳ tkmtwinrockets</t>
        </is>
      </c>
      <c r="C451" s="7" t="inlineStr">
        <is>
          <t>Armament@GARRISONEDBEREZKA</t>
        </is>
      </c>
      <c r="L451" s="6" t="n">
        <v>18000</v>
      </c>
      <c r="M451" s="6" t="n">
        <v>64</v>
      </c>
      <c r="N451" s="6" t="n">
        <v>2</v>
      </c>
      <c r="O451" s="6" t="n"/>
      <c r="P451" s="6" t="n">
        <v>7214</v>
      </c>
      <c r="Q451" s="6" t="n">
        <v>0.75</v>
      </c>
      <c r="R451">
        <f>M451+IF(N451&gt;1,N(O451)*(N451-1),0)</f>
        <v/>
      </c>
      <c r="S451">
        <f>IFERROR(L451*MAX(N451,1)/R451*IF(ISBLANK(K444),1,K444),0)</f>
        <v/>
      </c>
      <c r="AB451" s="7" t="inlineStr">
        <is>
          <t>^Warhead_MissileAP_Light</t>
        </is>
      </c>
    </row>
    <row r="452">
      <c r="B452" s="7" t="inlineStr">
        <is>
          <t xml:space="preserve">  ↳ tkmfirerockets</t>
        </is>
      </c>
      <c r="C452" s="7" t="inlineStr">
        <is>
          <t>Armament@GARRISONEDNATO</t>
        </is>
      </c>
      <c r="L452" s="6" t="n">
        <v>22000</v>
      </c>
      <c r="M452" s="6" t="n">
        <v>64</v>
      </c>
      <c r="N452" s="6" t="n">
        <v>1</v>
      </c>
      <c r="O452" s="6" t="n"/>
      <c r="P452" s="6" t="n">
        <v>6214</v>
      </c>
      <c r="Q452" s="6" t="n">
        <v>0.75</v>
      </c>
      <c r="R452">
        <f>M452+IF(N452&gt;1,N(O452)*(N452-1),0)</f>
        <v/>
      </c>
      <c r="S452">
        <f>IFERROR(L452*MAX(N452,1)/R452*IF(ISBLANK(K444),1,K444),0)</f>
        <v/>
      </c>
      <c r="AB452" s="7" t="inlineStr">
        <is>
          <t>^Warhead_MissileAP_Light, ^Warhead_Flame_Light</t>
        </is>
      </c>
    </row>
    <row r="453">
      <c r="A453" t="inlineStr">
        <is>
          <t>shared</t>
        </is>
      </c>
      <c r="B453" t="inlineStr">
        <is>
          <t>trooper</t>
        </is>
      </c>
      <c r="C453" t="inlineStr">
        <is>
          <t>Rocket Trooper</t>
        </is>
      </c>
      <c r="D453" s="6" t="inlineStr">
        <is>
          <t>AntiTankAntiAirInfantry</t>
        </is>
      </c>
      <c r="E453" s="6" t="n">
        <v>12000</v>
      </c>
      <c r="F453" s="6" t="n">
        <v>48</v>
      </c>
      <c r="G453" t="inlineStr">
        <is>
          <t>Flak</t>
        </is>
      </c>
      <c r="H453" s="6" t="n">
        <v>1</v>
      </c>
      <c r="I453" s="6" t="n">
        <v>1</v>
      </c>
      <c r="J453" s="6" t="n">
        <v>1</v>
      </c>
      <c r="K453" s="6" t="n"/>
      <c r="P453">
        <f>MAX(P454)</f>
        <v/>
      </c>
      <c r="S453">
        <f>S454</f>
        <v/>
      </c>
      <c r="T453">
        <f>(E453/100000+F453/100+(P453/1000)*J453/5+S453/200)*200*I453*H453</f>
        <v/>
      </c>
      <c r="U453">
        <f>((E453*F453/25000)+((P453/1000)*J453*S453/2.5))*I453*H453</f>
        <v/>
      </c>
      <c r="V453">
        <f>(E453*F453*(P453/1000)*J453*S453*I453*H453)/12500000</f>
        <v/>
      </c>
      <c r="W453">
        <f>(T453+U453+V453)/3</f>
        <v/>
      </c>
      <c r="X453" s="6" t="n">
        <v>300</v>
      </c>
      <c r="Y453">
        <f>IFERROR(W453-X453,"")</f>
        <v/>
      </c>
      <c r="Z453">
        <f>IFERROR(ABS(Y453)/MAX(X453,1),"")</f>
        <v/>
      </c>
      <c r="AA453">
        <f>IFERROR((X453-(((E453/100000+F453/100+S453/200)*200*I453*H453)+((E453*F453/25000)*I453*H453))/3)/(((J453/5)*200*I453*H453)+((J453*S453/2.5)*I453*H453)+((E453*F453*J453*S453*I453*H453)/12500000))/3*1000,"")</f>
        <v/>
      </c>
    </row>
    <row r="454">
      <c r="B454" s="7" t="inlineStr">
        <is>
          <t xml:space="preserve">  ↳ D2K_Rocket_Trooper</t>
        </is>
      </c>
      <c r="C454" s="7" t="inlineStr">
        <is>
          <t>Armament</t>
        </is>
      </c>
      <c r="L454" s="6" t="n">
        <v>24000</v>
      </c>
      <c r="M454" s="6" t="n">
        <v>64</v>
      </c>
      <c r="N454" s="6" t="n">
        <v>1</v>
      </c>
      <c r="O454" s="6" t="n"/>
      <c r="P454" s="6" t="n">
        <v>6185</v>
      </c>
      <c r="Q454" s="6" t="n">
        <v>1</v>
      </c>
      <c r="R454">
        <f>M454+IF(N454&gt;1,N(O454)*(N454-1),0)</f>
        <v/>
      </c>
      <c r="S454">
        <f>IFERROR(L454*MAX(N454,1)/R454*IF(ISBLANK(K453),1,K453),0)</f>
        <v/>
      </c>
      <c r="AB454" s="7" t="inlineStr">
        <is>
          <t>^Warhead_MissileAP_Light, ^Warhead_MissileAP_Medium, ^Warhead_MissileAP_Heavy</t>
        </is>
      </c>
    </row>
    <row r="455">
      <c r="B455" s="7" t="inlineStr">
        <is>
          <t xml:space="preserve">  ↳ D2K_Rocket_Trooper</t>
        </is>
      </c>
      <c r="C455" s="7" t="inlineStr">
        <is>
          <t>Armament@garrisoned</t>
        </is>
      </c>
      <c r="L455" s="6" t="n">
        <v>24000</v>
      </c>
      <c r="M455" s="6" t="n">
        <v>64</v>
      </c>
      <c r="N455" s="6" t="n">
        <v>1</v>
      </c>
      <c r="O455" s="6" t="n"/>
      <c r="P455" s="6" t="n">
        <v>6185</v>
      </c>
      <c r="Q455" s="6" t="n">
        <v>1</v>
      </c>
      <c r="R455">
        <f>M455+IF(N455&gt;1,N(O455)*(N455-1),0)</f>
        <v/>
      </c>
      <c r="S455">
        <f>IFERROR(L455*MAX(N455,1)/R455*IF(ISBLANK(K453),1,K453),0)</f>
        <v/>
      </c>
      <c r="AB455" s="7" t="inlineStr">
        <is>
          <t>^Warhead_MissileAP_Light, ^Warhead_MissileAP_Medium, ^Warhead_MissileAP_Heavy</t>
        </is>
      </c>
    </row>
    <row r="456">
      <c r="A456" t="inlineStr">
        <is>
          <t>d2k</t>
        </is>
      </c>
      <c r="B456" t="inlineStr">
        <is>
          <t>ordos_antiairtrooper</t>
        </is>
      </c>
      <c r="C456" t="inlineStr">
        <is>
          <t>Anti Air Trooper</t>
        </is>
      </c>
      <c r="D456" s="6" t="inlineStr">
        <is>
          <t>AntiTankAntiAirInfantry</t>
        </is>
      </c>
      <c r="E456" s="6" t="n">
        <v>15000</v>
      </c>
      <c r="F456" s="6" t="n">
        <v>45</v>
      </c>
      <c r="G456" t="inlineStr">
        <is>
          <t>Flak</t>
        </is>
      </c>
      <c r="H456" s="6" t="n">
        <v>1</v>
      </c>
      <c r="I456" s="6" t="n">
        <v>1</v>
      </c>
      <c r="J456" s="6" t="n">
        <v>1</v>
      </c>
      <c r="K456" s="6" t="n"/>
      <c r="P456">
        <f>MAX(P457,P458)</f>
        <v/>
      </c>
      <c r="S456">
        <f>S457+S458</f>
        <v/>
      </c>
      <c r="T456">
        <f>(E456/100000+F456/100+(P456/1000)*J456/5+S456/200)*200*I456*H456</f>
        <v/>
      </c>
      <c r="U456">
        <f>((E456*F456/25000)+((P456/1000)*J456*S456/2.5))*I456*H456</f>
        <v/>
      </c>
      <c r="V456">
        <f>(E456*F456*(P456/1000)*J456*S456*I456*H456)/12500000</f>
        <v/>
      </c>
      <c r="W456">
        <f>(T456+U456+V456)/3</f>
        <v/>
      </c>
      <c r="X456" s="6" t="n">
        <v>450</v>
      </c>
      <c r="Y456">
        <f>IFERROR(W456-X456,"")</f>
        <v/>
      </c>
      <c r="Z456">
        <f>IFERROR(ABS(Y456)/MAX(X456,1),"")</f>
        <v/>
      </c>
      <c r="AA456">
        <f>IFERROR((X456-(((E456/100000+F456/100+S456/200)*200*I456*H456)+((E456*F456/25000)*I456*H456))/3)/(((J456/5)*200*I456*H456)+((J456*S456/2.5)*I456*H456)+((E456*F456*J456*S456*I456*H456)/12500000))/3*1000,"")</f>
        <v/>
      </c>
    </row>
    <row r="457">
      <c r="B457" s="7" t="inlineStr">
        <is>
          <t xml:space="preserve">  ↳ D2K_Rocket_Trooper_AA</t>
        </is>
      </c>
      <c r="C457" s="7" t="inlineStr">
        <is>
          <t>Armament</t>
        </is>
      </c>
      <c r="L457" s="6" t="n">
        <v>30000</v>
      </c>
      <c r="M457" s="6" t="n">
        <v>75</v>
      </c>
      <c r="N457" s="6" t="n">
        <v>1</v>
      </c>
      <c r="O457" s="6" t="n"/>
      <c r="P457" s="6" t="n">
        <v>9716</v>
      </c>
      <c r="Q457" s="6" t="n">
        <v>1</v>
      </c>
      <c r="R457">
        <f>M457+IF(N457&gt;1,N(O457)*(N457-1),0)</f>
        <v/>
      </c>
      <c r="S457">
        <f>IFERROR(L457*MAX(N457,1)/R457*IF(ISBLANK(K456),1,K456),0)</f>
        <v/>
      </c>
      <c r="AB457" s="7" t="inlineStr">
        <is>
          <t>^Warhead_Flak_Medium, ^Warhead_MissileAP_Light, ^Warhead_MissileAP_Heavy</t>
        </is>
      </c>
    </row>
    <row r="458">
      <c r="B458" s="7" t="inlineStr">
        <is>
          <t xml:space="preserve">  ↳ D2K_Rocket_Trooper_AGOnly</t>
        </is>
      </c>
      <c r="C458" s="7" t="inlineStr">
        <is>
          <t>Armament@SECONDARY</t>
        </is>
      </c>
      <c r="L458" s="6" t="n">
        <v>30000</v>
      </c>
      <c r="M458" s="6" t="n">
        <v>50</v>
      </c>
      <c r="N458" s="6" t="n">
        <v>1</v>
      </c>
      <c r="O458" s="6" t="n"/>
      <c r="P458" s="6" t="n">
        <v>6252</v>
      </c>
      <c r="Q458" s="6" t="n">
        <v>1</v>
      </c>
      <c r="R458">
        <f>M458+IF(N458&gt;1,N(O458)*(N458-1),0)</f>
        <v/>
      </c>
      <c r="S458">
        <f>IFERROR(L458*MAX(N458,1)/R458*IF(ISBLANK(K456),1,K456),0)</f>
        <v/>
      </c>
      <c r="AB458" s="7" t="inlineStr">
        <is>
          <t>^Warhead_Demolition_Light, ^Warhead_Railgun_Heavy, ^Warhead_CannonHE_Medium</t>
        </is>
      </c>
    </row>
    <row r="459">
      <c r="B459" s="7" t="inlineStr">
        <is>
          <t xml:space="preserve">  ↳ D2K_Rocket_Trooper_AA</t>
        </is>
      </c>
      <c r="C459" s="7" t="inlineStr">
        <is>
          <t>Armament@garrisoned</t>
        </is>
      </c>
      <c r="L459" s="6" t="n">
        <v>30000</v>
      </c>
      <c r="M459" s="6" t="n">
        <v>75</v>
      </c>
      <c r="N459" s="6" t="n">
        <v>1</v>
      </c>
      <c r="O459" s="6" t="n"/>
      <c r="P459" s="6" t="n">
        <v>9716</v>
      </c>
      <c r="Q459" s="6" t="n">
        <v>1</v>
      </c>
      <c r="R459">
        <f>M459+IF(N459&gt;1,N(O459)*(N459-1),0)</f>
        <v/>
      </c>
      <c r="S459">
        <f>IFERROR(L459*MAX(N459,1)/R459*IF(ISBLANK(K456),1,K456),0)</f>
        <v/>
      </c>
      <c r="AB459" s="7" t="inlineStr">
        <is>
          <t>^Warhead_Flak_Medium, ^Warhead_MissileAP_Light, ^Warhead_MissileAP_Heavy</t>
        </is>
      </c>
    </row>
    <row r="460">
      <c r="B460" s="7" t="inlineStr">
        <is>
          <t xml:space="preserve">  ↳ D2K_Rocket_Trooper_AGOnly</t>
        </is>
      </c>
      <c r="C460" s="7" t="inlineStr">
        <is>
          <t>Armament@SECONDARYgarrisoned</t>
        </is>
      </c>
      <c r="L460" s="6" t="n">
        <v>30000</v>
      </c>
      <c r="M460" s="6" t="n">
        <v>50</v>
      </c>
      <c r="N460" s="6" t="n">
        <v>1</v>
      </c>
      <c r="O460" s="6" t="n"/>
      <c r="P460" s="6" t="n">
        <v>6252</v>
      </c>
      <c r="Q460" s="6" t="n">
        <v>1</v>
      </c>
      <c r="R460">
        <f>M460+IF(N460&gt;1,N(O460)*(N460-1),0)</f>
        <v/>
      </c>
      <c r="S460">
        <f>IFERROR(L460*MAX(N460,1)/R460*IF(ISBLANK(K456),1,K456),0)</f>
        <v/>
      </c>
      <c r="AB460" s="7" t="inlineStr">
        <is>
          <t>^Warhead_Demolition_Light, ^Warhead_Railgun_Heavy, ^Warhead_CannonHE_Medium</t>
        </is>
      </c>
    </row>
    <row r="461">
      <c r="A461" t="inlineStr">
        <is>
          <t>d2k</t>
        </is>
      </c>
      <c r="B461" t="inlineStr">
        <is>
          <t>ordos_rockettrooper</t>
        </is>
      </c>
      <c r="C461" t="inlineStr">
        <is>
          <t>Ordos Rocket Trooper</t>
        </is>
      </c>
      <c r="D461" s="6" t="inlineStr">
        <is>
          <t>AntiTankAntiAirInfantry</t>
        </is>
      </c>
      <c r="E461" s="6" t="n">
        <v>12000</v>
      </c>
      <c r="F461" s="6" t="n">
        <v>48</v>
      </c>
      <c r="G461" t="inlineStr">
        <is>
          <t>Flak</t>
        </is>
      </c>
      <c r="H461" s="6" t="n">
        <v>1</v>
      </c>
      <c r="I461" s="6" t="n">
        <v>1</v>
      </c>
      <c r="J461" s="6" t="n">
        <v>1</v>
      </c>
      <c r="K461" s="6" t="n"/>
      <c r="P461">
        <f>MAX(P462)</f>
        <v/>
      </c>
      <c r="S461">
        <f>S462</f>
        <v/>
      </c>
      <c r="T461">
        <f>(E461/100000+F461/100+(P461/1000)*J461/5+S461/200)*200*I461*H461</f>
        <v/>
      </c>
      <c r="U461">
        <f>((E461*F461/25000)+((P461/1000)*J461*S461/2.5))*I461*H461</f>
        <v/>
      </c>
      <c r="V461">
        <f>(E461*F461*(P461/1000)*J461*S461*I461*H461)/12500000</f>
        <v/>
      </c>
      <c r="W461">
        <f>(T461+U461+V461)/3</f>
        <v/>
      </c>
      <c r="X461" s="6" t="n">
        <v>300</v>
      </c>
      <c r="Y461">
        <f>IFERROR(W461-X461,"")</f>
        <v/>
      </c>
      <c r="Z461">
        <f>IFERROR(ABS(Y461)/MAX(X461,1),"")</f>
        <v/>
      </c>
      <c r="AA461">
        <f>IFERROR((X461-(((E461/100000+F461/100+S461/200)*200*I461*H461)+((E461*F461/25000)*I461*H461))/3)/(((J461/5)*200*I461*H461)+((J461*S461/2.5)*I461*H461)+((E461*F461*J461*S461*I461*H461)/12500000))/3*1000,"")</f>
        <v/>
      </c>
    </row>
    <row r="462">
      <c r="B462" s="7" t="inlineStr">
        <is>
          <t xml:space="preserve">  ↳ D2K_Rocket_Trooper</t>
        </is>
      </c>
      <c r="C462" s="7" t="inlineStr">
        <is>
          <t>Armament</t>
        </is>
      </c>
      <c r="L462" s="6" t="n">
        <v>24000</v>
      </c>
      <c r="M462" s="6" t="n">
        <v>64</v>
      </c>
      <c r="N462" s="6" t="n">
        <v>1</v>
      </c>
      <c r="O462" s="6" t="n"/>
      <c r="P462" s="6" t="n">
        <v>6185</v>
      </c>
      <c r="Q462" s="6" t="n">
        <v>1</v>
      </c>
      <c r="R462">
        <f>M462+IF(N462&gt;1,N(O462)*(N462-1),0)</f>
        <v/>
      </c>
      <c r="S462">
        <f>IFERROR(L462*MAX(N462,1)/R462*IF(ISBLANK(K461),1,K461),0)</f>
        <v/>
      </c>
      <c r="AB462" s="7" t="inlineStr">
        <is>
          <t>^Warhead_MissileAP_Light, ^Warhead_MissileAP_Medium, ^Warhead_MissileAP_Heavy</t>
        </is>
      </c>
    </row>
    <row r="463">
      <c r="B463" s="7" t="inlineStr">
        <is>
          <t xml:space="preserve">  ↳ D2K_Rocket_Trooper</t>
        </is>
      </c>
      <c r="C463" s="7" t="inlineStr">
        <is>
          <t>Armament@garrisoned</t>
        </is>
      </c>
      <c r="L463" s="6" t="n">
        <v>24000</v>
      </c>
      <c r="M463" s="6" t="n">
        <v>64</v>
      </c>
      <c r="N463" s="6" t="n">
        <v>1</v>
      </c>
      <c r="O463" s="6" t="n"/>
      <c r="P463" s="6" t="n">
        <v>6185</v>
      </c>
      <c r="Q463" s="6" t="n">
        <v>1</v>
      </c>
      <c r="R463">
        <f>M463+IF(N463&gt;1,N(O463)*(N463-1),0)</f>
        <v/>
      </c>
      <c r="S463">
        <f>IFERROR(L463*MAX(N463,1)/R463*IF(ISBLANK(K461),1,K461),0)</f>
        <v/>
      </c>
      <c r="AB463" s="7" t="inlineStr">
        <is>
          <t>^Warhead_MissileAP_Light, ^Warhead_MissileAP_Medium, ^Warhead_MissileAP_Heavy</t>
        </is>
      </c>
    </row>
    <row r="464">
      <c r="A464" t="inlineStr">
        <is>
          <t>d2k</t>
        </is>
      </c>
      <c r="B464" t="inlineStr">
        <is>
          <t>ixian_rockettrooper</t>
        </is>
      </c>
      <c r="C464" t="inlineStr">
        <is>
          <t>Ixian Rocket Trooper</t>
        </is>
      </c>
      <c r="D464" s="6" t="inlineStr">
        <is>
          <t>AntiTankAntiAirInfantry</t>
        </is>
      </c>
      <c r="E464" s="6" t="n">
        <v>12000</v>
      </c>
      <c r="F464" s="6" t="n">
        <v>48</v>
      </c>
      <c r="G464" t="inlineStr">
        <is>
          <t>Flak</t>
        </is>
      </c>
      <c r="H464" s="6" t="n">
        <v>1</v>
      </c>
      <c r="I464" s="6" t="n">
        <v>1</v>
      </c>
      <c r="J464" s="6" t="n">
        <v>1</v>
      </c>
      <c r="K464" s="6" t="n"/>
      <c r="P464">
        <f>MAX(P465)</f>
        <v/>
      </c>
      <c r="S464">
        <f>S465</f>
        <v/>
      </c>
      <c r="T464">
        <f>(E464/100000+F464/100+(P464/1000)*J464/5+S464/200)*200*I464*H464</f>
        <v/>
      </c>
      <c r="U464">
        <f>((E464*F464/25000)+((P464/1000)*J464*S464/2.5))*I464*H464</f>
        <v/>
      </c>
      <c r="V464">
        <f>(E464*F464*(P464/1000)*J464*S464*I464*H464)/12500000</f>
        <v/>
      </c>
      <c r="W464">
        <f>(T464+U464+V464)/3</f>
        <v/>
      </c>
      <c r="X464" s="6" t="n">
        <v>300</v>
      </c>
      <c r="Y464">
        <f>IFERROR(W464-X464,"")</f>
        <v/>
      </c>
      <c r="Z464">
        <f>IFERROR(ABS(Y464)/MAX(X464,1),"")</f>
        <v/>
      </c>
      <c r="AA464">
        <f>IFERROR((X464-(((E464/100000+F464/100+S464/200)*200*I464*H464)+((E464*F464/25000)*I464*H464))/3)/(((J464/5)*200*I464*H464)+((J464*S464/2.5)*I464*H464)+((E464*F464*J464*S464*I464*H464)/12500000))/3*1000,"")</f>
        <v/>
      </c>
    </row>
    <row r="465">
      <c r="B465" s="7" t="inlineStr">
        <is>
          <t xml:space="preserve">  ↳ D2K_Rocket_Trooper</t>
        </is>
      </c>
      <c r="C465" s="7" t="inlineStr">
        <is>
          <t>Armament</t>
        </is>
      </c>
      <c r="L465" s="6" t="n">
        <v>24000</v>
      </c>
      <c r="M465" s="6" t="n">
        <v>64</v>
      </c>
      <c r="N465" s="6" t="n">
        <v>1</v>
      </c>
      <c r="O465" s="6" t="n"/>
      <c r="P465" s="6" t="n">
        <v>6185</v>
      </c>
      <c r="Q465" s="6" t="n">
        <v>1</v>
      </c>
      <c r="R465">
        <f>M465+IF(N465&gt;1,N(O465)*(N465-1),0)</f>
        <v/>
      </c>
      <c r="S465">
        <f>IFERROR(L465*MAX(N465,1)/R465*IF(ISBLANK(K464),1,K464),0)</f>
        <v/>
      </c>
      <c r="AB465" s="7" t="inlineStr">
        <is>
          <t>^Warhead_MissileAP_Light, ^Warhead_MissileAP_Medium, ^Warhead_MissileAP_Heavy</t>
        </is>
      </c>
    </row>
    <row r="466">
      <c r="B466" s="7" t="inlineStr">
        <is>
          <t xml:space="preserve">  ↳ D2K_Rocket_Trooper</t>
        </is>
      </c>
      <c r="C466" s="7" t="inlineStr">
        <is>
          <t>Armament@garrisoned</t>
        </is>
      </c>
      <c r="L466" s="6" t="n">
        <v>24000</v>
      </c>
      <c r="M466" s="6" t="n">
        <v>64</v>
      </c>
      <c r="N466" s="6" t="n">
        <v>1</v>
      </c>
      <c r="O466" s="6" t="n"/>
      <c r="P466" s="6" t="n">
        <v>6185</v>
      </c>
      <c r="Q466" s="6" t="n">
        <v>1</v>
      </c>
      <c r="R466">
        <f>M466+IF(N466&gt;1,N(O466)*(N466-1),0)</f>
        <v/>
      </c>
      <c r="S466">
        <f>IFERROR(L466*MAX(N466,1)/R466*IF(ISBLANK(K464),1,K464),0)</f>
        <v/>
      </c>
      <c r="AB466" s="7" t="inlineStr">
        <is>
          <t>^Warhead_MissileAP_Light, ^Warhead_MissileAP_Medium, ^Warhead_MissileAP_Heavy</t>
        </is>
      </c>
    </row>
    <row r="467">
      <c r="A467" t="inlineStr">
        <is>
          <t>d2k</t>
        </is>
      </c>
      <c r="B467" t="inlineStr">
        <is>
          <t>ixian_twinrockettrooper</t>
        </is>
      </c>
      <c r="C467" t="inlineStr">
        <is>
          <t>Twin Rocket Trooper</t>
        </is>
      </c>
      <c r="D467" s="6" t="inlineStr">
        <is>
          <t>AntiTankAntiAirInfantry</t>
        </is>
      </c>
      <c r="E467" s="6" t="n">
        <v>24000</v>
      </c>
      <c r="F467" s="6" t="n">
        <v>48</v>
      </c>
      <c r="G467" t="inlineStr">
        <is>
          <t>Flak</t>
        </is>
      </c>
      <c r="H467" s="6" t="n">
        <v>1</v>
      </c>
      <c r="I467" s="6" t="n">
        <v>0.5</v>
      </c>
      <c r="J467" s="6" t="n">
        <v>1</v>
      </c>
      <c r="K467" s="6" t="n"/>
      <c r="P467">
        <f>MAX(P468,P469)</f>
        <v/>
      </c>
      <c r="S467">
        <f>S468+S469</f>
        <v/>
      </c>
      <c r="T467">
        <f>(E467/100000+F467/100+(P467/1000)*J467/5+S467/200)*200*I467*H467</f>
        <v/>
      </c>
      <c r="U467">
        <f>((E467*F467/25000)+((P467/1000)*J467*S467/2.5))*I467*H467</f>
        <v/>
      </c>
      <c r="V467">
        <f>(E467*F467*(P467/1000)*J467*S467*I467*H467)/12500000</f>
        <v/>
      </c>
      <c r="W467">
        <f>(T467+U467+V467)/3</f>
        <v/>
      </c>
      <c r="X467" s="6" t="n">
        <v>600</v>
      </c>
      <c r="Y467">
        <f>IFERROR(W467-X467,"")</f>
        <v/>
      </c>
      <c r="Z467">
        <f>IFERROR(ABS(Y467)/MAX(X467,1),"")</f>
        <v/>
      </c>
      <c r="AA467">
        <f>IFERROR((X467-(((E467/100000+F467/100+S467/200)*200*I467*H467)+((E467*F467/25000)*I467*H467))/3)/(((J467/5)*200*I467*H467)+((J467*S467/2.5)*I467*H467)+((E467*F467*J467*S467*I467*H467)/12500000))/3*1000,"")</f>
        <v/>
      </c>
    </row>
    <row r="468">
      <c r="B468" s="7" t="inlineStr">
        <is>
          <t xml:space="preserve">  ↳ D2K_Rocket_Trooper1</t>
        </is>
      </c>
      <c r="C468" s="7" t="inlineStr">
        <is>
          <t>Armament</t>
        </is>
      </c>
      <c r="L468" s="6" t="n">
        <v>24000</v>
      </c>
      <c r="M468" s="6" t="n">
        <v>64</v>
      </c>
      <c r="N468" s="6" t="n">
        <v>1</v>
      </c>
      <c r="O468" s="6" t="n"/>
      <c r="P468" s="6" t="n">
        <v>6502</v>
      </c>
      <c r="Q468" s="6" t="n">
        <v>1</v>
      </c>
      <c r="R468">
        <f>M468+IF(N468&gt;1,N(O468)*(N468-1),0)</f>
        <v/>
      </c>
      <c r="S468">
        <f>IFERROR(L468*MAX(N468,1)/R468*IF(ISBLANK(K467),1,K467),0)</f>
        <v/>
      </c>
      <c r="AB468" s="7" t="inlineStr">
        <is>
          <t>^Warhead_Flak_Medium, ^Warhead_MissileAP_Light, ^Warhead_MissileAP_Heavy</t>
        </is>
      </c>
    </row>
    <row r="469">
      <c r="B469" s="7" t="inlineStr">
        <is>
          <t xml:space="preserve">  ↳ D2K_Rocket_Trooper2</t>
        </is>
      </c>
      <c r="C469" s="7" t="inlineStr">
        <is>
          <t>Armament@SECONDARY</t>
        </is>
      </c>
      <c r="L469" s="6" t="n">
        <v>24000</v>
      </c>
      <c r="M469" s="6" t="n">
        <v>64</v>
      </c>
      <c r="N469" s="6" t="n">
        <v>1</v>
      </c>
      <c r="O469" s="6" t="n"/>
      <c r="P469" s="6" t="n">
        <v>6502</v>
      </c>
      <c r="Q469" s="6" t="n">
        <v>1</v>
      </c>
      <c r="R469">
        <f>M469+IF(N469&gt;1,N(O469)*(N469-1),0)</f>
        <v/>
      </c>
      <c r="S469">
        <f>IFERROR(L469*MAX(N469,1)/R469*IF(ISBLANK(K467),1,K467),0)</f>
        <v/>
      </c>
      <c r="AB469" s="7" t="inlineStr">
        <is>
          <t>^Warhead_Demolition_Light, ^Warhead_Railgun_Heavy, ^Warhead_CannonHE_Medium</t>
        </is>
      </c>
    </row>
    <row r="470">
      <c r="B470" s="7" t="inlineStr">
        <is>
          <t xml:space="preserve">  ↳ D2K_Rocket_Trooper1</t>
        </is>
      </c>
      <c r="C470" s="7" t="inlineStr">
        <is>
          <t>Armament@garrisoned</t>
        </is>
      </c>
      <c r="L470" s="6" t="n">
        <v>24000</v>
      </c>
      <c r="M470" s="6" t="n">
        <v>64</v>
      </c>
      <c r="N470" s="6" t="n">
        <v>1</v>
      </c>
      <c r="O470" s="6" t="n"/>
      <c r="P470" s="6" t="n">
        <v>6502</v>
      </c>
      <c r="Q470" s="6" t="n">
        <v>1</v>
      </c>
      <c r="R470">
        <f>M470+IF(N470&gt;1,N(O470)*(N470-1),0)</f>
        <v/>
      </c>
      <c r="S470">
        <f>IFERROR(L470*MAX(N470,1)/R470*IF(ISBLANK(K467),1,K467),0)</f>
        <v/>
      </c>
      <c r="AB470" s="7" t="inlineStr">
        <is>
          <t>^Warhead_Flak_Medium, ^Warhead_MissileAP_Light, ^Warhead_MissileAP_Heavy</t>
        </is>
      </c>
    </row>
    <row r="471">
      <c r="B471" s="7" t="inlineStr">
        <is>
          <t xml:space="preserve">  ↳ D2K_Rocket_Trooper2</t>
        </is>
      </c>
      <c r="C471" s="7" t="inlineStr">
        <is>
          <t>Armament@SECONDARYgarrisoned</t>
        </is>
      </c>
      <c r="L471" s="6" t="n">
        <v>24000</v>
      </c>
      <c r="M471" s="6" t="n">
        <v>64</v>
      </c>
      <c r="N471" s="6" t="n">
        <v>1</v>
      </c>
      <c r="O471" s="6" t="n"/>
      <c r="P471" s="6" t="n">
        <v>6502</v>
      </c>
      <c r="Q471" s="6" t="n">
        <v>1</v>
      </c>
      <c r="R471">
        <f>M471+IF(N471&gt;1,N(O471)*(N471-1),0)</f>
        <v/>
      </c>
      <c r="S471">
        <f>IFERROR(L471*MAX(N471,1)/R471*IF(ISBLANK(K467),1,K467),0)</f>
        <v/>
      </c>
      <c r="AB471" s="7" t="inlineStr">
        <is>
          <t>^Warhead_Demolition_Light, ^Warhead_Railgun_Heavy, ^Warhead_CannonHE_Medium</t>
        </is>
      </c>
    </row>
    <row r="472">
      <c r="A472" t="inlineStr">
        <is>
          <t>starcraft</t>
        </is>
      </c>
      <c r="B472" t="inlineStr">
        <is>
          <t>protoss_hightemplar</t>
        </is>
      </c>
      <c r="C472" t="inlineStr">
        <is>
          <t>High Templar</t>
        </is>
      </c>
      <c r="D472" s="6" t="inlineStr">
        <is>
          <t>AntiTankAntiAirInfantry</t>
        </is>
      </c>
      <c r="E472" s="6" t="n">
        <v>35000</v>
      </c>
      <c r="F472" s="6" t="n">
        <v>70</v>
      </c>
      <c r="G472" t="inlineStr">
        <is>
          <t>Flak</t>
        </is>
      </c>
      <c r="H472" s="6" t="n">
        <v>0.75</v>
      </c>
      <c r="I472" s="6" t="n">
        <v>0.5</v>
      </c>
      <c r="J472" s="6" t="n">
        <v>1.25</v>
      </c>
      <c r="K472" s="6" t="n"/>
      <c r="P472">
        <f>MAX(P474,P475,P476,P477,P478,P479,P480,P481)</f>
        <v/>
      </c>
      <c r="S472">
        <f>S474+S475+S476+S477+S478+S479+S480+S481</f>
        <v/>
      </c>
      <c r="T472">
        <f>(E472/100000+F472/100+(P472/1000)*J472/5+S472/200)*200*I472*H472</f>
        <v/>
      </c>
      <c r="U472">
        <f>((E472*F472/25000)+((P472/1000)*J472*S472/2.5))*I472*H472</f>
        <v/>
      </c>
      <c r="V472">
        <f>(E472*F472*(P472/1000)*J472*S472*I472*H472)/12500000</f>
        <v/>
      </c>
      <c r="W472">
        <f>(((E472/5000)+(F472/50)+(S472/0)+((P472/0)*J472))*500/4+(((E472/5000)*(F472/50))+(((P472/0)*J472)*(S472/0)))*500/2+((E472/5000)*(F472/50)*((P472/0)*J472)*(S472/0))*500)*(H472/1.0)/3</f>
        <v/>
      </c>
      <c r="X472" s="6" t="n">
        <v>800</v>
      </c>
      <c r="Y472">
        <f>IFERROR(W472-X472,"")</f>
        <v/>
      </c>
      <c r="Z472">
        <f>IFERROR(ABS(Y472)/MAX(X472,1),"")</f>
        <v/>
      </c>
      <c r="AA472">
        <f>IFERROR(ROUND(((3*X472-(((E472/5000)+(F472/50)+(S472/0))*500/4+((E472/5000)*(F472/50))*500/2)*(H472/1.0))/(500/4+((S472/0))*500/2+((E472/5000)*(F472/50)*(S472/0))*500)*(H472/1.0)*0)/J472,-1),"")</f>
        <v/>
      </c>
    </row>
    <row r="473">
      <c r="B473" s="7" t="inlineStr">
        <is>
          <t xml:space="preserve">  ↳ PsiStormCosmetic</t>
        </is>
      </c>
      <c r="C473" s="7" t="inlineStr">
        <is>
          <t>Armament@Effect</t>
        </is>
      </c>
      <c r="L473" s="6" t="n"/>
      <c r="M473" s="6" t="n">
        <v>64</v>
      </c>
      <c r="N473" s="6" t="n">
        <v>1</v>
      </c>
      <c r="O473" s="6" t="n"/>
      <c r="P473" s="6" t="n">
        <v>6400</v>
      </c>
      <c r="Q473" s="6" t="n">
        <v>1</v>
      </c>
      <c r="R473">
        <f>M473+IF(N473&gt;1,N(O473)*(N473-1),0)</f>
        <v/>
      </c>
      <c r="S473">
        <f>IFERROR(L473*MAX(N473,1)/R473*IF(ISBLANK(K472),1,K472),0)</f>
        <v/>
      </c>
      <c r="AB473" s="7" t="inlineStr"/>
    </row>
    <row r="474">
      <c r="B474" s="7" t="inlineStr">
        <is>
          <t xml:space="preserve">  ↳ PsiStorm</t>
        </is>
      </c>
      <c r="C474" s="7" t="inlineStr">
        <is>
          <t>Armament@1</t>
        </is>
      </c>
      <c r="L474" s="6" t="n">
        <v>8000</v>
      </c>
      <c r="M474" s="6" t="n">
        <v>64</v>
      </c>
      <c r="N474" s="6" t="n">
        <v>1</v>
      </c>
      <c r="O474" s="6" t="n"/>
      <c r="P474" s="6" t="n">
        <v>6400</v>
      </c>
      <c r="Q474" s="6" t="n">
        <v>1.25</v>
      </c>
      <c r="R474">
        <f>M474+IF(N474&gt;1,N(O474)*(N474-1),0)</f>
        <v/>
      </c>
      <c r="S474">
        <f>IFERROR(L474*MAX(N474,1)/R474*IF(ISBLANK(K472),1,K472),0)</f>
        <v/>
      </c>
      <c r="AB474" s="7" t="inlineStr">
        <is>
          <t>^Warhead_Tesla_Heavy</t>
        </is>
      </c>
    </row>
    <row r="475">
      <c r="B475" s="7" t="inlineStr">
        <is>
          <t xml:space="preserve">  ↳ PsiStorm</t>
        </is>
      </c>
      <c r="C475" s="7" t="inlineStr">
        <is>
          <t>Armament@2</t>
        </is>
      </c>
      <c r="L475" s="6" t="n">
        <v>8000</v>
      </c>
      <c r="M475" s="6" t="n">
        <v>64</v>
      </c>
      <c r="N475" s="6" t="n">
        <v>1</v>
      </c>
      <c r="O475" s="6" t="n"/>
      <c r="P475" s="6" t="n">
        <v>6400</v>
      </c>
      <c r="Q475" s="6" t="n">
        <v>1.25</v>
      </c>
      <c r="R475">
        <f>M475+IF(N475&gt;1,N(O475)*(N475-1),0)</f>
        <v/>
      </c>
      <c r="S475">
        <f>IFERROR(L475*MAX(N475,1)/R475*IF(ISBLANK(K472),1,K472),0)</f>
        <v/>
      </c>
      <c r="AB475" s="7" t="inlineStr">
        <is>
          <t>^Warhead_Tesla_Heavy</t>
        </is>
      </c>
    </row>
    <row r="476">
      <c r="B476" s="7" t="inlineStr">
        <is>
          <t xml:space="preserve">  ↳ PsiStorm</t>
        </is>
      </c>
      <c r="C476" s="7" t="inlineStr">
        <is>
          <t>Armament@3</t>
        </is>
      </c>
      <c r="L476" s="6" t="n">
        <v>8000</v>
      </c>
      <c r="M476" s="6" t="n">
        <v>64</v>
      </c>
      <c r="N476" s="6" t="n">
        <v>1</v>
      </c>
      <c r="O476" s="6" t="n"/>
      <c r="P476" s="6" t="n">
        <v>6400</v>
      </c>
      <c r="Q476" s="6" t="n">
        <v>1.25</v>
      </c>
      <c r="R476">
        <f>M476+IF(N476&gt;1,N(O476)*(N476-1),0)</f>
        <v/>
      </c>
      <c r="S476">
        <f>IFERROR(L476*MAX(N476,1)/R476*IF(ISBLANK(K472),1,K472),0)</f>
        <v/>
      </c>
      <c r="AB476" s="7" t="inlineStr">
        <is>
          <t>^Warhead_Tesla_Heavy</t>
        </is>
      </c>
    </row>
    <row r="477">
      <c r="B477" s="7" t="inlineStr">
        <is>
          <t xml:space="preserve">  ↳ PsiStorm</t>
        </is>
      </c>
      <c r="C477" s="7" t="inlineStr">
        <is>
          <t>Armament@4</t>
        </is>
      </c>
      <c r="L477" s="6" t="n">
        <v>8000</v>
      </c>
      <c r="M477" s="6" t="n">
        <v>64</v>
      </c>
      <c r="N477" s="6" t="n">
        <v>1</v>
      </c>
      <c r="O477" s="6" t="n"/>
      <c r="P477" s="6" t="n">
        <v>6400</v>
      </c>
      <c r="Q477" s="6" t="n">
        <v>1.25</v>
      </c>
      <c r="R477">
        <f>M477+IF(N477&gt;1,N(O477)*(N477-1),0)</f>
        <v/>
      </c>
      <c r="S477">
        <f>IFERROR(L477*MAX(N477,1)/R477*IF(ISBLANK(K472),1,K472),0)</f>
        <v/>
      </c>
      <c r="AB477" s="7" t="inlineStr">
        <is>
          <t>^Warhead_Tesla_Heavy</t>
        </is>
      </c>
    </row>
    <row r="478">
      <c r="B478" s="7" t="inlineStr">
        <is>
          <t xml:space="preserve">  ↳ PsiStorm</t>
        </is>
      </c>
      <c r="C478" s="7" t="inlineStr">
        <is>
          <t>Armament@5</t>
        </is>
      </c>
      <c r="L478" s="6" t="n">
        <v>8000</v>
      </c>
      <c r="M478" s="6" t="n">
        <v>64</v>
      </c>
      <c r="N478" s="6" t="n">
        <v>1</v>
      </c>
      <c r="O478" s="6" t="n"/>
      <c r="P478" s="6" t="n">
        <v>6400</v>
      </c>
      <c r="Q478" s="6" t="n">
        <v>1.25</v>
      </c>
      <c r="R478">
        <f>M478+IF(N478&gt;1,N(O478)*(N478-1),0)</f>
        <v/>
      </c>
      <c r="S478">
        <f>IFERROR(L478*MAX(N478,1)/R478*IF(ISBLANK(K472),1,K472),0)</f>
        <v/>
      </c>
      <c r="AB478" s="7" t="inlineStr">
        <is>
          <t>^Warhead_Tesla_Heavy</t>
        </is>
      </c>
    </row>
    <row r="479">
      <c r="B479" s="7" t="inlineStr">
        <is>
          <t xml:space="preserve">  ↳ PsiStorm</t>
        </is>
      </c>
      <c r="C479" s="7" t="inlineStr">
        <is>
          <t>Armament@6</t>
        </is>
      </c>
      <c r="L479" s="6" t="n">
        <v>8000</v>
      </c>
      <c r="M479" s="6" t="n">
        <v>64</v>
      </c>
      <c r="N479" s="6" t="n">
        <v>1</v>
      </c>
      <c r="O479" s="6" t="n"/>
      <c r="P479" s="6" t="n">
        <v>6400</v>
      </c>
      <c r="Q479" s="6" t="n">
        <v>1.25</v>
      </c>
      <c r="R479">
        <f>M479+IF(N479&gt;1,N(O479)*(N479-1),0)</f>
        <v/>
      </c>
      <c r="S479">
        <f>IFERROR(L479*MAX(N479,1)/R479*IF(ISBLANK(K472),1,K472),0)</f>
        <v/>
      </c>
      <c r="AB479" s="7" t="inlineStr">
        <is>
          <t>^Warhead_Tesla_Heavy</t>
        </is>
      </c>
    </row>
    <row r="480">
      <c r="B480" s="7" t="inlineStr">
        <is>
          <t xml:space="preserve">  ↳ PsiStorm</t>
        </is>
      </c>
      <c r="C480" s="7" t="inlineStr">
        <is>
          <t>Armament@7</t>
        </is>
      </c>
      <c r="L480" s="6" t="n">
        <v>8000</v>
      </c>
      <c r="M480" s="6" t="n">
        <v>64</v>
      </c>
      <c r="N480" s="6" t="n">
        <v>1</v>
      </c>
      <c r="O480" s="6" t="n"/>
      <c r="P480" s="6" t="n">
        <v>6400</v>
      </c>
      <c r="Q480" s="6" t="n">
        <v>1.25</v>
      </c>
      <c r="R480">
        <f>M480+IF(N480&gt;1,N(O480)*(N480-1),0)</f>
        <v/>
      </c>
      <c r="S480">
        <f>IFERROR(L480*MAX(N480,1)/R480*IF(ISBLANK(K472),1,K472),0)</f>
        <v/>
      </c>
      <c r="AB480" s="7" t="inlineStr">
        <is>
          <t>^Warhead_Tesla_Heavy</t>
        </is>
      </c>
    </row>
    <row r="481">
      <c r="B481" s="7" t="inlineStr">
        <is>
          <t xml:space="preserve">  ↳ PsiStorm</t>
        </is>
      </c>
      <c r="C481" s="7" t="inlineStr">
        <is>
          <t>Armament@8</t>
        </is>
      </c>
      <c r="L481" s="6" t="n">
        <v>8000</v>
      </c>
      <c r="M481" s="6" t="n">
        <v>64</v>
      </c>
      <c r="N481" s="6" t="n">
        <v>1</v>
      </c>
      <c r="O481" s="6" t="n"/>
      <c r="P481" s="6" t="n">
        <v>6400</v>
      </c>
      <c r="Q481" s="6" t="n">
        <v>1.25</v>
      </c>
      <c r="R481">
        <f>M481+IF(N481&gt;1,N(O481)*(N481-1),0)</f>
        <v/>
      </c>
      <c r="S481">
        <f>IFERROR(L481*MAX(N481,1)/R481*IF(ISBLANK(K472),1,K472),0)</f>
        <v/>
      </c>
      <c r="AB481" s="7" t="inlineStr">
        <is>
          <t>^Warhead_Tesla_Heavy</t>
        </is>
      </c>
    </row>
    <row r="482">
      <c r="A482" t="inlineStr">
        <is>
          <t>starcraft</t>
        </is>
      </c>
      <c r="B482" t="inlineStr">
        <is>
          <t>zerg_hydralisk</t>
        </is>
      </c>
      <c r="C482" t="inlineStr">
        <is>
          <t>Hydralisk</t>
        </is>
      </c>
      <c r="D482" s="6" t="inlineStr">
        <is>
          <t>AntiTankAntiAirInfantry</t>
        </is>
      </c>
      <c r="E482" s="6" t="n">
        <v>80000</v>
      </c>
      <c r="F482" s="6" t="n">
        <v>76</v>
      </c>
      <c r="G482" t="inlineStr">
        <is>
          <t>Flak</t>
        </is>
      </c>
      <c r="H482" s="6" t="n">
        <v>1</v>
      </c>
      <c r="I482" s="6" t="n">
        <v>0.5</v>
      </c>
      <c r="J482" s="6" t="n">
        <v>1</v>
      </c>
      <c r="K482" s="6" t="n">
        <v>0.009899999999999999</v>
      </c>
      <c r="P482">
        <f>MAX(P483)</f>
        <v/>
      </c>
      <c r="S482">
        <f>S483</f>
        <v/>
      </c>
      <c r="T482">
        <f>(E482/100000+F482/100+(P482/1000)*J482/5+S482/200)*200*I482*H482</f>
        <v/>
      </c>
      <c r="U482">
        <f>((E482*F482/25000)+((P482/1000)*J482*S482/2.5))*I482*H482</f>
        <v/>
      </c>
      <c r="V482">
        <f>(E482*F482*(P482/1000)*J482*S482*I482*H482)/12500000</f>
        <v/>
      </c>
      <c r="W482">
        <f>(T482+U482+V482)/3</f>
        <v/>
      </c>
      <c r="X482" s="6" t="n">
        <v>3314</v>
      </c>
      <c r="Y482">
        <f>IFERROR(W482-X482,"")</f>
        <v/>
      </c>
      <c r="Z482">
        <f>IFERROR(ABS(Y482)/MAX(X482,1),"")</f>
        <v/>
      </c>
      <c r="AA482">
        <f>IFERROR((X482-(((E482/100000+F482/100+S482/200)*200*I482*H482)+((E482*F482/25000)*I482*H482))/3)/(((J482/5)*200*I482*H482)+((J482*S482/2.5)*I482*H482)+((E482*F482*J482*S482*I482*H482)/12500000))/3*1000,"")</f>
        <v/>
      </c>
    </row>
    <row r="483">
      <c r="B483" s="7" t="inlineStr">
        <is>
          <t xml:space="preserve">  ↳ HydraSpit</t>
        </is>
      </c>
      <c r="C483" s="7" t="inlineStr">
        <is>
          <t>Armament@PRIMARY</t>
        </is>
      </c>
      <c r="L483" s="6" t="n">
        <v>72000</v>
      </c>
      <c r="M483" s="6" t="n">
        <v>15</v>
      </c>
      <c r="N483" s="6" t="n">
        <v>1</v>
      </c>
      <c r="O483" s="6" t="n"/>
      <c r="P483" s="6" t="n">
        <v>5979</v>
      </c>
      <c r="Q483" s="6" t="n">
        <v>1</v>
      </c>
      <c r="R483">
        <f>M483+IF(N483&gt;1,N(O483)*(N483-1),0)</f>
        <v/>
      </c>
      <c r="S483">
        <f>IFERROR(L483*MAX(N483,1)/R483*IF(ISBLANK(K482),1,K482),0)</f>
        <v/>
      </c>
      <c r="AB483" s="7" t="inlineStr">
        <is>
          <t>^LightChemicalWeapon, ^LightMissile, ^SmallArms, ^ArrowWeapon</t>
        </is>
      </c>
    </row>
    <row r="484">
      <c r="B484" s="7" t="inlineStr">
        <is>
          <t xml:space="preserve">  ↳ HydraSpit</t>
        </is>
      </c>
      <c r="C484" s="7" t="inlineStr">
        <is>
          <t>Armament@GARRISONED</t>
        </is>
      </c>
      <c r="L484" s="6" t="n">
        <v>72000</v>
      </c>
      <c r="M484" s="6" t="n">
        <v>15</v>
      </c>
      <c r="N484" s="6" t="n">
        <v>1</v>
      </c>
      <c r="O484" s="6" t="n"/>
      <c r="P484" s="6" t="n">
        <v>5979</v>
      </c>
      <c r="Q484" s="6" t="n">
        <v>1</v>
      </c>
      <c r="R484">
        <f>M484+IF(N484&gt;1,N(O484)*(N484-1),0)</f>
        <v/>
      </c>
      <c r="S484">
        <f>IFERROR(L484*MAX(N484,1)/R484*IF(ISBLANK(K482),1,K482),0)</f>
        <v/>
      </c>
      <c r="AB484" s="7" t="inlineStr">
        <is>
          <t>^LightChemicalWeapon, ^LightMissile, ^SmallArms, ^ArrowWeapon</t>
        </is>
      </c>
    </row>
    <row r="485">
      <c r="A485" t="inlineStr">
        <is>
          <t>starcraft</t>
        </is>
      </c>
      <c r="B485" t="inlineStr">
        <is>
          <t>terran_madcap</t>
        </is>
      </c>
      <c r="C485" t="inlineStr">
        <is>
          <t>Madcap</t>
        </is>
      </c>
      <c r="D485" s="6" t="inlineStr">
        <is>
          <t>AntiTankAntiAirInfantry</t>
        </is>
      </c>
      <c r="E485" s="6" t="n">
        <v>60000</v>
      </c>
      <c r="F485" s="6" t="n">
        <v>60</v>
      </c>
      <c r="G485" t="inlineStr">
        <is>
          <t>Flak</t>
        </is>
      </c>
      <c r="H485" s="6" t="n">
        <v>1</v>
      </c>
      <c r="I485" s="6" t="n">
        <v>0.5</v>
      </c>
      <c r="J485" s="6" t="n">
        <v>1.25</v>
      </c>
      <c r="K485" s="6" t="n">
        <v>0.0108</v>
      </c>
      <c r="P485">
        <f>MAX(P486)</f>
        <v/>
      </c>
      <c r="S485">
        <f>S486</f>
        <v/>
      </c>
      <c r="T485">
        <f>(E485/100000+F485/100+(P485/1000)*J485/5+S485/200)*200*I485*H485</f>
        <v/>
      </c>
      <c r="U485">
        <f>((E485*F485/25000)+((P485/1000)*J485*S485/2.5))*I485*H485</f>
        <v/>
      </c>
      <c r="V485">
        <f>(E485*F485*(P485/1000)*J485*S485*I485*H485)/12500000</f>
        <v/>
      </c>
      <c r="W485">
        <f>(T485+U485+V485)/3</f>
        <v/>
      </c>
      <c r="X485" s="6" t="n">
        <v>1003</v>
      </c>
      <c r="Y485">
        <f>IFERROR(W485-X485,"")</f>
        <v/>
      </c>
      <c r="Z485">
        <f>IFERROR(ABS(Y485)/MAX(X485,1),"")</f>
        <v/>
      </c>
      <c r="AA485">
        <f>IFERROR((X485-(((E485/100000+F485/100+S485/200)*200*I485*H485)+((E485*F485/25000)*I485*H485))/3)/(((J485/5)*200*I485*H485)+((J485*S485/2.5)*I485*H485)+((E485*F485*J485*S485*I485*H485)/12500000))/3*1000,"")</f>
        <v/>
      </c>
    </row>
    <row r="486">
      <c r="B486" s="7" t="inlineStr">
        <is>
          <t xml:space="preserve">  ↳ MadcapGun</t>
        </is>
      </c>
      <c r="C486" s="7" t="inlineStr">
        <is>
          <t>Armament@PRIMARY</t>
        </is>
      </c>
      <c r="L486" s="6" t="n">
        <v>36000</v>
      </c>
      <c r="M486" s="6" t="n">
        <v>25</v>
      </c>
      <c r="N486" s="6" t="n">
        <v>1</v>
      </c>
      <c r="O486" s="6" t="n"/>
      <c r="P486" s="6" t="n">
        <v>5542</v>
      </c>
      <c r="Q486" s="6" t="n">
        <v>1</v>
      </c>
      <c r="R486">
        <f>M486+IF(N486&gt;1,N(O486)*(N486-1),0)</f>
        <v/>
      </c>
      <c r="S486">
        <f>IFERROR(L486*MAX(N486,1)/R486*IF(ISBLANK(K485),1,K485),0)</f>
        <v/>
      </c>
      <c r="AB486" s="7" t="inlineStr">
        <is>
          <t>^Warhead_Bullet_Light, ^Warhead_Bullet_Medium, ^Warhead_CannonHE_Heavy</t>
        </is>
      </c>
    </row>
    <row r="487">
      <c r="B487" s="7" t="inlineStr">
        <is>
          <t xml:space="preserve">  ↳ MadcapGun</t>
        </is>
      </c>
      <c r="C487" s="7" t="inlineStr">
        <is>
          <t>Armament@GARRISONED</t>
        </is>
      </c>
      <c r="L487" s="6" t="n">
        <v>36000</v>
      </c>
      <c r="M487" s="6" t="n">
        <v>25</v>
      </c>
      <c r="N487" s="6" t="n">
        <v>1</v>
      </c>
      <c r="O487" s="6" t="n"/>
      <c r="P487" s="6" t="n">
        <v>5542</v>
      </c>
      <c r="Q487" s="6" t="n">
        <v>1</v>
      </c>
      <c r="R487">
        <f>M487+IF(N487&gt;1,N(O487)*(N487-1),0)</f>
        <v/>
      </c>
      <c r="S487">
        <f>IFERROR(L487*MAX(N487,1)/R487*IF(ISBLANK(K485),1,K485),0)</f>
        <v/>
      </c>
      <c r="AB487" s="7" t="inlineStr">
        <is>
          <t>^Warhead_Bullet_Light, ^Warhead_Bullet_Medium, ^Warhead_CannonHE_Heavy</t>
        </is>
      </c>
    </row>
    <row r="488">
      <c r="A488" t="inlineStr">
        <is>
          <t>starcraft</t>
        </is>
      </c>
      <c r="B488" t="inlineStr">
        <is>
          <t>terran_marine</t>
        </is>
      </c>
      <c r="C488" t="inlineStr">
        <is>
          <t>Marine</t>
        </is>
      </c>
      <c r="D488" s="6" t="inlineStr">
        <is>
          <t>AntiTankAntiAirInfantry</t>
        </is>
      </c>
      <c r="E488" s="6" t="n">
        <v>41000</v>
      </c>
      <c r="F488" s="6" t="n">
        <v>61</v>
      </c>
      <c r="G488" t="inlineStr">
        <is>
          <t>Flak</t>
        </is>
      </c>
      <c r="H488" s="6" t="n">
        <v>1</v>
      </c>
      <c r="I488" s="6" t="n">
        <v>1</v>
      </c>
      <c r="J488" s="6" t="n">
        <v>1</v>
      </c>
      <c r="K488" s="6" t="n">
        <v>0.0031</v>
      </c>
      <c r="P488">
        <f>MAX(P489)</f>
        <v/>
      </c>
      <c r="S488">
        <f>S489</f>
        <v/>
      </c>
      <c r="T488">
        <f>(E488/100000+F488/100+(P488/1000)*J488/5+S488/200)*200*I488*H488</f>
        <v/>
      </c>
      <c r="U488">
        <f>((E488*F488/25000)+((P488/1000)*J488*S488/2.5))*I488*H488</f>
        <v/>
      </c>
      <c r="V488">
        <f>(E488*F488*(P488/1000)*J488*S488*I488*H488)/12500000</f>
        <v/>
      </c>
      <c r="W488">
        <f>(T488+U488+V488)/3</f>
        <v/>
      </c>
      <c r="X488" s="6" t="n">
        <v>689</v>
      </c>
      <c r="Y488">
        <f>IFERROR(W488-X488,"")</f>
        <v/>
      </c>
      <c r="Z488">
        <f>IFERROR(ABS(Y488)/MAX(X488,1),"")</f>
        <v/>
      </c>
      <c r="AA488">
        <f>IFERROR((X488-(((E488/100000+F488/100+S488/200)*200*I488*H488)+((E488*F488/25000)*I488*H488))/3)/(((J488/5)*200*I488*H488)+((J488*S488/2.5)*I488*H488)+((E488*F488*J488*S488*I488*H488)/12500000))/3*1000,"")</f>
        <v/>
      </c>
    </row>
    <row r="489">
      <c r="B489" s="7" t="inlineStr">
        <is>
          <t xml:space="preserve">  ↳ MarineMG</t>
        </is>
      </c>
      <c r="C489" s="7" t="inlineStr">
        <is>
          <t>Armament@PRIMARY</t>
        </is>
      </c>
      <c r="L489" s="6" t="n">
        <v>36000</v>
      </c>
      <c r="M489" s="6" t="n">
        <v>26</v>
      </c>
      <c r="N489" s="6" t="n">
        <v>3</v>
      </c>
      <c r="O489" s="6" t="n">
        <v>2</v>
      </c>
      <c r="P489" s="6" t="n">
        <v>6105</v>
      </c>
      <c r="Q489" s="6" t="n">
        <v>1</v>
      </c>
      <c r="R489">
        <f>M489+IF(N489&gt;1,N(O489)*(N489-1),0)</f>
        <v/>
      </c>
      <c r="S489">
        <f>IFERROR(L489*MAX(N489,1)/R489*IF(ISBLANK(K488),1,K488),0)</f>
        <v/>
      </c>
      <c r="AB489" s="7" t="inlineStr">
        <is>
          <t>^Warhead_Bullet_Light, ^Warhead_Bullet_Medium, ^Warhead_CannonHE_Heavy</t>
        </is>
      </c>
    </row>
    <row r="490">
      <c r="B490" s="7" t="inlineStr">
        <is>
          <t xml:space="preserve">  ↳ MarineMG</t>
        </is>
      </c>
      <c r="C490" s="7" t="inlineStr">
        <is>
          <t>Armament@GARRISONED</t>
        </is>
      </c>
      <c r="L490" s="6" t="n">
        <v>36000</v>
      </c>
      <c r="M490" s="6" t="n">
        <v>26</v>
      </c>
      <c r="N490" s="6" t="n">
        <v>3</v>
      </c>
      <c r="O490" s="6" t="n">
        <v>2</v>
      </c>
      <c r="P490" s="6" t="n">
        <v>6105</v>
      </c>
      <c r="Q490" s="6" t="n">
        <v>1</v>
      </c>
      <c r="R490">
        <f>M490+IF(N490&gt;1,N(O490)*(N490-1),0)</f>
        <v/>
      </c>
      <c r="S490">
        <f>IFERROR(L490*MAX(N490,1)/R490*IF(ISBLANK(K488),1,K488),0)</f>
        <v/>
      </c>
      <c r="AB490" s="7" t="inlineStr">
        <is>
          <t>^Warhead_Bullet_Light, ^Warhead_Bullet_Medium, ^Warhead_CannonHE_Heavy</t>
        </is>
      </c>
    </row>
    <row r="491">
      <c r="A491" t="inlineStr">
        <is>
          <t>warcraft2</t>
        </is>
      </c>
      <c r="B491" t="inlineStr">
        <is>
          <t>wc2_orcs_kodobeast</t>
        </is>
      </c>
      <c r="C491" t="inlineStr">
        <is>
          <t>Kodo Beast</t>
        </is>
      </c>
      <c r="D491" s="6" t="inlineStr">
        <is>
          <t>AntiTankAntiAirInfantry</t>
        </is>
      </c>
      <c r="E491" s="6" t="n">
        <v>125000</v>
      </c>
      <c r="F491" s="6" t="n">
        <v>60</v>
      </c>
      <c r="G491" t="inlineStr">
        <is>
          <t>Flak</t>
        </is>
      </c>
      <c r="H491" s="6" t="n">
        <v>1</v>
      </c>
      <c r="I491" s="6" t="n">
        <v>0.5</v>
      </c>
      <c r="J491" s="6" t="n">
        <v>1.25</v>
      </c>
      <c r="K491" s="6" t="n"/>
      <c r="P491">
        <f>MAX(P492)</f>
        <v/>
      </c>
      <c r="S491">
        <f>S492</f>
        <v/>
      </c>
      <c r="T491">
        <f>(E491/100000+F491/100+(P491/1000)*J491/5+S491/200)*200*I491*H491</f>
        <v/>
      </c>
      <c r="U491">
        <f>((E491*F491/25000)+((P491/1000)*J491*S491/2.5))*I491*H491</f>
        <v/>
      </c>
      <c r="V491">
        <f>(E491*F491*(P491/1000)*J491*S491*I491*H491)/12500000</f>
        <v/>
      </c>
      <c r="W491">
        <f>(T491+U491+V491)/3</f>
        <v/>
      </c>
      <c r="X491" s="6" t="n">
        <v>1000</v>
      </c>
      <c r="Y491">
        <f>IFERROR(W491-X491,"")</f>
        <v/>
      </c>
      <c r="Z491">
        <f>IFERROR(ABS(Y491)/MAX(X491,1),"")</f>
        <v/>
      </c>
      <c r="AA491">
        <f>IFERROR((X491-(((E491/100000+F491/100+S491/200)*200*I491*H491)+((E491*F491/25000)*I491*H491))/3)/(((J491/5)*200*I491*H491)+((J491*S491/2.5)*I491*H491)+((E491*F491*J491*S491*I491*H491)/12500000))/3*1000,"")</f>
        <v/>
      </c>
    </row>
    <row r="492">
      <c r="B492" s="7" t="inlineStr">
        <is>
          <t xml:space="preserve">  ↳ wc2axeFire</t>
        </is>
      </c>
      <c r="C492" s="7" t="inlineStr">
        <is>
          <t>Armament</t>
        </is>
      </c>
      <c r="L492" s="6" t="n">
        <v>24000</v>
      </c>
      <c r="M492" s="6" t="n">
        <v>38</v>
      </c>
      <c r="N492" s="6" t="n">
        <v>1</v>
      </c>
      <c r="O492" s="6" t="n"/>
      <c r="P492" s="6" t="n">
        <v>6445</v>
      </c>
      <c r="Q492" s="6" t="n">
        <v>1</v>
      </c>
      <c r="R492">
        <f>M492+IF(N492&gt;1,N(O492)*(N492-1),0)</f>
        <v/>
      </c>
      <c r="S492">
        <f>IFERROR(L492*MAX(N492,1)/R492*IF(ISBLANK(K491),1,K491),0)</f>
        <v/>
      </c>
      <c r="AB492" s="7" t="inlineStr">
        <is>
          <t>^Warhead_CannonHE_Medium</t>
        </is>
      </c>
    </row>
    <row r="493">
      <c r="B493" s="7" t="inlineStr">
        <is>
          <t xml:space="preserve">  ↳ wc2axeFire</t>
        </is>
      </c>
      <c r="C493" s="7" t="inlineStr">
        <is>
          <t>Armament@GARRISONED</t>
        </is>
      </c>
      <c r="L493" s="6" t="n">
        <v>24000</v>
      </c>
      <c r="M493" s="6" t="n">
        <v>38</v>
      </c>
      <c r="N493" s="6" t="n">
        <v>1</v>
      </c>
      <c r="O493" s="6" t="n"/>
      <c r="P493" s="6" t="n">
        <v>6445</v>
      </c>
      <c r="Q493" s="6" t="n">
        <v>1</v>
      </c>
      <c r="R493">
        <f>M493+IF(N493&gt;1,N(O493)*(N493-1),0)</f>
        <v/>
      </c>
      <c r="S493">
        <f>IFERROR(L493*MAX(N493,1)/R493*IF(ISBLANK(K491),1,K491),0)</f>
        <v/>
      </c>
      <c r="AB493" s="7" t="inlineStr">
        <is>
          <t>^Warhead_CannonHE_Medium</t>
        </is>
      </c>
    </row>
    <row r="494">
      <c r="A494" t="inlineStr">
        <is>
          <t>warcraft2</t>
        </is>
      </c>
      <c r="B494" t="inlineStr">
        <is>
          <t>wc2_orcs_trollaxethrower</t>
        </is>
      </c>
      <c r="C494" t="inlineStr">
        <is>
          <t>Troll Axethrower</t>
        </is>
      </c>
      <c r="D494" s="6" t="inlineStr">
        <is>
          <t>AntiTankAntiAirInfantry</t>
        </is>
      </c>
      <c r="E494" s="6" t="n">
        <v>30000</v>
      </c>
      <c r="F494" s="6" t="n">
        <v>60</v>
      </c>
      <c r="G494" t="inlineStr">
        <is>
          <t>Flak</t>
        </is>
      </c>
      <c r="H494" s="6" t="n">
        <v>1</v>
      </c>
      <c r="I494" s="6" t="n">
        <v>0.5</v>
      </c>
      <c r="J494" s="6" t="n">
        <v>1</v>
      </c>
      <c r="K494" s="6" t="n"/>
      <c r="P494">
        <f>MAX(P495)</f>
        <v/>
      </c>
      <c r="S494">
        <f>S495</f>
        <v/>
      </c>
      <c r="T494">
        <f>(E494/100000+F494/100+(P494/1000)*J494/5+S494/200)*200*I494*H494</f>
        <v/>
      </c>
      <c r="U494">
        <f>((E494*F494/25000)+((P494/1000)*J494*S494/2.5))*I494*H494</f>
        <v/>
      </c>
      <c r="V494">
        <f>(E494*F494*(P494/1000)*J494*S494*I494*H494)/12500000</f>
        <v/>
      </c>
      <c r="W494">
        <f>(T494+U494+V494)/3</f>
        <v/>
      </c>
      <c r="X494" s="6" t="n">
        <v>500</v>
      </c>
      <c r="Y494">
        <f>IFERROR(W494-X494,"")</f>
        <v/>
      </c>
      <c r="Z494">
        <f>IFERROR(ABS(Y494)/MAX(X494,1),"")</f>
        <v/>
      </c>
      <c r="AA494">
        <f>IFERROR((X494-(((E494/100000+F494/100+S494/200)*200*I494*H494)+((E494*F494/25000)*I494*H494))/3)/(((J494/5)*200*I494*H494)+((J494*S494/2.5)*I494*H494)+((E494*F494*J494*S494*I494*H494)/12500000))/3*1000,"")</f>
        <v/>
      </c>
    </row>
    <row r="495">
      <c r="B495" s="7" t="inlineStr">
        <is>
          <t xml:space="preserve">  ↳ wc2axeFire</t>
        </is>
      </c>
      <c r="C495" s="7" t="inlineStr">
        <is>
          <t>Armament</t>
        </is>
      </c>
      <c r="L495" s="6" t="n">
        <v>24000</v>
      </c>
      <c r="M495" s="6" t="n">
        <v>38</v>
      </c>
      <c r="N495" s="6" t="n">
        <v>1</v>
      </c>
      <c r="O495" s="6" t="n"/>
      <c r="P495" s="6" t="n">
        <v>6445</v>
      </c>
      <c r="Q495" s="6" t="n">
        <v>1</v>
      </c>
      <c r="R495">
        <f>M495+IF(N495&gt;1,N(O495)*(N495-1),0)</f>
        <v/>
      </c>
      <c r="S495">
        <f>IFERROR(L495*MAX(N495,1)/R495*IF(ISBLANK(K494),1,K494),0)</f>
        <v/>
      </c>
      <c r="AB495" s="7" t="inlineStr">
        <is>
          <t>^Warhead_CannonHE_Medium</t>
        </is>
      </c>
    </row>
    <row r="496">
      <c r="B496" s="7" t="inlineStr">
        <is>
          <t xml:space="preserve">  ↳ wc2axeFire</t>
        </is>
      </c>
      <c r="C496" s="7" t="inlineStr">
        <is>
          <t>Armament@GARRISONED</t>
        </is>
      </c>
      <c r="L496" s="6" t="n">
        <v>24000</v>
      </c>
      <c r="M496" s="6" t="n">
        <v>38</v>
      </c>
      <c r="N496" s="6" t="n">
        <v>1</v>
      </c>
      <c r="O496" s="6" t="n"/>
      <c r="P496" s="6" t="n">
        <v>6445</v>
      </c>
      <c r="Q496" s="6" t="n">
        <v>1</v>
      </c>
      <c r="R496">
        <f>M496+IF(N496&gt;1,N(O496)*(N496-1),0)</f>
        <v/>
      </c>
      <c r="S496">
        <f>IFERROR(L496*MAX(N496,1)/R496*IF(ISBLANK(K494),1,K494),0)</f>
        <v/>
      </c>
      <c r="AB496" s="7" t="inlineStr">
        <is>
          <t>^Warhead_CannonHE_Medium</t>
        </is>
      </c>
    </row>
    <row r="497">
      <c r="A497" t="inlineStr">
        <is>
          <t>warcraft2</t>
        </is>
      </c>
      <c r="B497" t="inlineStr">
        <is>
          <t>wc2_orcs_trollberserker</t>
        </is>
      </c>
      <c r="C497" t="inlineStr">
        <is>
          <t>Troll Berserker</t>
        </is>
      </c>
      <c r="D497" s="6" t="inlineStr">
        <is>
          <t>AntiTankAntiAirInfantry</t>
        </is>
      </c>
      <c r="E497" s="6" t="n">
        <v>30000</v>
      </c>
      <c r="F497" s="6" t="n">
        <v>60</v>
      </c>
      <c r="G497" t="inlineStr">
        <is>
          <t>Flak</t>
        </is>
      </c>
      <c r="H497" s="6" t="n">
        <v>1</v>
      </c>
      <c r="I497" s="6" t="n">
        <v>1</v>
      </c>
      <c r="J497" s="6" t="n">
        <v>1</v>
      </c>
      <c r="K497" s="6" t="n"/>
      <c r="P497">
        <f>MAX(P498)</f>
        <v/>
      </c>
      <c r="S497">
        <f>S498</f>
        <v/>
      </c>
      <c r="T497">
        <f>(E497/100000+F497/100+(P497/1000)*J497/5+S497/200)*200*I497*H497</f>
        <v/>
      </c>
      <c r="U497">
        <f>((E497*F497/25000)+((P497/1000)*J497*S497/2.5))*I497*H497</f>
        <v/>
      </c>
      <c r="V497">
        <f>(E497*F497*(P497/1000)*J497*S497*I497*H497)/12500000</f>
        <v/>
      </c>
      <c r="W497">
        <f>(T497+U497+V497)/3</f>
        <v/>
      </c>
      <c r="X497" s="6" t="n">
        <v>500</v>
      </c>
      <c r="Y497">
        <f>IFERROR(W497-X497,"")</f>
        <v/>
      </c>
      <c r="Z497">
        <f>IFERROR(ABS(Y497)/MAX(X497,1),"")</f>
        <v/>
      </c>
      <c r="AA497">
        <f>IFERROR((X497-(((E497/100000+F497/100+S497/200)*200*I497*H497)+((E497*F497/25000)*I497*H497))/3)/(((J497/5)*200*I497*H497)+((J497*S497/2.5)*I497*H497)+((E497*F497*J497*S497*I497*H497)/12500000))/3*1000,"")</f>
        <v/>
      </c>
    </row>
    <row r="498">
      <c r="B498" s="7" t="inlineStr">
        <is>
          <t xml:space="preserve">  ↳ wc2axeFire</t>
        </is>
      </c>
      <c r="C498" s="7" t="inlineStr">
        <is>
          <t>Armament</t>
        </is>
      </c>
      <c r="L498" s="6" t="n">
        <v>24000</v>
      </c>
      <c r="M498" s="6" t="n">
        <v>38</v>
      </c>
      <c r="N498" s="6" t="n">
        <v>1</v>
      </c>
      <c r="O498" s="6" t="n"/>
      <c r="P498" s="6" t="n">
        <v>6445</v>
      </c>
      <c r="Q498" s="6" t="n">
        <v>1</v>
      </c>
      <c r="R498">
        <f>M498+IF(N498&gt;1,N(O498)*(N498-1),0)</f>
        <v/>
      </c>
      <c r="S498">
        <f>IFERROR(L498*MAX(N498,1)/R498*IF(ISBLANK(K497),1,K497),0)</f>
        <v/>
      </c>
      <c r="AB498" s="7" t="inlineStr">
        <is>
          <t>^Warhead_CannonHE_Medium</t>
        </is>
      </c>
    </row>
    <row r="499">
      <c r="B499" s="7" t="inlineStr">
        <is>
          <t xml:space="preserve">  ↳ wc2axeFire</t>
        </is>
      </c>
      <c r="C499" s="7" t="inlineStr">
        <is>
          <t>Armament@GARRISONED</t>
        </is>
      </c>
      <c r="L499" s="6" t="n">
        <v>24000</v>
      </c>
      <c r="M499" s="6" t="n">
        <v>38</v>
      </c>
      <c r="N499" s="6" t="n">
        <v>1</v>
      </c>
      <c r="O499" s="6" t="n"/>
      <c r="P499" s="6" t="n">
        <v>6445</v>
      </c>
      <c r="Q499" s="6" t="n">
        <v>1</v>
      </c>
      <c r="R499">
        <f>M499+IF(N499&gt;1,N(O499)*(N499-1),0)</f>
        <v/>
      </c>
      <c r="S499">
        <f>IFERROR(L499*MAX(N499,1)/R499*IF(ISBLANK(K497),1,K497),0)</f>
        <v/>
      </c>
      <c r="AB499" s="7" t="inlineStr">
        <is>
          <t>^Warhead_CannonHE_Medium</t>
        </is>
      </c>
    </row>
    <row r="500">
      <c r="A500" t="inlineStr">
        <is>
          <t>warcraft2</t>
        </is>
      </c>
      <c r="B500" t="inlineStr">
        <is>
          <t>wc2_orcs_trollheadhunter</t>
        </is>
      </c>
      <c r="C500" t="inlineStr">
        <is>
          <t>Troll Headhunter</t>
        </is>
      </c>
      <c r="D500" s="6" t="inlineStr">
        <is>
          <t>AntiTankAntiAirInfantry</t>
        </is>
      </c>
      <c r="E500" s="6" t="n">
        <v>40000</v>
      </c>
      <c r="F500" s="6" t="n">
        <v>75</v>
      </c>
      <c r="G500" t="inlineStr">
        <is>
          <t>Flak</t>
        </is>
      </c>
      <c r="H500" s="6" t="n">
        <v>1</v>
      </c>
      <c r="I500" s="6" t="n">
        <v>1</v>
      </c>
      <c r="J500" s="6" t="n">
        <v>1</v>
      </c>
      <c r="K500" s="6" t="n"/>
      <c r="P500">
        <f>MAX(P501)</f>
        <v/>
      </c>
      <c r="S500">
        <f>S501</f>
        <v/>
      </c>
      <c r="T500">
        <f>(E500/100000+F500/100+(P500/1000)*J500/5+S500/200)*200*I500*H500</f>
        <v/>
      </c>
      <c r="U500">
        <f>((E500*F500/25000)+((P500/1000)*J500*S500/2.5))*I500*H500</f>
        <v/>
      </c>
      <c r="V500">
        <f>(E500*F500*(P500/1000)*J500*S500*I500*H500)/12500000</f>
        <v/>
      </c>
      <c r="W500">
        <f>(T500+U500+V500)/3</f>
        <v/>
      </c>
      <c r="X500" s="6" t="n">
        <v>1000</v>
      </c>
      <c r="Y500">
        <f>IFERROR(W500-X500,"")</f>
        <v/>
      </c>
      <c r="Z500">
        <f>IFERROR(ABS(Y500)/MAX(X500,1),"")</f>
        <v/>
      </c>
      <c r="AA500">
        <f>IFERROR((X500-(((E500/100000+F500/100+S500/200)*200*I500*H500)+((E500*F500/25000)*I500*H500))/3)/(((J500/5)*200*I500*H500)+((J500*S500/2.5)*I500*H500)+((E500*F500*J500*S500*I500*H500)/12500000))/3*1000,"")</f>
        <v/>
      </c>
    </row>
    <row r="501">
      <c r="B501" s="7" t="inlineStr">
        <is>
          <t xml:space="preserve">  ↳ wc2axeFirespear</t>
        </is>
      </c>
      <c r="C501" s="7" t="inlineStr">
        <is>
          <t>Armament</t>
        </is>
      </c>
      <c r="L501" s="6" t="n">
        <v>33000</v>
      </c>
      <c r="M501" s="6" t="n">
        <v>40</v>
      </c>
      <c r="N501" s="6" t="n">
        <v>1</v>
      </c>
      <c r="O501" s="6" t="n"/>
      <c r="P501" s="6" t="n">
        <v>7711</v>
      </c>
      <c r="Q501" s="6" t="n">
        <v>1</v>
      </c>
      <c r="R501">
        <f>M501+IF(N501&gt;1,N(O501)*(N501-1),0)</f>
        <v/>
      </c>
      <c r="S501">
        <f>IFERROR(L501*MAX(N501,1)/R501*IF(ISBLANK(K500),1,K500),0)</f>
        <v/>
      </c>
      <c r="AB501" s="7" t="inlineStr">
        <is>
          <t>^Warhead_CannonHE_Medium</t>
        </is>
      </c>
    </row>
    <row r="502">
      <c r="B502" s="7" t="inlineStr">
        <is>
          <t xml:space="preserve">  ↳ wc2axeFirespear</t>
        </is>
      </c>
      <c r="C502" s="7" t="inlineStr">
        <is>
          <t>Armament@GARRISONED</t>
        </is>
      </c>
      <c r="L502" s="6" t="n">
        <v>33000</v>
      </c>
      <c r="M502" s="6" t="n">
        <v>40</v>
      </c>
      <c r="N502" s="6" t="n">
        <v>1</v>
      </c>
      <c r="O502" s="6" t="n"/>
      <c r="P502" s="6" t="n">
        <v>7711</v>
      </c>
      <c r="Q502" s="6" t="n">
        <v>1</v>
      </c>
      <c r="R502">
        <f>M502+IF(N502&gt;1,N(O502)*(N502-1),0)</f>
        <v/>
      </c>
      <c r="S502">
        <f>IFERROR(L502*MAX(N502,1)/R502*IF(ISBLANK(K500),1,K500),0)</f>
        <v/>
      </c>
      <c r="AB502" s="7" t="inlineStr">
        <is>
          <t>^Warhead_CannonHE_Medium</t>
        </is>
      </c>
    </row>
    <row r="503">
      <c r="A503" t="inlineStr">
        <is>
          <t>warcraft2</t>
        </is>
      </c>
      <c r="B503" t="inlineStr">
        <is>
          <t>wc2_humans_elvenarcher</t>
        </is>
      </c>
      <c r="C503" t="inlineStr">
        <is>
          <t>Elven Archer</t>
        </is>
      </c>
      <c r="D503" s="6" t="inlineStr">
        <is>
          <t>AntiTankAntiAirInfantry</t>
        </is>
      </c>
      <c r="E503" s="6" t="n">
        <v>25000</v>
      </c>
      <c r="F503" s="6" t="n">
        <v>75</v>
      </c>
      <c r="G503" t="inlineStr">
        <is>
          <t>Flak</t>
        </is>
      </c>
      <c r="H503" s="6" t="n">
        <v>1</v>
      </c>
      <c r="I503" s="6" t="n">
        <v>0.5</v>
      </c>
      <c r="J503" s="6" t="n">
        <v>1</v>
      </c>
      <c r="K503" s="6" t="n">
        <v>0.0075</v>
      </c>
      <c r="P503">
        <f>MAX(P504)</f>
        <v/>
      </c>
      <c r="S503">
        <f>S504</f>
        <v/>
      </c>
      <c r="T503">
        <f>(E503/100000+F503/100+(P503/1000)*J503/5+S503/200)*200*I503*H503</f>
        <v/>
      </c>
      <c r="U503">
        <f>((E503*F503/25000)+((P503/1000)*J503*S503/2.5))*I503*H503</f>
        <v/>
      </c>
      <c r="V503">
        <f>(E503*F503*(P503/1000)*J503*S503*I503*H503)/12500000</f>
        <v/>
      </c>
      <c r="W503">
        <f>(((E503/20000)+(F503/70)+(S503/200)+((P503/7000)*J503))*500/4+(((E503/20000)*(F503/70))+(((P503/7000)*J503)*(S503/200)))*500/2+((E503/20000)*(F503/70)*((P503/7000)*J503)*(S503/200))*500)*(H503/1.0)/3</f>
        <v/>
      </c>
      <c r="X503" s="6" t="n">
        <v>600</v>
      </c>
      <c r="Y503">
        <f>IFERROR(W503-X503,"")</f>
        <v/>
      </c>
      <c r="Z503">
        <f>IFERROR(ABS(Y503)/MAX(X503,1),"")</f>
        <v/>
      </c>
      <c r="AA503">
        <f>IFERROR(ROUND(((3*X503-(((E503/20000)+(F503/70)+(S503/200))*500/4+((E503/20000)*(F503/70))*500/2)*(H503/1.0))/(500/4+((S503/200))*500/2+((E503/20000)*(F503/70)*(S503/200))*500)*(H503/1.0)*7000)/J503,-1),"")</f>
        <v/>
      </c>
    </row>
    <row r="504">
      <c r="B504" s="7" t="inlineStr">
        <is>
          <t xml:space="preserve">  ↳ wc2arrowFire</t>
        </is>
      </c>
      <c r="C504" s="7" t="inlineStr">
        <is>
          <t>Armament</t>
        </is>
      </c>
      <c r="L504" s="6" t="n">
        <v>24000</v>
      </c>
      <c r="M504" s="6" t="n">
        <v>25</v>
      </c>
      <c r="N504" s="6" t="n">
        <v>1</v>
      </c>
      <c r="O504" s="6" t="n"/>
      <c r="P504" s="6" t="n">
        <v>6973</v>
      </c>
      <c r="Q504" s="6" t="n">
        <v>1</v>
      </c>
      <c r="R504">
        <f>M504+IF(N504&gt;1,N(O504)*(N504-1),0)</f>
        <v/>
      </c>
      <c r="S504">
        <f>IFERROR(L504*MAX(N504,1)/R504*IF(ISBLANK(K503),1,K503),0)</f>
        <v/>
      </c>
      <c r="AB504" s="7" t="inlineStr">
        <is>
          <t>^Warhead_CannonHE_Medium</t>
        </is>
      </c>
    </row>
    <row r="505">
      <c r="B505" s="7" t="inlineStr">
        <is>
          <t xml:space="preserve">  ↳ wc2arrowFire</t>
        </is>
      </c>
      <c r="C505" s="7" t="inlineStr">
        <is>
          <t>Armament@GARRISONED</t>
        </is>
      </c>
      <c r="L505" s="6" t="n">
        <v>24000</v>
      </c>
      <c r="M505" s="6" t="n">
        <v>25</v>
      </c>
      <c r="N505" s="6" t="n">
        <v>1</v>
      </c>
      <c r="O505" s="6" t="n"/>
      <c r="P505" s="6" t="n">
        <v>6973</v>
      </c>
      <c r="Q505" s="6" t="n">
        <v>1</v>
      </c>
      <c r="R505">
        <f>M505+IF(N505&gt;1,N(O505)*(N505-1),0)</f>
        <v/>
      </c>
      <c r="S505">
        <f>IFERROR(L505*MAX(N505,1)/R505*IF(ISBLANK(K503),1,K503),0)</f>
        <v/>
      </c>
      <c r="AB505" s="7" t="inlineStr">
        <is>
          <t>^Warhead_CannonHE_Medium</t>
        </is>
      </c>
    </row>
    <row r="506">
      <c r="A506" t="inlineStr">
        <is>
          <t>warcraft2</t>
        </is>
      </c>
      <c r="B506" t="inlineStr">
        <is>
          <t>wc2_humans_elvenranger</t>
        </is>
      </c>
      <c r="C506" t="inlineStr">
        <is>
          <t>Elven Ranger</t>
        </is>
      </c>
      <c r="D506" s="6" t="inlineStr">
        <is>
          <t>AntiTankAntiAirInfantry</t>
        </is>
      </c>
      <c r="E506" s="6" t="n">
        <v>25000</v>
      </c>
      <c r="F506" s="6" t="n">
        <v>75</v>
      </c>
      <c r="G506" t="inlineStr">
        <is>
          <t>Flak</t>
        </is>
      </c>
      <c r="H506" s="6" t="n">
        <v>1</v>
      </c>
      <c r="I506" s="6" t="n">
        <v>1</v>
      </c>
      <c r="J506" s="6" t="n">
        <v>1</v>
      </c>
      <c r="K506" s="6" t="n"/>
      <c r="P506">
        <f>MAX(P507)</f>
        <v/>
      </c>
      <c r="S506">
        <f>S507</f>
        <v/>
      </c>
      <c r="T506">
        <f>(E506/100000+F506/100+(P506/1000)*J506/5+S506/200)*200*I506*H506</f>
        <v/>
      </c>
      <c r="U506">
        <f>((E506*F506/25000)+((P506/1000)*J506*S506/2.5))*I506*H506</f>
        <v/>
      </c>
      <c r="V506">
        <f>(E506*F506*(P506/1000)*J506*S506*I506*H506)/12500000</f>
        <v/>
      </c>
      <c r="W506">
        <f>(T506+U506+V506)/3</f>
        <v/>
      </c>
      <c r="X506" s="6" t="n">
        <v>600</v>
      </c>
      <c r="Y506">
        <f>IFERROR(W506-X506,"")</f>
        <v/>
      </c>
      <c r="Z506">
        <f>IFERROR(ABS(Y506)/MAX(X506,1),"")</f>
        <v/>
      </c>
      <c r="AA506">
        <f>IFERROR((X506-(((E506/100000+F506/100+S506/200)*200*I506*H506)+((E506*F506/25000)*I506*H506))/3)/(((J506/5)*200*I506*H506)+((J506*S506/2.5)*I506*H506)+((E506*F506*J506*S506*I506*H506)/12500000))/3*1000,"")</f>
        <v/>
      </c>
    </row>
    <row r="507">
      <c r="B507" s="7" t="inlineStr">
        <is>
          <t xml:space="preserve">  ↳ wc2arrowFire</t>
        </is>
      </c>
      <c r="C507" s="7" t="inlineStr">
        <is>
          <t>Armament</t>
        </is>
      </c>
      <c r="L507" s="6" t="n">
        <v>24000</v>
      </c>
      <c r="M507" s="6" t="n">
        <v>25</v>
      </c>
      <c r="N507" s="6" t="n">
        <v>1</v>
      </c>
      <c r="O507" s="6" t="n"/>
      <c r="P507" s="6" t="n">
        <v>6973</v>
      </c>
      <c r="Q507" s="6" t="n">
        <v>1</v>
      </c>
      <c r="R507">
        <f>M507+IF(N507&gt;1,N(O507)*(N507-1),0)</f>
        <v/>
      </c>
      <c r="S507">
        <f>IFERROR(L507*MAX(N507,1)/R507*IF(ISBLANK(K506),1,K506),0)</f>
        <v/>
      </c>
      <c r="AB507" s="7" t="inlineStr">
        <is>
          <t>^Warhead_CannonHE_Medium</t>
        </is>
      </c>
    </row>
    <row r="508">
      <c r="B508" s="7" t="inlineStr">
        <is>
          <t xml:space="preserve">  ↳ wc2arrowFire</t>
        </is>
      </c>
      <c r="C508" s="7" t="inlineStr">
        <is>
          <t>Armament@GARRISONED</t>
        </is>
      </c>
      <c r="L508" s="6" t="n">
        <v>24000</v>
      </c>
      <c r="M508" s="6" t="n">
        <v>25</v>
      </c>
      <c r="N508" s="6" t="n">
        <v>1</v>
      </c>
      <c r="O508" s="6" t="n"/>
      <c r="P508" s="6" t="n">
        <v>6973</v>
      </c>
      <c r="Q508" s="6" t="n">
        <v>1</v>
      </c>
      <c r="R508">
        <f>M508+IF(N508&gt;1,N(O508)*(N508-1),0)</f>
        <v/>
      </c>
      <c r="S508">
        <f>IFERROR(L508*MAX(N508,1)/R508*IF(ISBLANK(K506),1,K506),0)</f>
        <v/>
      </c>
      <c r="AB508" s="7" t="inlineStr">
        <is>
          <t>^Warhead_CannonHE_Medium</t>
        </is>
      </c>
    </row>
    <row r="509">
      <c r="A509" t="inlineStr">
        <is>
          <t>warcraft2</t>
        </is>
      </c>
      <c r="B509" t="inlineStr">
        <is>
          <t>wc2_humans_highelvenarcher</t>
        </is>
      </c>
      <c r="C509" t="inlineStr">
        <is>
          <t>High Elven Archer</t>
        </is>
      </c>
      <c r="D509" s="6" t="inlineStr">
        <is>
          <t>AntiTankAntiAirInfantry</t>
        </is>
      </c>
      <c r="E509" s="6" t="n">
        <v>35000</v>
      </c>
      <c r="F509" s="6" t="n">
        <v>85</v>
      </c>
      <c r="G509" t="inlineStr">
        <is>
          <t>Flak</t>
        </is>
      </c>
      <c r="H509" s="6" t="n">
        <v>1</v>
      </c>
      <c r="I509" s="6" t="n">
        <v>1</v>
      </c>
      <c r="J509" s="6" t="n">
        <v>1</v>
      </c>
      <c r="K509" s="6" t="n"/>
      <c r="P509">
        <f>MAX(P510)</f>
        <v/>
      </c>
      <c r="S509">
        <f>S510</f>
        <v/>
      </c>
      <c r="T509">
        <f>(E509/100000+F509/100+(P509/1000)*J509/5+S509/200)*200*I509*H509</f>
        <v/>
      </c>
      <c r="U509">
        <f>((E509*F509/25000)+((P509/1000)*J509*S509/2.5))*I509*H509</f>
        <v/>
      </c>
      <c r="V509">
        <f>(E509*F509*(P509/1000)*J509*S509*I509*H509)/12500000</f>
        <v/>
      </c>
      <c r="W509">
        <f>(((E509/20000)+(F509/70)+(S509/200)+((P509/7000)*J509))*500/4+(((E509/20000)*(F509/70))+(((P509/7000)*J509)*(S509/200)))*500/2+((E509/20000)*(F509/70)*((P509/7000)*J509)*(S509/200))*500)*(H509/1.0)/3</f>
        <v/>
      </c>
      <c r="X509" s="6" t="n">
        <v>1100</v>
      </c>
      <c r="Y509">
        <f>IFERROR(W509-X509,"")</f>
        <v/>
      </c>
      <c r="Z509">
        <f>IFERROR(ABS(Y509)/MAX(X509,1),"")</f>
        <v/>
      </c>
      <c r="AA509">
        <f>IFERROR(ROUND(((3*X509-(((E509/20000)+(F509/70)+(S509/200))*500/4+((E509/20000)*(F509/70))*500/2)*(H509/1.0))/(500/4+((S509/200))*500/2+((E509/20000)*(F509/70)*(S509/200))*500)*(H509/1.0)*7000)/J509,-1),"")</f>
        <v/>
      </c>
    </row>
    <row r="510">
      <c r="B510" s="7" t="inlineStr">
        <is>
          <t xml:space="preserve">  ↳ wc2highArrowFire</t>
        </is>
      </c>
      <c r="C510" s="7" t="inlineStr">
        <is>
          <t>Armament</t>
        </is>
      </c>
      <c r="L510" s="6" t="n">
        <v>33000</v>
      </c>
      <c r="M510" s="6" t="n">
        <v>35</v>
      </c>
      <c r="N510" s="6" t="n">
        <v>1</v>
      </c>
      <c r="O510" s="6" t="n"/>
      <c r="P510" s="6" t="n">
        <v>7487</v>
      </c>
      <c r="Q510" s="6" t="n">
        <v>1</v>
      </c>
      <c r="R510">
        <f>M510+IF(N510&gt;1,N(O510)*(N510-1),0)</f>
        <v/>
      </c>
      <c r="S510">
        <f>IFERROR(L510*MAX(N510,1)/R510*IF(ISBLANK(K509),1,K509),0)</f>
        <v/>
      </c>
      <c r="AB510" s="7" t="inlineStr">
        <is>
          <t>^Warhead_CannonHE_Medium</t>
        </is>
      </c>
    </row>
    <row r="511">
      <c r="B511" s="7" t="inlineStr">
        <is>
          <t xml:space="preserve">  ↳ wc2highArrowFire</t>
        </is>
      </c>
      <c r="C511" s="7" t="inlineStr">
        <is>
          <t>Armament@GARRISONED</t>
        </is>
      </c>
      <c r="L511" s="6" t="n">
        <v>33000</v>
      </c>
      <c r="M511" s="6" t="n">
        <v>35</v>
      </c>
      <c r="N511" s="6" t="n">
        <v>1</v>
      </c>
      <c r="O511" s="6" t="n"/>
      <c r="P511" s="6" t="n">
        <v>7487</v>
      </c>
      <c r="Q511" s="6" t="n">
        <v>1</v>
      </c>
      <c r="R511">
        <f>M511+IF(N511&gt;1,N(O511)*(N511-1),0)</f>
        <v/>
      </c>
      <c r="S511">
        <f>IFERROR(L511*MAX(N511,1)/R511*IF(ISBLANK(K509),1,K509),0)</f>
        <v/>
      </c>
      <c r="AB511" s="7" t="inlineStr">
        <is>
          <t>^Warhead_CannonHE_Medium</t>
        </is>
      </c>
    </row>
    <row r="512">
      <c r="A512" s="4" t="inlineStr">
        <is>
          <t>SpecialForcesInfantry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</row>
    <row r="513">
      <c r="A513" t="inlineStr">
        <is>
          <t>tiberiandawn</t>
        </is>
      </c>
      <c r="B513" t="inlineStr">
        <is>
          <t>td_nod_lasertrooper</t>
        </is>
      </c>
      <c r="C513" t="inlineStr">
        <is>
          <t>Laser Trooper</t>
        </is>
      </c>
      <c r="D513" s="6" t="inlineStr">
        <is>
          <t>SpecialForcesInfantry</t>
        </is>
      </c>
      <c r="E513" s="6" t="n">
        <v>59000</v>
      </c>
      <c r="F513" s="6" t="n">
        <v>51</v>
      </c>
      <c r="G513" t="inlineStr">
        <is>
          <t>Flak</t>
        </is>
      </c>
      <c r="H513" s="6" t="n">
        <v>0.5</v>
      </c>
      <c r="I513" s="6" t="n">
        <v>0.8</v>
      </c>
      <c r="J513" s="6" t="n">
        <v>1</v>
      </c>
      <c r="K513" s="6" t="n">
        <v>0.0108</v>
      </c>
      <c r="P513">
        <f>MAX(P514)</f>
        <v/>
      </c>
      <c r="S513">
        <f>S514</f>
        <v/>
      </c>
      <c r="T513">
        <f>(E513/100000+F513/100+(P513/1000)*J513/5+S513/200)*200*I513*H513</f>
        <v/>
      </c>
      <c r="U513">
        <f>((E513*F513/25000)+((P513/1000)*J513*S513/2.5))*I513*H513</f>
        <v/>
      </c>
      <c r="V513">
        <f>(E513*F513*(P513/1000)*J513*S513*I513*H513)/12500000</f>
        <v/>
      </c>
      <c r="W513">
        <f>(((E513/15000)+(F513/50)+(S513/240)+((P513/6000)*J513))*200/4+(((E513/15000)*(F513/50))+(((P513/6000)*J513)*(S513/240)))*200/2+((E513/15000)*(F513/50)*((P513/6000)*J513)*(S513/240))*200)*(H513/1.0)/3</f>
        <v/>
      </c>
      <c r="X513" s="6" t="n">
        <v>750</v>
      </c>
      <c r="Y513">
        <f>IFERROR(W513-X513,"")</f>
        <v/>
      </c>
      <c r="Z513">
        <f>IFERROR(ABS(Y513)/MAX(X513,1),"")</f>
        <v/>
      </c>
      <c r="AA513">
        <f>IFERROR(ROUND(((3*X513-(((E513/15000)+(F513/50)+(S513/240))*200/4+((E513/15000)*(F513/50))*200/2)*(H513/1.0))/(200/4+((S513/240))*200/2+((E513/15000)*(F513/50)*(S513/240))*200)*(H513/1.0)*6000)/J513,-1),"")</f>
        <v/>
      </c>
    </row>
    <row r="514">
      <c r="B514" s="7" t="inlineStr">
        <is>
          <t xml:space="preserve">  ↳ BlackHandLaser</t>
        </is>
      </c>
      <c r="C514" s="7" t="inlineStr">
        <is>
          <t>Armament@PRIMARY</t>
        </is>
      </c>
      <c r="L514" s="6" t="n">
        <v>144000</v>
      </c>
      <c r="M514" s="6" t="n">
        <v>50</v>
      </c>
      <c r="N514" s="6" t="n">
        <v>1</v>
      </c>
      <c r="O514" s="6" t="n"/>
      <c r="P514" s="6" t="n">
        <v>5524</v>
      </c>
      <c r="Q514" s="6" t="n">
        <v>1</v>
      </c>
      <c r="R514">
        <f>M514+IF(N514&gt;1,N(O514)*(N514-1),0)</f>
        <v/>
      </c>
      <c r="S514">
        <f>IFERROR(L514*MAX(N514,1)/R514*IF(ISBLANK(K513),1,K513),0)</f>
        <v/>
      </c>
      <c r="AB514" s="7" t="inlineStr">
        <is>
          <t>^TankDestroyerCannon, ^FlakWeapon, ^LaserWeapon</t>
        </is>
      </c>
    </row>
    <row r="515">
      <c r="B515" s="7" t="inlineStr">
        <is>
          <t xml:space="preserve">  ↳ BlackHandLaser</t>
        </is>
      </c>
      <c r="C515" s="7" t="inlineStr">
        <is>
          <t>Armament@Garrison</t>
        </is>
      </c>
      <c r="L515" s="6" t="n">
        <v>144000</v>
      </c>
      <c r="M515" s="6" t="n">
        <v>50</v>
      </c>
      <c r="N515" s="6" t="n">
        <v>1</v>
      </c>
      <c r="O515" s="6" t="n"/>
      <c r="P515" s="6" t="n">
        <v>5524</v>
      </c>
      <c r="Q515" s="6" t="n">
        <v>1</v>
      </c>
      <c r="R515">
        <f>M515+IF(N515&gt;1,N(O515)*(N515-1),0)</f>
        <v/>
      </c>
      <c r="S515">
        <f>IFERROR(L515*MAX(N515,1)/R515*IF(ISBLANK(K513),1,K513),0)</f>
        <v/>
      </c>
      <c r="AB515" s="7" t="inlineStr">
        <is>
          <t>^TankDestroyerCannon, ^FlakWeapon, ^LaserWeapon</t>
        </is>
      </c>
    </row>
    <row r="516">
      <c r="A516" t="inlineStr">
        <is>
          <t>redalert</t>
        </is>
      </c>
      <c r="B516" t="inlineStr">
        <is>
          <t>japan_imperialscoutsman</t>
        </is>
      </c>
      <c r="C516" t="inlineStr">
        <is>
          <t>Imperial Scoutsman</t>
        </is>
      </c>
      <c r="D516" s="6" t="inlineStr">
        <is>
          <t>SpecialForcesInfantry</t>
        </is>
      </c>
      <c r="E516" s="6" t="n">
        <v>15000</v>
      </c>
      <c r="F516" s="6" t="n">
        <v>50</v>
      </c>
      <c r="G516" t="inlineStr">
        <is>
          <t>Flak</t>
        </is>
      </c>
      <c r="H516" s="6" t="n">
        <v>1</v>
      </c>
      <c r="I516" s="6" t="n">
        <v>1</v>
      </c>
      <c r="J516" s="6" t="n">
        <v>1</v>
      </c>
      <c r="K516" s="6" t="n">
        <v>0.01</v>
      </c>
      <c r="P516">
        <f>MAX(P517,P519)</f>
        <v/>
      </c>
      <c r="S516">
        <f>S517+S519</f>
        <v/>
      </c>
      <c r="T516">
        <f>(E516/100000+F516/100+(P516/1000)*J516/5+S516/200)*200*I516*H516</f>
        <v/>
      </c>
      <c r="U516">
        <f>((E516*F516/25000)+((P516/1000)*J516*S516/2.5))*I516*H516</f>
        <v/>
      </c>
      <c r="V516">
        <f>(E516*F516*(P516/1000)*J516*S516*I516*H516)/12500000</f>
        <v/>
      </c>
      <c r="W516">
        <f>(((E516/15000)+(F516/50)+(S516/240)+((P516/6000)*J516))*200/4+(((E516/15000)*(F516/50))+(((P516/6000)*J516)*(S516/240)))*200/2+((E516/15000)*(F516/50)*((P516/6000)*J516)*(S516/240))*200)*(H516/1.0)/3</f>
        <v/>
      </c>
      <c r="X516" s="6" t="n">
        <v>200</v>
      </c>
      <c r="Y516">
        <f>IFERROR(W516-X516,"")</f>
        <v/>
      </c>
      <c r="Z516">
        <f>IFERROR(ABS(Y516)/MAX(X516,1),"")</f>
        <v/>
      </c>
      <c r="AA516">
        <f>IFERROR(ROUND(((3*X516-(((E516/15000)+(F516/50)+(S516/240))*200/4+((E516/15000)*(F516/50))*200/2)*(H516/1.0))/(200/4+((S516/240))*200/2+((E516/15000)*(F516/50)*(S516/240))*200)*(H516/1.0)*6000)/J516,-1),"")</f>
        <v/>
      </c>
    </row>
    <row r="517">
      <c r="B517" s="7" t="inlineStr">
        <is>
          <t xml:space="preserve">  ↳ japan_imperialscoutsman_rifle</t>
        </is>
      </c>
      <c r="C517" s="7" t="inlineStr">
        <is>
          <t>Armament@PRIMARY</t>
        </is>
      </c>
      <c r="L517" s="6" t="n">
        <v>12000</v>
      </c>
      <c r="M517" s="6" t="n">
        <v>50</v>
      </c>
      <c r="N517" s="6" t="n">
        <v>1</v>
      </c>
      <c r="O517" s="6" t="n"/>
      <c r="P517" s="6" t="n">
        <v>6000</v>
      </c>
      <c r="Q517" s="6" t="n">
        <v>1</v>
      </c>
      <c r="R517">
        <f>M517+IF(N517&gt;1,N(O517)*(N517-1),0)</f>
        <v/>
      </c>
      <c r="S517">
        <f>IFERROR(L517*MAX(N517,1)/R517*IF(ISBLANK(K516),1,K516),0)</f>
        <v/>
      </c>
      <c r="AB517" s="7" t="inlineStr">
        <is>
          <t>^RailgunWeapon, ^Chaingun, ^SmallArms</t>
        </is>
      </c>
    </row>
    <row r="518">
      <c r="B518" s="7" t="inlineStr">
        <is>
          <t xml:space="preserve">  ↳ japan_imperialscoutsman_rifle</t>
        </is>
      </c>
      <c r="C518" s="7" t="inlineStr">
        <is>
          <t>Armament@GARRISONED</t>
        </is>
      </c>
      <c r="L518" s="6" t="n">
        <v>12000</v>
      </c>
      <c r="M518" s="6" t="n">
        <v>50</v>
      </c>
      <c r="N518" s="6" t="n">
        <v>1</v>
      </c>
      <c r="O518" s="6" t="n"/>
      <c r="P518" s="6" t="n">
        <v>6000</v>
      </c>
      <c r="Q518" s="6" t="n">
        <v>1</v>
      </c>
      <c r="R518">
        <f>M518+IF(N518&gt;1,N(O518)*(N518-1),0)</f>
        <v/>
      </c>
      <c r="S518">
        <f>IFERROR(L518*MAX(N518,1)/R518*IF(ISBLANK(K516),1,K516),0)</f>
        <v/>
      </c>
      <c r="AB518" s="7" t="inlineStr">
        <is>
          <t>^RailgunWeapon, ^Chaingun, ^SmallArms</t>
        </is>
      </c>
    </row>
    <row r="519">
      <c r="B519" s="7" t="inlineStr">
        <is>
          <t xml:space="preserve">  ↳ japan_imperialscoutsman_rifle_waveforce</t>
        </is>
      </c>
      <c r="C519" s="7" t="inlineStr">
        <is>
          <t>Armament@Upgrade</t>
        </is>
      </c>
      <c r="L519" s="6" t="n">
        <v>14000</v>
      </c>
      <c r="M519" s="6" t="n">
        <v>50</v>
      </c>
      <c r="N519" s="6" t="n">
        <v>1</v>
      </c>
      <c r="O519" s="6" t="n"/>
      <c r="P519" s="6" t="n">
        <v>6000</v>
      </c>
      <c r="Q519" s="6" t="n">
        <v>1</v>
      </c>
      <c r="R519">
        <f>M519+IF(N519&gt;1,N(O519)*(N519-1),0)</f>
        <v/>
      </c>
      <c r="S519">
        <f>IFERROR(L519*MAX(N519,1)/R519*IF(ISBLANK(K516),1,K516),0)</f>
        <v/>
      </c>
      <c r="AB519" s="7" t="inlineStr">
        <is>
          <t>^Warhead_Railgun_Heavy</t>
        </is>
      </c>
    </row>
    <row r="520">
      <c r="B520" s="7" t="inlineStr">
        <is>
          <t xml:space="preserve">  ↳ japan_imperialscoutsman_rifle_waveforce</t>
        </is>
      </c>
      <c r="C520" s="7" t="inlineStr">
        <is>
          <t>Armament@UpgradeGARRISONED</t>
        </is>
      </c>
      <c r="L520" s="6" t="n">
        <v>14000</v>
      </c>
      <c r="M520" s="6" t="n">
        <v>50</v>
      </c>
      <c r="N520" s="6" t="n">
        <v>1</v>
      </c>
      <c r="O520" s="6" t="n"/>
      <c r="P520" s="6" t="n">
        <v>6000</v>
      </c>
      <c r="Q520" s="6" t="n">
        <v>1</v>
      </c>
      <c r="R520">
        <f>M520+IF(N520&gt;1,N(O520)*(N520-1),0)</f>
        <v/>
      </c>
      <c r="S520">
        <f>IFERROR(L520*MAX(N520,1)/R520*IF(ISBLANK(K516),1,K516),0)</f>
        <v/>
      </c>
      <c r="AB520" s="7" t="inlineStr">
        <is>
          <t>^Warhead_Railgun_Heavy</t>
        </is>
      </c>
    </row>
    <row r="521">
      <c r="A521" t="inlineStr">
        <is>
          <t>redalert2mod</t>
        </is>
      </c>
      <c r="B521" t="inlineStr">
        <is>
          <t>schwarzermond_lunarsoldier</t>
        </is>
      </c>
      <c r="C521" t="inlineStr">
        <is>
          <t>Lunar Soldier</t>
        </is>
      </c>
      <c r="D521" s="6" t="inlineStr">
        <is>
          <t>SpecialForcesInfantry</t>
        </is>
      </c>
      <c r="E521" s="6" t="n">
        <v>30000</v>
      </c>
      <c r="F521" s="6" t="n">
        <v>50</v>
      </c>
      <c r="G521" t="inlineStr">
        <is>
          <t>Flak</t>
        </is>
      </c>
      <c r="H521" s="6" t="n">
        <v>1</v>
      </c>
      <c r="I521" s="6" t="n">
        <v>0.5</v>
      </c>
      <c r="J521" s="6" t="n">
        <v>1</v>
      </c>
      <c r="K521" s="6" t="n">
        <v>0.01</v>
      </c>
      <c r="P521">
        <f>MAX(P522,P523,P524,P525,P526,P527)</f>
        <v/>
      </c>
      <c r="S521">
        <f>S522+S523+S524+S525+S526+S527</f>
        <v/>
      </c>
      <c r="T521">
        <f>(E521/100000+F521/100+(P521/1000)*J521/5+S521/200)*200*I521*H521</f>
        <v/>
      </c>
      <c r="U521">
        <f>((E521*F521/25000)+((P521/1000)*J521*S521/2.5))*I521*H521</f>
        <v/>
      </c>
      <c r="V521">
        <f>(E521*F521*(P521/1000)*J521*S521*I521*H521)/12500000</f>
        <v/>
      </c>
      <c r="W521">
        <f>(((E521/15000)+(F521/50)+(S521/240)+((P521/6000)*J521))*200/4+(((E521/15000)*(F521/50))+(((P521/6000)*J521)*(S521/240)))*200/2+((E521/15000)*(F521/50)*((P521/6000)*J521)*(S521/240))*200)*(H521/1.0)/3</f>
        <v/>
      </c>
      <c r="X521" s="6" t="n">
        <v>500</v>
      </c>
      <c r="Y521">
        <f>IFERROR(W521-X521,"")</f>
        <v/>
      </c>
      <c r="Z521">
        <f>IFERROR(ABS(Y521)/MAX(X521,1),"")</f>
        <v/>
      </c>
      <c r="AA521">
        <f>IFERROR(ROUND(((3*X521-(((E521/15000)+(F521/50)+(S521/240))*200/4+((E521/15000)*(F521/50))*200/2)*(H521/1.0))/(200/4+((S521/240))*200/2+((E521/15000)*(F521/50)*(S521/240))*200)*(H521/1.0)*6000)/J521,-1),"")</f>
        <v/>
      </c>
    </row>
    <row r="522">
      <c r="B522" s="7" t="inlineStr">
        <is>
          <t xml:space="preserve">  ↳ schwarzermond_lunarsoldier_rifle</t>
        </is>
      </c>
      <c r="C522" s="7" t="inlineStr">
        <is>
          <t>Armament@PRIMARY</t>
        </is>
      </c>
      <c r="L522" s="6" t="n">
        <v>24000</v>
      </c>
      <c r="M522" s="6" t="n">
        <v>50</v>
      </c>
      <c r="N522" s="6" t="n">
        <v>1</v>
      </c>
      <c r="O522" s="6" t="n"/>
      <c r="P522" s="6" t="n">
        <v>6000</v>
      </c>
      <c r="Q522" s="6" t="n">
        <v>1</v>
      </c>
      <c r="R522">
        <f>M522+IF(N522&gt;1,N(O522)*(N522-1),0)</f>
        <v/>
      </c>
      <c r="S522">
        <f>IFERROR(L522*MAX(N522,1)/R522*IF(ISBLANK(K521),1,K521),0)</f>
        <v/>
      </c>
      <c r="AB522" s="7" t="inlineStr">
        <is>
          <t>^Warhead_Bullet_Medium, ^Warhead_Bullet_Light, ^Warhead_Laser_Heavy</t>
        </is>
      </c>
    </row>
    <row r="523">
      <c r="B523" s="7" t="inlineStr">
        <is>
          <t xml:space="preserve">  ↳ schwarzermond_lunarsoldier_rifle_elite</t>
        </is>
      </c>
      <c r="C523" s="7" t="inlineStr">
        <is>
          <t>Armament@ELITE</t>
        </is>
      </c>
      <c r="L523" s="6" t="n">
        <v>24000</v>
      </c>
      <c r="M523" s="6" t="n">
        <v>50</v>
      </c>
      <c r="N523" s="6" t="n">
        <v>2</v>
      </c>
      <c r="O523" s="6" t="n">
        <v>3</v>
      </c>
      <c r="P523" s="6" t="n">
        <v>5500</v>
      </c>
      <c r="Q523" s="6" t="n">
        <v>1</v>
      </c>
      <c r="R523">
        <f>M523+IF(N523&gt;1,N(O523)*(N523-1),0)</f>
        <v/>
      </c>
      <c r="S523">
        <f>IFERROR(L523*MAX(N523,1)/R523*IF(ISBLANK(K521),1,K521),0)</f>
        <v/>
      </c>
      <c r="AB523" s="7" t="inlineStr">
        <is>
          <t>^Warhead_Bullet_Medium, ^Warhead_Bullet_Light, ^Warhead_Laser_Heavy</t>
        </is>
      </c>
    </row>
    <row r="524">
      <c r="B524" s="7" t="inlineStr">
        <is>
          <t xml:space="preserve">  ↳ schwarzermond_lunarsoldier_rifle_yellow</t>
        </is>
      </c>
      <c r="C524" s="7" t="inlineStr">
        <is>
          <t>Armament@PRIMARY_UP</t>
        </is>
      </c>
      <c r="L524" s="6" t="n">
        <v>24000</v>
      </c>
      <c r="M524" s="6" t="n">
        <v>50</v>
      </c>
      <c r="N524" s="6" t="n">
        <v>2</v>
      </c>
      <c r="O524" s="6" t="n">
        <v>3</v>
      </c>
      <c r="P524" s="6" t="n">
        <v>6000</v>
      </c>
      <c r="Q524" s="6" t="n">
        <v>1</v>
      </c>
      <c r="R524">
        <f>M524+IF(N524&gt;1,N(O524)*(N524-1),0)</f>
        <v/>
      </c>
      <c r="S524">
        <f>IFERROR(L524*MAX(N524,1)/R524*IF(ISBLANK(K521),1,K521),0)</f>
        <v/>
      </c>
      <c r="AB524" s="7" t="inlineStr">
        <is>
          <t>^Warhead_Bullet_Medium, ^Warhead_Bullet_Light, ^Warhead_Laser_Heavy</t>
        </is>
      </c>
    </row>
    <row r="525">
      <c r="B525" s="7" t="inlineStr">
        <is>
          <t xml:space="preserve">  ↳ schwarzermond_lunarsoldier_rifle_yellow_elite</t>
        </is>
      </c>
      <c r="C525" s="7" t="inlineStr">
        <is>
          <t>Armament@ELITE_UP</t>
        </is>
      </c>
      <c r="L525" s="6" t="n">
        <v>24000</v>
      </c>
      <c r="M525" s="6" t="n">
        <v>50</v>
      </c>
      <c r="N525" s="6" t="n">
        <v>4</v>
      </c>
      <c r="O525" s="6" t="n">
        <v>3</v>
      </c>
      <c r="P525" s="6" t="n">
        <v>5500</v>
      </c>
      <c r="Q525" s="6" t="n">
        <v>1</v>
      </c>
      <c r="R525">
        <f>M525+IF(N525&gt;1,N(O525)*(N525-1),0)</f>
        <v/>
      </c>
      <c r="S525">
        <f>IFERROR(L525*MAX(N525,1)/R525*IF(ISBLANK(K521),1,K521),0)</f>
        <v/>
      </c>
      <c r="AB525" s="7" t="inlineStr">
        <is>
          <t>^Warhead_Bullet_Medium, ^Warhead_Bullet_Light, ^Warhead_Laser_Heavy</t>
        </is>
      </c>
    </row>
    <row r="526">
      <c r="B526" s="7" t="inlineStr">
        <is>
          <t xml:space="preserve">  ↳ schwarzermond_lunarsoldier_rifle_amplified</t>
        </is>
      </c>
      <c r="C526" s="7" t="inlineStr">
        <is>
          <t>Armament@PRIMARY_AMP</t>
        </is>
      </c>
      <c r="L526" s="6" t="n">
        <v>24000</v>
      </c>
      <c r="M526" s="6" t="n">
        <v>50</v>
      </c>
      <c r="N526" s="6" t="n">
        <v>3</v>
      </c>
      <c r="O526" s="6" t="n">
        <v>3</v>
      </c>
      <c r="P526" s="6" t="n">
        <v>6000</v>
      </c>
      <c r="Q526" s="6" t="n">
        <v>1</v>
      </c>
      <c r="R526">
        <f>M526+IF(N526&gt;1,N(O526)*(N526-1),0)</f>
        <v/>
      </c>
      <c r="S526">
        <f>IFERROR(L526*MAX(N526,1)/R526*IF(ISBLANK(K521),1,K521),0)</f>
        <v/>
      </c>
      <c r="AB526" s="7" t="inlineStr">
        <is>
          <t>^Warhead_Bullet_Medium, ^Warhead_Bullet_Light, ^Warhead_Laser_Heavy</t>
        </is>
      </c>
    </row>
    <row r="527">
      <c r="B527" s="7" t="inlineStr">
        <is>
          <t xml:space="preserve">  ↳ schwarzermond_lunarsoldier_rifle_amplified_elite</t>
        </is>
      </c>
      <c r="C527" s="7" t="inlineStr">
        <is>
          <t>Armament@ELITE_AMP</t>
        </is>
      </c>
      <c r="L527" s="6" t="n">
        <v>24000</v>
      </c>
      <c r="M527" s="6" t="n">
        <v>50</v>
      </c>
      <c r="N527" s="6" t="n">
        <v>6</v>
      </c>
      <c r="O527" s="6" t="n">
        <v>3</v>
      </c>
      <c r="P527" s="6" t="n">
        <v>5500</v>
      </c>
      <c r="Q527" s="6" t="n">
        <v>1</v>
      </c>
      <c r="R527">
        <f>M527+IF(N527&gt;1,N(O527)*(N527-1),0)</f>
        <v/>
      </c>
      <c r="S527">
        <f>IFERROR(L527*MAX(N527,1)/R527*IF(ISBLANK(K521),1,K521),0)</f>
        <v/>
      </c>
      <c r="AB527" s="7" t="inlineStr">
        <is>
          <t>^Warhead_Bullet_Medium, ^Warhead_Bullet_Light, ^Warhead_Laser_Heavy</t>
        </is>
      </c>
    </row>
    <row r="528">
      <c r="B528" s="7" t="inlineStr">
        <is>
          <t xml:space="preserve">  ↳ schwarzermond_lunarsoldier_rifle</t>
        </is>
      </c>
      <c r="C528" s="7" t="inlineStr">
        <is>
          <t>Armament@GARRISONED</t>
        </is>
      </c>
      <c r="L528" s="6" t="n">
        <v>24000</v>
      </c>
      <c r="M528" s="6" t="n">
        <v>50</v>
      </c>
      <c r="N528" s="6" t="n">
        <v>1</v>
      </c>
      <c r="O528" s="6" t="n"/>
      <c r="P528" s="6" t="n">
        <v>6000</v>
      </c>
      <c r="Q528" s="6" t="n">
        <v>1</v>
      </c>
      <c r="R528">
        <f>M528+IF(N528&gt;1,N(O528)*(N528-1),0)</f>
        <v/>
      </c>
      <c r="S528">
        <f>IFERROR(L528*MAX(N528,1)/R528*IF(ISBLANK(K521),1,K521),0)</f>
        <v/>
      </c>
      <c r="AB528" s="7" t="inlineStr">
        <is>
          <t>^Warhead_Bullet_Medium, ^Warhead_Bullet_Light, ^Warhead_Laser_Heavy</t>
        </is>
      </c>
    </row>
    <row r="529">
      <c r="B529" s="7" t="inlineStr">
        <is>
          <t xml:space="preserve">  ↳ schwarzermond_lunarsoldier_rifle_elite</t>
        </is>
      </c>
      <c r="C529" s="7" t="inlineStr">
        <is>
          <t>Armament@GARRISONEDELITE</t>
        </is>
      </c>
      <c r="L529" s="6" t="n">
        <v>24000</v>
      </c>
      <c r="M529" s="6" t="n">
        <v>50</v>
      </c>
      <c r="N529" s="6" t="n">
        <v>2</v>
      </c>
      <c r="O529" s="6" t="n">
        <v>3</v>
      </c>
      <c r="P529" s="6" t="n">
        <v>5500</v>
      </c>
      <c r="Q529" s="6" t="n">
        <v>1</v>
      </c>
      <c r="R529">
        <f>M529+IF(N529&gt;1,N(O529)*(N529-1),0)</f>
        <v/>
      </c>
      <c r="S529">
        <f>IFERROR(L529*MAX(N529,1)/R529*IF(ISBLANK(K521),1,K521),0)</f>
        <v/>
      </c>
      <c r="AB529" s="7" t="inlineStr">
        <is>
          <t>^Warhead_Bullet_Medium, ^Warhead_Bullet_Light, ^Warhead_Laser_Heavy</t>
        </is>
      </c>
    </row>
    <row r="530">
      <c r="B530" s="7" t="inlineStr">
        <is>
          <t xml:space="preserve">  ↳ schwarzermond_lunarsoldier_rifle_yellow</t>
        </is>
      </c>
      <c r="C530" s="7" t="inlineStr">
        <is>
          <t>Armament@GARRISONED_UP</t>
        </is>
      </c>
      <c r="L530" s="6" t="n">
        <v>24000</v>
      </c>
      <c r="M530" s="6" t="n">
        <v>50</v>
      </c>
      <c r="N530" s="6" t="n">
        <v>2</v>
      </c>
      <c r="O530" s="6" t="n">
        <v>3</v>
      </c>
      <c r="P530" s="6" t="n">
        <v>6000</v>
      </c>
      <c r="Q530" s="6" t="n">
        <v>1</v>
      </c>
      <c r="R530">
        <f>M530+IF(N530&gt;1,N(O530)*(N530-1),0)</f>
        <v/>
      </c>
      <c r="S530">
        <f>IFERROR(L530*MAX(N530,1)/R530*IF(ISBLANK(K521),1,K521),0)</f>
        <v/>
      </c>
      <c r="AB530" s="7" t="inlineStr">
        <is>
          <t>^Warhead_Bullet_Medium, ^Warhead_Bullet_Light, ^Warhead_Laser_Heavy</t>
        </is>
      </c>
    </row>
    <row r="531">
      <c r="B531" s="7" t="inlineStr">
        <is>
          <t xml:space="preserve">  ↳ schwarzermond_lunarsoldier_rifle_yellow_elite</t>
        </is>
      </c>
      <c r="C531" s="7" t="inlineStr">
        <is>
          <t>Armament@GARRISONEDELITE_UP</t>
        </is>
      </c>
      <c r="L531" s="6" t="n">
        <v>24000</v>
      </c>
      <c r="M531" s="6" t="n">
        <v>50</v>
      </c>
      <c r="N531" s="6" t="n">
        <v>4</v>
      </c>
      <c r="O531" s="6" t="n">
        <v>3</v>
      </c>
      <c r="P531" s="6" t="n">
        <v>5500</v>
      </c>
      <c r="Q531" s="6" t="n">
        <v>1</v>
      </c>
      <c r="R531">
        <f>M531+IF(N531&gt;1,N(O531)*(N531-1),0)</f>
        <v/>
      </c>
      <c r="S531">
        <f>IFERROR(L531*MAX(N531,1)/R531*IF(ISBLANK(K521),1,K521),0)</f>
        <v/>
      </c>
      <c r="AB531" s="7" t="inlineStr">
        <is>
          <t>^Warhead_Bullet_Medium, ^Warhead_Bullet_Light, ^Warhead_Laser_Heavy</t>
        </is>
      </c>
    </row>
    <row r="532">
      <c r="B532" s="7" t="inlineStr">
        <is>
          <t xml:space="preserve">  ↳ schwarzermond_lunarsoldier_rifle_amplified</t>
        </is>
      </c>
      <c r="C532" s="7" t="inlineStr">
        <is>
          <t>Armament@GARRISONED_AMP</t>
        </is>
      </c>
      <c r="L532" s="6" t="n">
        <v>24000</v>
      </c>
      <c r="M532" s="6" t="n">
        <v>50</v>
      </c>
      <c r="N532" s="6" t="n">
        <v>3</v>
      </c>
      <c r="O532" s="6" t="n">
        <v>3</v>
      </c>
      <c r="P532" s="6" t="n">
        <v>6000</v>
      </c>
      <c r="Q532" s="6" t="n">
        <v>1</v>
      </c>
      <c r="R532">
        <f>M532+IF(N532&gt;1,N(O532)*(N532-1),0)</f>
        <v/>
      </c>
      <c r="S532">
        <f>IFERROR(L532*MAX(N532,1)/R532*IF(ISBLANK(K521),1,K521),0)</f>
        <v/>
      </c>
      <c r="AB532" s="7" t="inlineStr">
        <is>
          <t>^Warhead_Bullet_Medium, ^Warhead_Bullet_Light, ^Warhead_Laser_Heavy</t>
        </is>
      </c>
    </row>
    <row r="533">
      <c r="B533" s="7" t="inlineStr">
        <is>
          <t xml:space="preserve">  ↳ schwarzermond_lunarsoldier_rifle_amplified_elite</t>
        </is>
      </c>
      <c r="C533" s="7" t="inlineStr">
        <is>
          <t>Armament@GARRISONEDELITE_AMP</t>
        </is>
      </c>
      <c r="L533" s="6" t="n">
        <v>24000</v>
      </c>
      <c r="M533" s="6" t="n">
        <v>50</v>
      </c>
      <c r="N533" s="6" t="n">
        <v>6</v>
      </c>
      <c r="O533" s="6" t="n">
        <v>3</v>
      </c>
      <c r="P533" s="6" t="n">
        <v>5500</v>
      </c>
      <c r="Q533" s="6" t="n">
        <v>1</v>
      </c>
      <c r="R533">
        <f>M533+IF(N533&gt;1,N(O533)*(N533-1),0)</f>
        <v/>
      </c>
      <c r="S533">
        <f>IFERROR(L533*MAX(N533,1)/R533*IF(ISBLANK(K521),1,K521),0)</f>
        <v/>
      </c>
      <c r="AB533" s="7" t="inlineStr">
        <is>
          <t>^Warhead_Bullet_Medium, ^Warhead_Bullet_Light, ^Warhead_Laser_Heavy</t>
        </is>
      </c>
    </row>
    <row r="534">
      <c r="A534" t="inlineStr">
        <is>
          <t>redalert2mod</t>
        </is>
      </c>
      <c r="B534" t="inlineStr">
        <is>
          <t>tkm_trooper</t>
        </is>
      </c>
      <c r="C534" t="inlineStr">
        <is>
          <t>Trooper</t>
        </is>
      </c>
      <c r="D534" s="6" t="inlineStr">
        <is>
          <t>SpecialForcesInfantry</t>
        </is>
      </c>
      <c r="E534" s="6" t="n">
        <v>33000</v>
      </c>
      <c r="F534" s="6" t="n">
        <v>59</v>
      </c>
      <c r="G534" t="inlineStr">
        <is>
          <t>Flak</t>
        </is>
      </c>
      <c r="H534" s="6" t="n">
        <v>1</v>
      </c>
      <c r="I534" s="6" t="n">
        <v>1</v>
      </c>
      <c r="J534" s="6" t="n">
        <v>1</v>
      </c>
      <c r="K534" s="6" t="n">
        <v>0.0037</v>
      </c>
      <c r="P534">
        <f>MAX(P535,P537)</f>
        <v/>
      </c>
      <c r="S534">
        <f>S535+S537</f>
        <v/>
      </c>
      <c r="T534">
        <f>(E534/100000+F534/100+(P534/1000)*J534/5+S534/200)*200*I534*H534</f>
        <v/>
      </c>
      <c r="U534">
        <f>((E534*F534/25000)+((P534/1000)*J534*S534/2.5))*I534*H534</f>
        <v/>
      </c>
      <c r="V534">
        <f>(E534*F534*(P534/1000)*J534*S534*I534*H534)/12500000</f>
        <v/>
      </c>
      <c r="W534">
        <f>(((E534/15000)+(F534/50)+(S534/240)+((P534/6000)*J534))*200/4+(((E534/15000)*(F534/50))+(((P534/6000)*J534)*(S534/240)))*200/2+((E534/15000)*(F534/50)*((P534/6000)*J534)*(S534/240))*200)*(H534/1.0)/3</f>
        <v/>
      </c>
      <c r="X534" s="6" t="n">
        <v>200</v>
      </c>
      <c r="Y534">
        <f>IFERROR(W534-X534,"")</f>
        <v/>
      </c>
      <c r="Z534">
        <f>IFERROR(ABS(Y534)/MAX(X534,1),"")</f>
        <v/>
      </c>
      <c r="AA534">
        <f>IFERROR(ROUND(((3*X534-(((E534/15000)+(F534/50)+(S534/240))*200/4+((E534/15000)*(F534/50))*200/2)*(H534/1.0))/(200/4+((S534/240))*200/2+((E534/15000)*(F534/50)*(S534/240))*200)*(H534/1.0)*6000)/J534,-1),"")</f>
        <v/>
      </c>
    </row>
    <row r="535">
      <c r="B535" s="7" t="inlineStr">
        <is>
          <t xml:space="preserve">  ↳ tkm_trooper_ak</t>
        </is>
      </c>
      <c r="C535" s="7" t="inlineStr">
        <is>
          <t>Armament@PRIMARY</t>
        </is>
      </c>
      <c r="L535" s="6" t="n">
        <v>2000</v>
      </c>
      <c r="M535" s="6" t="n">
        <v>31</v>
      </c>
      <c r="N535" s="6" t="n">
        <v>5</v>
      </c>
      <c r="O535" s="6" t="n">
        <v>1</v>
      </c>
      <c r="P535" s="6" t="n">
        <v>5191</v>
      </c>
      <c r="Q535" s="6" t="n">
        <v>1</v>
      </c>
      <c r="R535">
        <f>M535+IF(N535&gt;1,N(O535)*(N535-1),0)</f>
        <v/>
      </c>
      <c r="S535">
        <f>IFERROR(L535*MAX(N535,1)/R535*IF(ISBLANK(K534),1,K534),0)</f>
        <v/>
      </c>
      <c r="AB535" s="7" t="inlineStr">
        <is>
          <t>^Warhead_Bullet_Light</t>
        </is>
      </c>
    </row>
    <row r="536">
      <c r="B536" s="7" t="inlineStr">
        <is>
          <t xml:space="preserve">  ↳ tkm_trooper_ak</t>
        </is>
      </c>
      <c r="C536" s="7" t="inlineStr">
        <is>
          <t>Armament@GARRISONED</t>
        </is>
      </c>
      <c r="L536" s="6" t="n">
        <v>2000</v>
      </c>
      <c r="M536" s="6" t="n">
        <v>31</v>
      </c>
      <c r="N536" s="6" t="n">
        <v>5</v>
      </c>
      <c r="O536" s="6" t="n">
        <v>1</v>
      </c>
      <c r="P536" s="6" t="n">
        <v>5191</v>
      </c>
      <c r="Q536" s="6" t="n">
        <v>1</v>
      </c>
      <c r="R536">
        <f>M536+IF(N536&gt;1,N(O536)*(N536-1),0)</f>
        <v/>
      </c>
      <c r="S536">
        <f>IFERROR(L536*MAX(N536,1)/R536*IF(ISBLANK(K534),1,K534),0)</f>
        <v/>
      </c>
      <c r="AB536" s="7" t="inlineStr">
        <is>
          <t>^Warhead_Bullet_Light</t>
        </is>
      </c>
    </row>
    <row r="537">
      <c r="B537" s="7" t="inlineStr">
        <is>
          <t xml:space="preserve">  ↳ tkm_trooper_gp25</t>
        </is>
      </c>
      <c r="C537" s="7" t="inlineStr">
        <is>
          <t>Armament@gp25</t>
        </is>
      </c>
      <c r="L537" s="6" t="n">
        <v>12000</v>
      </c>
      <c r="M537" s="6" t="n">
        <v>80</v>
      </c>
      <c r="N537" s="6" t="n">
        <v>1</v>
      </c>
      <c r="O537" s="6" t="n"/>
      <c r="P537" s="6" t="n">
        <v>5500</v>
      </c>
      <c r="Q537" s="6" t="n">
        <v>1</v>
      </c>
      <c r="R537">
        <f>M537+IF(N537&gt;1,N(O537)*(N537-1),0)</f>
        <v/>
      </c>
      <c r="S537">
        <f>IFERROR(L537*MAX(N537,1)/R537*IF(ISBLANK(K534),1,K534),0)</f>
        <v/>
      </c>
      <c r="AB537" s="7" t="inlineStr">
        <is>
          <t>^Warhead_Demolition_Light, ^Warhead_Flame_Light</t>
        </is>
      </c>
    </row>
    <row r="538">
      <c r="B538" s="7" t="inlineStr">
        <is>
          <t xml:space="preserve">  ↳ tkm_trooper_gp25</t>
        </is>
      </c>
      <c r="C538" s="7" t="inlineStr">
        <is>
          <t>Armament@GARRISONEDM203</t>
        </is>
      </c>
      <c r="L538" s="6" t="n">
        <v>12000</v>
      </c>
      <c r="M538" s="6" t="n">
        <v>80</v>
      </c>
      <c r="N538" s="6" t="n">
        <v>1</v>
      </c>
      <c r="O538" s="6" t="n"/>
      <c r="P538" s="6" t="n">
        <v>5500</v>
      </c>
      <c r="Q538" s="6" t="n">
        <v>1</v>
      </c>
      <c r="R538">
        <f>M538+IF(N538&gt;1,N(O538)*(N538-1),0)</f>
        <v/>
      </c>
      <c r="S538">
        <f>IFERROR(L538*MAX(N538,1)/R538*IF(ISBLANK(K534),1,K534),0)</f>
        <v/>
      </c>
      <c r="AB538" s="7" t="inlineStr">
        <is>
          <t>^Warhead_Demolition_Light, ^Warhead_Flame_Light</t>
        </is>
      </c>
    </row>
    <row r="539">
      <c r="A539" s="4" t="inlineStr">
        <is>
          <t>HeavyInfantry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</row>
    <row r="540">
      <c r="A540" t="inlineStr">
        <is>
          <t>tiberiandawn</t>
        </is>
      </c>
      <c r="B540" t="inlineStr">
        <is>
          <t>td_gdi_officer</t>
        </is>
      </c>
      <c r="C540" t="inlineStr">
        <is>
          <t>GDI Officer</t>
        </is>
      </c>
      <c r="D540" s="6" t="inlineStr">
        <is>
          <t>HeavyInfantry</t>
        </is>
      </c>
      <c r="E540" s="6" t="n">
        <v>32000</v>
      </c>
      <c r="F540" s="6" t="n">
        <v>79</v>
      </c>
      <c r="G540" t="inlineStr">
        <is>
          <t>Plate</t>
        </is>
      </c>
      <c r="H540" s="6" t="n">
        <v>0.75</v>
      </c>
      <c r="I540" s="6" t="n">
        <v>0.8</v>
      </c>
      <c r="J540" s="6" t="n">
        <v>1.25</v>
      </c>
      <c r="K540" s="6" t="n">
        <v>0.0108</v>
      </c>
      <c r="P540">
        <f>MAX(P541,P543)</f>
        <v/>
      </c>
      <c r="S540">
        <f>S541+S543</f>
        <v/>
      </c>
      <c r="T540">
        <f>(E540/100000+F540/100+(P540/1000)*J540/5+S540/200)*200*I540*H540</f>
        <v/>
      </c>
      <c r="U540">
        <f>((E540*F540/25000)+((P540/1000)*J540*S540/2.5))*I540*H540</f>
        <v/>
      </c>
      <c r="V540">
        <f>(E540*F540*(P540/1000)*J540*S540*I540*H540)/12500000</f>
        <v/>
      </c>
      <c r="W540">
        <f>(((E540/15000)+(F540/50)+(S540/240)+((P540/6000)*J540))*200/4+(((E540/15000)*(F540/50))+(((P540/6000)*J540)*(S540/240)))*200/2+((E540/15000)*(F540/50)*((P540/6000)*J540)*(S540/240))*200)*(H540/1.0)/3</f>
        <v/>
      </c>
      <c r="X540" s="6" t="n">
        <v>1532</v>
      </c>
      <c r="Y540">
        <f>IFERROR(W540-X540,"")</f>
        <v/>
      </c>
      <c r="Z540">
        <f>IFERROR(ABS(Y540)/MAX(X540,1),"")</f>
        <v/>
      </c>
      <c r="AA540">
        <f>IFERROR(ROUND(((3*X540-(((E540/15000)+(F540/50)+(S540/240))*200/4+((E540/15000)*(F540/50))*200/2)*(H540/1.0))/(200/4+((S540/240))*200/2+((E540/15000)*(F540/50)*(S540/240))*200)*(H540/1.0)*6000)/J540,-1),"")</f>
        <v/>
      </c>
    </row>
    <row r="541">
      <c r="B541" s="7" t="inlineStr">
        <is>
          <t xml:space="preserve">  ↳ OfficerMachineGun</t>
        </is>
      </c>
      <c r="C541" s="7" t="inlineStr">
        <is>
          <t>Armament@PRIMARY</t>
        </is>
      </c>
      <c r="L541" s="6" t="n">
        <v>16000</v>
      </c>
      <c r="M541" s="6" t="n">
        <v>20</v>
      </c>
      <c r="N541" s="6" t="n">
        <v>4</v>
      </c>
      <c r="O541" s="6" t="n">
        <v>4</v>
      </c>
      <c r="P541" s="6" t="n">
        <v>5596</v>
      </c>
      <c r="Q541" s="6" t="n">
        <v>0.875</v>
      </c>
      <c r="R541">
        <f>M541+IF(N541&gt;1,N(O541)*(N541-1),0)</f>
        <v/>
      </c>
      <c r="S541">
        <f>IFERROR(L541*MAX(N541,1)/R541*IF(ISBLANK(K540),1,K540),0)</f>
        <v/>
      </c>
      <c r="AB541" s="7" t="inlineStr">
        <is>
          <t>^Warhead_Bullet_Light, ^Warhead_Bullet_Medium</t>
        </is>
      </c>
    </row>
    <row r="542">
      <c r="B542" s="7" t="inlineStr">
        <is>
          <t xml:space="preserve">  ↳ OfficerMachineGun</t>
        </is>
      </c>
      <c r="C542" s="7" t="inlineStr">
        <is>
          <t>Armament@GARRISONED</t>
        </is>
      </c>
      <c r="L542" s="6" t="n">
        <v>16000</v>
      </c>
      <c r="M542" s="6" t="n">
        <v>20</v>
      </c>
      <c r="N542" s="6" t="n">
        <v>4</v>
      </c>
      <c r="O542" s="6" t="n">
        <v>4</v>
      </c>
      <c r="P542" s="6" t="n">
        <v>5596</v>
      </c>
      <c r="Q542" s="6" t="n">
        <v>0.875</v>
      </c>
      <c r="R542">
        <f>M542+IF(N542&gt;1,N(O542)*(N542-1),0)</f>
        <v/>
      </c>
      <c r="S542">
        <f>IFERROR(L542*MAX(N542,1)/R542*IF(ISBLANK(K540),1,K540),0)</f>
        <v/>
      </c>
      <c r="AB542" s="7" t="inlineStr">
        <is>
          <t>^Warhead_Bullet_Light, ^Warhead_Bullet_Medium</t>
        </is>
      </c>
    </row>
    <row r="543">
      <c r="B543" s="7" t="inlineStr">
        <is>
          <t xml:space="preserve">  ↳ OfficerMachineGunAP</t>
        </is>
      </c>
      <c r="C543" s="7" t="inlineStr">
        <is>
          <t>Armament@Upgrade</t>
        </is>
      </c>
      <c r="L543" s="6" t="n">
        <v>4000</v>
      </c>
      <c r="M543" s="6" t="n">
        <v>20</v>
      </c>
      <c r="N543" s="6" t="n">
        <v>4</v>
      </c>
      <c r="O543" s="6" t="n">
        <v>4</v>
      </c>
      <c r="P543" s="6" t="n">
        <v>4888</v>
      </c>
      <c r="Q543" s="6" t="n">
        <v>1</v>
      </c>
      <c r="R543">
        <f>M543+IF(N543&gt;1,N(O543)*(N543-1),0)</f>
        <v/>
      </c>
      <c r="S543">
        <f>IFERROR(L543*MAX(N543,1)/R543*IF(ISBLANK(K540),1,K540),0)</f>
        <v/>
      </c>
      <c r="AB543" s="7" t="inlineStr">
        <is>
          <t>^Warhead_Bullet_Medium</t>
        </is>
      </c>
    </row>
    <row r="544">
      <c r="B544" s="7" t="inlineStr">
        <is>
          <t xml:space="preserve">  ↳ OfficerMachineGunAP</t>
        </is>
      </c>
      <c r="C544" s="7" t="inlineStr">
        <is>
          <t>Armament@UpgradeGARRISONED</t>
        </is>
      </c>
      <c r="L544" s="6" t="n">
        <v>4000</v>
      </c>
      <c r="M544" s="6" t="n">
        <v>20</v>
      </c>
      <c r="N544" s="6" t="n">
        <v>4</v>
      </c>
      <c r="O544" s="6" t="n">
        <v>4</v>
      </c>
      <c r="P544" s="6" t="n">
        <v>4888</v>
      </c>
      <c r="Q544" s="6" t="n">
        <v>1</v>
      </c>
      <c r="R544">
        <f>M544+IF(N544&gt;1,N(O544)*(N544-1),0)</f>
        <v/>
      </c>
      <c r="S544">
        <f>IFERROR(L544*MAX(N544,1)/R544*IF(ISBLANK(K540),1,K540),0)</f>
        <v/>
      </c>
      <c r="AB544" s="7" t="inlineStr">
        <is>
          <t>^Warhead_Bullet_Medium</t>
        </is>
      </c>
    </row>
    <row r="545">
      <c r="A545" t="inlineStr">
        <is>
          <t>tiberiandawn</t>
        </is>
      </c>
      <c r="B545" t="inlineStr">
        <is>
          <t>td_gdi_sonicmissilesoldier</t>
        </is>
      </c>
      <c r="C545" t="inlineStr">
        <is>
          <t>Sonic Missile Soldier</t>
        </is>
      </c>
      <c r="D545" s="6" t="inlineStr">
        <is>
          <t>HeavyInfantry</t>
        </is>
      </c>
      <c r="E545" s="6" t="n">
        <v>25000</v>
      </c>
      <c r="F545" s="6" t="n">
        <v>50</v>
      </c>
      <c r="G545" t="inlineStr">
        <is>
          <t>Plate</t>
        </is>
      </c>
      <c r="H545" s="6" t="n">
        <v>1</v>
      </c>
      <c r="I545" s="6" t="n">
        <v>0.5</v>
      </c>
      <c r="J545" s="6" t="n">
        <v>1</v>
      </c>
      <c r="K545" s="6" t="n"/>
      <c r="P545">
        <f>MAX(P546)</f>
        <v/>
      </c>
      <c r="S545">
        <f>S546</f>
        <v/>
      </c>
      <c r="T545">
        <f>(E545/100000+F545/100+(P545/1000)*J545/5+S545/200)*200*I545*H545</f>
        <v/>
      </c>
      <c r="U545">
        <f>((E545*F545/25000)+((P545/1000)*J545*S545/2.5))*I545*H545</f>
        <v/>
      </c>
      <c r="V545">
        <f>(E545*F545*(P545/1000)*J545*S545*I545*H545)/12500000</f>
        <v/>
      </c>
      <c r="W545">
        <f>(T545+U545+V545)/3</f>
        <v/>
      </c>
      <c r="X545" s="6" t="n">
        <v>400</v>
      </c>
      <c r="Y545">
        <f>IFERROR(W545-X545,"")</f>
        <v/>
      </c>
      <c r="Z545">
        <f>IFERROR(ABS(Y545)/MAX(X545,1),"")</f>
        <v/>
      </c>
      <c r="AA545">
        <f>IFERROR((X545-(((E545/100000+F545/100+S545/200)*200*I545*H545)+((E545*F545/25000)*I545*H545))/3)/(((J545/5)*200*I545*H545)+((J545*S545/2.5)*I545*H545)+((E545*F545*J545*S545*I545*H545)/12500000))/3*1000,"")</f>
        <v/>
      </c>
    </row>
    <row r="546">
      <c r="B546" s="7" t="inlineStr">
        <is>
          <t xml:space="preserve">  ↳ MissileSoldierWeapon</t>
        </is>
      </c>
      <c r="C546" s="7" t="inlineStr">
        <is>
          <t>Armament@PRIMARY</t>
        </is>
      </c>
      <c r="L546" s="6" t="n">
        <v>50000</v>
      </c>
      <c r="M546" s="6" t="n">
        <v>125</v>
      </c>
      <c r="N546" s="6" t="n">
        <v>1</v>
      </c>
      <c r="O546" s="6" t="n"/>
      <c r="P546" s="6" t="n">
        <v>7500</v>
      </c>
      <c r="Q546" s="6" t="n">
        <v>1</v>
      </c>
      <c r="R546">
        <f>M546+IF(N546&gt;1,N(O546)*(N546-1),0)</f>
        <v/>
      </c>
      <c r="S546">
        <f>IFERROR(L546*MAX(N546,1)/R546*IF(ISBLANK(K545),1,K545),0)</f>
        <v/>
      </c>
      <c r="AB546" s="7" t="inlineStr">
        <is>
          <t>^TankDestroyerCannon, ^LightChemicalWeapon, ^ShrapnelWeapon, ^RailgunWeapon, ^HeavyMissile</t>
        </is>
      </c>
    </row>
    <row r="547">
      <c r="B547" s="7" t="inlineStr">
        <is>
          <t xml:space="preserve">  ↳ MissileSoldierWeapon</t>
        </is>
      </c>
      <c r="C547" s="7" t="inlineStr">
        <is>
          <t>Armament@GARRISONED</t>
        </is>
      </c>
      <c r="L547" s="6" t="n">
        <v>50000</v>
      </c>
      <c r="M547" s="6" t="n">
        <v>125</v>
      </c>
      <c r="N547" s="6" t="n">
        <v>1</v>
      </c>
      <c r="O547" s="6" t="n"/>
      <c r="P547" s="6" t="n">
        <v>7500</v>
      </c>
      <c r="Q547" s="6" t="n">
        <v>1</v>
      </c>
      <c r="R547">
        <f>M547+IF(N547&gt;1,N(O547)*(N547-1),0)</f>
        <v/>
      </c>
      <c r="S547">
        <f>IFERROR(L547*MAX(N547,1)/R547*IF(ISBLANK(K545),1,K545),0)</f>
        <v/>
      </c>
      <c r="AB547" s="7" t="inlineStr">
        <is>
          <t>^TankDestroyerCannon, ^LightChemicalWeapon, ^ShrapnelWeapon, ^RailgunWeapon, ^HeavyMissile</t>
        </is>
      </c>
    </row>
    <row r="548">
      <c r="A548" t="inlineStr">
        <is>
          <t>tiberiandawn</t>
        </is>
      </c>
      <c r="B548" t="inlineStr">
        <is>
          <t>td_nod_blackhandflamer</t>
        </is>
      </c>
      <c r="C548" t="inlineStr">
        <is>
          <t>Black Hand Flamer</t>
        </is>
      </c>
      <c r="D548" s="6" t="inlineStr">
        <is>
          <t>HeavyInfantry</t>
        </is>
      </c>
      <c r="E548" s="6" t="n">
        <v>36000</v>
      </c>
      <c r="F548" s="6" t="n">
        <v>66</v>
      </c>
      <c r="G548" t="inlineStr">
        <is>
          <t>Plate</t>
        </is>
      </c>
      <c r="H548" s="6" t="n">
        <v>1</v>
      </c>
      <c r="I548" s="6" t="n">
        <v>0.8</v>
      </c>
      <c r="J548" s="6" t="n">
        <v>1.25</v>
      </c>
      <c r="K548" s="6" t="n"/>
      <c r="P548">
        <f>MAX(P549)</f>
        <v/>
      </c>
      <c r="S548">
        <f>S549</f>
        <v/>
      </c>
      <c r="T548">
        <f>(E548/100000+F548/100+(P548/1000)*J548/5+S548/200)*200*I548*H548</f>
        <v/>
      </c>
      <c r="U548">
        <f>((E548*F548/25000)+((P548/1000)*J548*S548/2.5))*I548*H548</f>
        <v/>
      </c>
      <c r="V548">
        <f>(E548*F548*(P548/1000)*J548*S548*I548*H548)/12500000</f>
        <v/>
      </c>
      <c r="W548">
        <f>(T548+U548+V548)/3</f>
        <v/>
      </c>
      <c r="X548" s="6" t="n">
        <v>600</v>
      </c>
      <c r="Y548">
        <f>IFERROR(W548-X548,"")</f>
        <v/>
      </c>
      <c r="Z548">
        <f>IFERROR(ABS(Y548)/MAX(X548,1),"")</f>
        <v/>
      </c>
      <c r="AA548">
        <f>IFERROR((X548-(((E548/100000+F548/100+S548/200)*200*I548*H548)+((E548*F548/25000)*I548*H548))/3)/(((J548/5)*200*I548*H548)+((J548*S548/2.5)*I548*H548)+((E548*F548*J548*S548*I548*H548)/12500000))/3*1000,"")</f>
        <v/>
      </c>
    </row>
    <row r="549">
      <c r="B549" s="7" t="inlineStr">
        <is>
          <t xml:space="preserve">  ↳ BlackHandFlamer</t>
        </is>
      </c>
      <c r="C549" s="7" t="inlineStr">
        <is>
          <t>Armament@PRIMARY</t>
        </is>
      </c>
      <c r="L549" s="6" t="n">
        <v>4000</v>
      </c>
      <c r="M549" s="6" t="n">
        <v>46</v>
      </c>
      <c r="N549" s="6" t="n">
        <v>6</v>
      </c>
      <c r="O549" s="6" t="n">
        <v>4</v>
      </c>
      <c r="P549" s="6" t="n">
        <v>4988</v>
      </c>
      <c r="Q549" s="6" t="n">
        <v>1</v>
      </c>
      <c r="R549">
        <f>M549+IF(N549&gt;1,N(O549)*(N549-1),0)</f>
        <v/>
      </c>
      <c r="S549">
        <f>IFERROR(L549*MAX(N549,1)/R549*IF(ISBLANK(K548),1,K548),0)</f>
        <v/>
      </c>
      <c r="AB549" s="7" t="inlineStr">
        <is>
          <t>^Warhead_Flame_Medium</t>
        </is>
      </c>
    </row>
    <row r="550">
      <c r="B550" s="7" t="inlineStr">
        <is>
          <t xml:space="preserve">  ↳ BlackHandFlamer</t>
        </is>
      </c>
      <c r="C550" s="7" t="inlineStr">
        <is>
          <t>Armament@Garrison</t>
        </is>
      </c>
      <c r="L550" s="6" t="n">
        <v>4000</v>
      </c>
      <c r="M550" s="6" t="n">
        <v>46</v>
      </c>
      <c r="N550" s="6" t="n">
        <v>6</v>
      </c>
      <c r="O550" s="6" t="n">
        <v>4</v>
      </c>
      <c r="P550" s="6" t="n">
        <v>4988</v>
      </c>
      <c r="Q550" s="6" t="n">
        <v>1</v>
      </c>
      <c r="R550">
        <f>M550+IF(N550&gt;1,N(O550)*(N550-1),0)</f>
        <v/>
      </c>
      <c r="S550">
        <f>IFERROR(L550*MAX(N550,1)/R550*IF(ISBLANK(K548),1,K548),0)</f>
        <v/>
      </c>
      <c r="AB550" s="7" t="inlineStr">
        <is>
          <t>^Warhead_Flame_Medium</t>
        </is>
      </c>
    </row>
    <row r="551">
      <c r="A551" t="inlineStr">
        <is>
          <t>tiberiandawn</t>
        </is>
      </c>
      <c r="B551" t="inlineStr">
        <is>
          <t>td_nod_stealthsoldier</t>
        </is>
      </c>
      <c r="C551" t="inlineStr">
        <is>
          <t>Stealth Soldier</t>
        </is>
      </c>
      <c r="D551" s="6" t="inlineStr">
        <is>
          <t>HeavyInfantry</t>
        </is>
      </c>
      <c r="E551" s="6" t="n">
        <v>25000</v>
      </c>
      <c r="F551" s="6" t="n">
        <v>72</v>
      </c>
      <c r="G551" t="inlineStr">
        <is>
          <t>Plate</t>
        </is>
      </c>
      <c r="H551" s="6" t="n">
        <v>0.75</v>
      </c>
      <c r="I551" s="6" t="n">
        <v>0.8</v>
      </c>
      <c r="J551" s="6" t="n">
        <v>1.5</v>
      </c>
      <c r="K551" s="6" t="n">
        <v>0.008100000000000001</v>
      </c>
      <c r="P551">
        <f>MAX(P552)</f>
        <v/>
      </c>
      <c r="S551">
        <f>S552</f>
        <v/>
      </c>
      <c r="T551">
        <f>(E551/100000+F551/100+(P551/1000)*J551/5+S551/200)*200*I551*H551</f>
        <v/>
      </c>
      <c r="U551">
        <f>((E551*F551/25000)+((P551/1000)*J551*S551/2.5))*I551*H551</f>
        <v/>
      </c>
      <c r="V551">
        <f>(E551*F551*(P551/1000)*J551*S551*I551*H551)/12500000</f>
        <v/>
      </c>
      <c r="W551">
        <f>(((E551/15000)+(F551/50)+(S551/240)+((P551/6000)*J551))*200/4+(((E551/15000)*(F551/50))+(((P551/6000)*J551)*(S551/240)))*200/2+((E551/15000)*(F551/50)*((P551/6000)*J551)*(S551/240))*200)*(H551/1.0)/3</f>
        <v/>
      </c>
      <c r="X551" s="6" t="n">
        <v>753</v>
      </c>
      <c r="Y551">
        <f>IFERROR(W551-X551,"")</f>
        <v/>
      </c>
      <c r="Z551">
        <f>IFERROR(ABS(Y551)/MAX(X551,1),"")</f>
        <v/>
      </c>
      <c r="AA551">
        <f>IFERROR(ROUND(((3*X551-(((E551/15000)+(F551/50)+(S551/240))*200/4+((E551/15000)*(F551/50))*200/2)*(H551/1.0))/(200/4+((S551/240))*200/2+((E551/15000)*(F551/50)*(S551/240))*200)*(H551/1.0)*6000)/J551,-1),"")</f>
        <v/>
      </c>
    </row>
    <row r="552">
      <c r="B552" s="7" t="inlineStr">
        <is>
          <t xml:space="preserve">  ↳ BHRedDarts</t>
        </is>
      </c>
      <c r="C552" s="7" t="inlineStr">
        <is>
          <t>Armament@PRIMARY</t>
        </is>
      </c>
      <c r="L552" s="6" t="n">
        <v>20000</v>
      </c>
      <c r="M552" s="6" t="n">
        <v>90</v>
      </c>
      <c r="N552" s="6" t="n">
        <v>4</v>
      </c>
      <c r="O552" s="6" t="n">
        <v>5</v>
      </c>
      <c r="P552" s="6" t="n">
        <v>6480</v>
      </c>
      <c r="Q552" s="6" t="n">
        <v>1</v>
      </c>
      <c r="R552">
        <f>M552+IF(N552&gt;1,N(O552)*(N552-1),0)</f>
        <v/>
      </c>
      <c r="S552">
        <f>IFERROR(L552*MAX(N552,1)/R552*IF(ISBLANK(K551),1,K551),0)</f>
        <v/>
      </c>
      <c r="AB552" s="7" t="inlineStr">
        <is>
          <t>^TeslaChargedWeapon, ^TankDestroyerCannon, ^Chaingun, ^ShrapnelWeapon, ^MediumMissile</t>
        </is>
      </c>
    </row>
    <row r="553">
      <c r="B553" s="7" t="inlineStr">
        <is>
          <t xml:space="preserve">  ↳ BHRedDarts</t>
        </is>
      </c>
      <c r="C553" s="7" t="inlineStr">
        <is>
          <t>Armament@Garrison</t>
        </is>
      </c>
      <c r="L553" s="6" t="n">
        <v>20000</v>
      </c>
      <c r="M553" s="6" t="n">
        <v>90</v>
      </c>
      <c r="N553" s="6" t="n">
        <v>4</v>
      </c>
      <c r="O553" s="6" t="n">
        <v>5</v>
      </c>
      <c r="P553" s="6" t="n">
        <v>6480</v>
      </c>
      <c r="Q553" s="6" t="n">
        <v>1</v>
      </c>
      <c r="R553">
        <f>M553+IF(N553&gt;1,N(O553)*(N553-1),0)</f>
        <v/>
      </c>
      <c r="S553">
        <f>IFERROR(L553*MAX(N553,1)/R553*IF(ISBLANK(K551),1,K551),0)</f>
        <v/>
      </c>
      <c r="AB553" s="7" t="inlineStr">
        <is>
          <t>^TeslaChargedWeapon, ^TankDestroyerCannon, ^Chaingun, ^ShrapnelWeapon, ^MediumMissile</t>
        </is>
      </c>
    </row>
    <row r="554">
      <c r="A554" t="inlineStr">
        <is>
          <t>redalert</t>
        </is>
      </c>
      <c r="B554" t="inlineStr">
        <is>
          <t>japan_japaneseflamethrower</t>
        </is>
      </c>
      <c r="C554" t="inlineStr">
        <is>
          <t>Japanese Flamethrower</t>
        </is>
      </c>
      <c r="D554" s="6" t="inlineStr">
        <is>
          <t>HeavyInfantry</t>
        </is>
      </c>
      <c r="E554" s="6" t="n">
        <v>15000</v>
      </c>
      <c r="F554" s="6" t="n">
        <v>50</v>
      </c>
      <c r="G554" t="inlineStr">
        <is>
          <t>Plate</t>
        </is>
      </c>
      <c r="H554" s="6" t="n">
        <v>1</v>
      </c>
      <c r="I554" s="6" t="n">
        <v>0.4</v>
      </c>
      <c r="J554" s="6" t="n">
        <v>1</v>
      </c>
      <c r="K554" s="6" t="n"/>
      <c r="P554">
        <f>MAX(P555,P557)</f>
        <v/>
      </c>
      <c r="S554">
        <f>S555+S557</f>
        <v/>
      </c>
      <c r="T554">
        <f>(E554/100000+F554/100+(P554/1000)*J554/5+S554/200)*200*I554*H554</f>
        <v/>
      </c>
      <c r="U554">
        <f>((E554*F554/25000)+((P554/1000)*J554*S554/2.5))*I554*H554</f>
        <v/>
      </c>
      <c r="V554">
        <f>(E554*F554*(P554/1000)*J554*S554*I554*H554)/12500000</f>
        <v/>
      </c>
      <c r="W554">
        <f>(T554+U554+V554)/3</f>
        <v/>
      </c>
      <c r="X554" s="6" t="n">
        <v>200</v>
      </c>
      <c r="Y554">
        <f>IFERROR(W554-X554,"")</f>
        <v/>
      </c>
      <c r="Z554">
        <f>IFERROR(ABS(Y554)/MAX(X554,1),"")</f>
        <v/>
      </c>
      <c r="AA554">
        <f>IFERROR((X554-(((E554/100000+F554/100+S554/200)*200*I554*H554)+((E554*F554/25000)*I554*H554))/3)/(((J554/5)*200*I554*H554)+((J554*S554/2.5)*I554*H554)+((E554*F554*J554*S554*I554*H554)/12500000))/3*1000,"")</f>
        <v/>
      </c>
    </row>
    <row r="555">
      <c r="B555" s="7" t="inlineStr">
        <is>
          <t xml:space="preserve">  ↳ Flamer</t>
        </is>
      </c>
      <c r="C555" s="7" t="inlineStr">
        <is>
          <t>Armament</t>
        </is>
      </c>
      <c r="L555" s="6" t="n">
        <v>2000</v>
      </c>
      <c r="M555" s="6" t="n">
        <v>35</v>
      </c>
      <c r="N555" s="6" t="n">
        <v>15</v>
      </c>
      <c r="O555" s="6" t="n">
        <v>1</v>
      </c>
      <c r="P555" s="6" t="n">
        <v>3603</v>
      </c>
      <c r="Q555" s="6" t="n">
        <v>0.75</v>
      </c>
      <c r="R555">
        <f>M555+IF(N555&gt;1,N(O555)*(N555-1),0)</f>
        <v/>
      </c>
      <c r="S555">
        <f>IFERROR(L555*MAX(N555,1)/R555*IF(ISBLANK(K554),1,K554),0)</f>
        <v/>
      </c>
      <c r="AB555" s="7" t="inlineStr">
        <is>
          <t>^Warhead_Flame_Light</t>
        </is>
      </c>
    </row>
    <row r="556">
      <c r="B556" s="7" t="inlineStr">
        <is>
          <t xml:space="preserve">  ↳ Flamer</t>
        </is>
      </c>
      <c r="C556" s="7" t="inlineStr">
        <is>
          <t>Armament@GARRISONED</t>
        </is>
      </c>
      <c r="L556" s="6" t="n">
        <v>2000</v>
      </c>
      <c r="M556" s="6" t="n">
        <v>35</v>
      </c>
      <c r="N556" s="6" t="n">
        <v>15</v>
      </c>
      <c r="O556" s="6" t="n">
        <v>1</v>
      </c>
      <c r="P556" s="6" t="n">
        <v>3603</v>
      </c>
      <c r="Q556" s="6" t="n">
        <v>0.75</v>
      </c>
      <c r="R556">
        <f>M556+IF(N556&gt;1,N(O556)*(N556-1),0)</f>
        <v/>
      </c>
      <c r="S556">
        <f>IFERROR(L556*MAX(N556,1)/R556*IF(ISBLANK(K554),1,K554),0)</f>
        <v/>
      </c>
      <c r="AB556" s="7" t="inlineStr">
        <is>
          <t>^Warhead_Flame_Light</t>
        </is>
      </c>
    </row>
    <row r="557">
      <c r="B557" s="7" t="inlineStr">
        <is>
          <t xml:space="preserve">  ↳ PlasmaFlamer</t>
        </is>
      </c>
      <c r="C557" s="7" t="inlineStr">
        <is>
          <t>Armament@Upgrade</t>
        </is>
      </c>
      <c r="L557" s="6" t="n">
        <v>4000</v>
      </c>
      <c r="M557" s="6" t="n">
        <v>35</v>
      </c>
      <c r="N557" s="6" t="n">
        <v>15</v>
      </c>
      <c r="O557" s="6" t="n">
        <v>1</v>
      </c>
      <c r="P557" s="6" t="n">
        <v>3603</v>
      </c>
      <c r="Q557" s="6" t="n">
        <v>1</v>
      </c>
      <c r="R557">
        <f>M557+IF(N557&gt;1,N(O557)*(N557-1),0)</f>
        <v/>
      </c>
      <c r="S557">
        <f>IFERROR(L557*MAX(N557,1)/R557*IF(ISBLANK(K554),1,K554),0)</f>
        <v/>
      </c>
      <c r="AB557" s="7" t="inlineStr">
        <is>
          <t>^MediumFlameWeapon, ^MediumChemicalWeapon</t>
        </is>
      </c>
    </row>
    <row r="558">
      <c r="B558" s="7" t="inlineStr">
        <is>
          <t xml:space="preserve">  ↳ PlasmaFlamer</t>
        </is>
      </c>
      <c r="C558" s="7" t="inlineStr">
        <is>
          <t>Armament@UpgradeGARRISONED</t>
        </is>
      </c>
      <c r="L558" s="6" t="n">
        <v>4000</v>
      </c>
      <c r="M558" s="6" t="n">
        <v>35</v>
      </c>
      <c r="N558" s="6" t="n">
        <v>15</v>
      </c>
      <c r="O558" s="6" t="n">
        <v>1</v>
      </c>
      <c r="P558" s="6" t="n">
        <v>3603</v>
      </c>
      <c r="Q558" s="6" t="n">
        <v>1</v>
      </c>
      <c r="R558">
        <f>M558+IF(N558&gt;1,N(O558)*(N558-1),0)</f>
        <v/>
      </c>
      <c r="S558">
        <f>IFERROR(L558*MAX(N558,1)/R558*IF(ISBLANK(K554),1,K554),0)</f>
        <v/>
      </c>
      <c r="AB558" s="7" t="inlineStr">
        <is>
          <t>^MediumFlameWeapon, ^MediumChemicalWeapon</t>
        </is>
      </c>
    </row>
    <row r="559">
      <c r="A559" t="inlineStr">
        <is>
          <t>redalert</t>
        </is>
      </c>
      <c r="B559" t="inlineStr">
        <is>
          <t>japan_tankbuster</t>
        </is>
      </c>
      <c r="C559" t="inlineStr">
        <is>
          <t>Tank Buster</t>
        </is>
      </c>
      <c r="D559" s="6" t="inlineStr">
        <is>
          <t>HeavyInfantry</t>
        </is>
      </c>
      <c r="E559" s="6" t="n">
        <v>48000</v>
      </c>
      <c r="F559" s="6" t="n">
        <v>48</v>
      </c>
      <c r="G559" t="inlineStr">
        <is>
          <t>Plate</t>
        </is>
      </c>
      <c r="H559" s="6" t="n">
        <v>1</v>
      </c>
      <c r="I559" s="6" t="n">
        <v>0.8</v>
      </c>
      <c r="J559" s="6" t="n">
        <v>1</v>
      </c>
      <c r="K559" s="6" t="n"/>
      <c r="P559">
        <f>MAX(P560,P562)</f>
        <v/>
      </c>
      <c r="S559">
        <f>S560+S562</f>
        <v/>
      </c>
      <c r="T559">
        <f>(E559/100000+F559/100+(P559/1000)*J559/5+S559/200)*200*I559*H559</f>
        <v/>
      </c>
      <c r="U559">
        <f>((E559*F559/25000)+((P559/1000)*J559*S559/2.5))*I559*H559</f>
        <v/>
      </c>
      <c r="V559">
        <f>(E559*F559*(P559/1000)*J559*S559*I559*H559)/12500000</f>
        <v/>
      </c>
      <c r="W559">
        <f>(T559+U559+V559)/3</f>
        <v/>
      </c>
      <c r="X559" s="6" t="n">
        <v>400</v>
      </c>
      <c r="Y559">
        <f>IFERROR(W559-X559,"")</f>
        <v/>
      </c>
      <c r="Z559">
        <f>IFERROR(ABS(Y559)/MAX(X559,1),"")</f>
        <v/>
      </c>
      <c r="AA559">
        <f>IFERROR((X559-(((E559/100000+F559/100+S559/200)*200*I559*H559)+((E559*F559/25000)*I559*H559))/3)/(((J559/5)*200*I559*H559)+((J559*S559/2.5)*I559*H559)+((E559*F559*J559*S559*I559*H559)/12500000))/3*1000,"")</f>
        <v/>
      </c>
    </row>
    <row r="560">
      <c r="B560" s="7" t="inlineStr">
        <is>
          <t xml:space="preserve">  ↳ TankBusterBeamCannon</t>
        </is>
      </c>
      <c r="C560" s="7" t="inlineStr">
        <is>
          <t>Armament@PRIMARY</t>
        </is>
      </c>
      <c r="L560" s="6" t="n">
        <v>24000</v>
      </c>
      <c r="M560" s="6" t="n">
        <v>96</v>
      </c>
      <c r="N560" s="6" t="n">
        <v>1</v>
      </c>
      <c r="O560" s="6" t="n"/>
      <c r="P560" s="6" t="n">
        <v>5190</v>
      </c>
      <c r="Q560" s="6" t="n">
        <v>1</v>
      </c>
      <c r="R560">
        <f>M560+IF(N560&gt;1,N(O560)*(N560-1),0)</f>
        <v/>
      </c>
      <c r="S560">
        <f>IFERROR(L560*MAX(N560,1)/R560*IF(ISBLANK(K559),1,K559),0)</f>
        <v/>
      </c>
      <c r="AB560" s="7" t="inlineStr">
        <is>
          <t>^TankDestroyerCannon, ^MediumCannon, ^RailgunWeapon</t>
        </is>
      </c>
    </row>
    <row r="561">
      <c r="B561" s="7" t="inlineStr">
        <is>
          <t xml:space="preserve">  ↳ TankBusterBeamCannon</t>
        </is>
      </c>
      <c r="C561" s="7" t="inlineStr">
        <is>
          <t>Armament@GARRISONED</t>
        </is>
      </c>
      <c r="L561" s="6" t="n">
        <v>24000</v>
      </c>
      <c r="M561" s="6" t="n">
        <v>96</v>
      </c>
      <c r="N561" s="6" t="n">
        <v>1</v>
      </c>
      <c r="O561" s="6" t="n"/>
      <c r="P561" s="6" t="n">
        <v>5190</v>
      </c>
      <c r="Q561" s="6" t="n">
        <v>1</v>
      </c>
      <c r="R561">
        <f>M561+IF(N561&gt;1,N(O561)*(N561-1),0)</f>
        <v/>
      </c>
      <c r="S561">
        <f>IFERROR(L561*MAX(N561,1)/R561*IF(ISBLANK(K559),1,K559),0)</f>
        <v/>
      </c>
      <c r="AB561" s="7" t="inlineStr">
        <is>
          <t>^TankDestroyerCannon, ^MediumCannon, ^RailgunWeapon</t>
        </is>
      </c>
    </row>
    <row r="562">
      <c r="B562" s="7" t="inlineStr">
        <is>
          <t xml:space="preserve">  ↳ TankBusterBeamCannonCharged</t>
        </is>
      </c>
      <c r="C562" s="7" t="inlineStr">
        <is>
          <t>Armament@Upgrade</t>
        </is>
      </c>
      <c r="L562" s="6" t="n">
        <v>24000</v>
      </c>
      <c r="M562" s="6" t="n">
        <v>96</v>
      </c>
      <c r="N562" s="6" t="n">
        <v>1</v>
      </c>
      <c r="O562" s="6" t="n"/>
      <c r="P562" s="6" t="n">
        <v>5190</v>
      </c>
      <c r="Q562" s="6" t="n">
        <v>1.25</v>
      </c>
      <c r="R562">
        <f>M562+IF(N562&gt;1,N(O562)*(N562-1),0)</f>
        <v/>
      </c>
      <c r="S562">
        <f>IFERROR(L562*MAX(N562,1)/R562*IF(ISBLANK(K559),1,K559),0)</f>
        <v/>
      </c>
      <c r="AB562" s="7" t="inlineStr">
        <is>
          <t>^Warhead_Laser_Heavy</t>
        </is>
      </c>
    </row>
    <row r="563">
      <c r="B563" s="7" t="inlineStr">
        <is>
          <t xml:space="preserve">  ↳ TankBusterBeamCannonCharged</t>
        </is>
      </c>
      <c r="C563" s="7" t="inlineStr">
        <is>
          <t>Armament@UpgradeGARRISONED</t>
        </is>
      </c>
      <c r="L563" s="6" t="n">
        <v>24000</v>
      </c>
      <c r="M563" s="6" t="n">
        <v>96</v>
      </c>
      <c r="N563" s="6" t="n">
        <v>1</v>
      </c>
      <c r="O563" s="6" t="n"/>
      <c r="P563" s="6" t="n">
        <v>5190</v>
      </c>
      <c r="Q563" s="6" t="n">
        <v>1.25</v>
      </c>
      <c r="R563">
        <f>M563+IF(N563&gt;1,N(O563)*(N563-1),0)</f>
        <v/>
      </c>
      <c r="S563">
        <f>IFERROR(L563*MAX(N563,1)/R563*IF(ISBLANK(K559),1,K559),0)</f>
        <v/>
      </c>
      <c r="AB563" s="7" t="inlineStr">
        <is>
          <t>^Warhead_Laser_Heavy</t>
        </is>
      </c>
    </row>
    <row r="564">
      <c r="A564" t="inlineStr">
        <is>
          <t>redalert</t>
        </is>
      </c>
      <c r="B564" t="inlineStr">
        <is>
          <t>ra1_soviets_flamethrower</t>
        </is>
      </c>
      <c r="C564" t="inlineStr">
        <is>
          <t>Soviet Flamethrower</t>
        </is>
      </c>
      <c r="D564" s="6" t="inlineStr">
        <is>
          <t>HeavyInfantry</t>
        </is>
      </c>
      <c r="E564" s="6" t="n">
        <v>16000</v>
      </c>
      <c r="F564" s="6" t="n">
        <v>56</v>
      </c>
      <c r="G564" t="inlineStr">
        <is>
          <t>Plate</t>
        </is>
      </c>
      <c r="H564" s="6" t="n">
        <v>1</v>
      </c>
      <c r="I564" s="6" t="n">
        <v>0.4</v>
      </c>
      <c r="J564" s="6" t="n">
        <v>1</v>
      </c>
      <c r="K564" s="6" t="n"/>
      <c r="P564">
        <f>MAX(P565,P567)</f>
        <v/>
      </c>
      <c r="S564">
        <f>S565+S567</f>
        <v/>
      </c>
      <c r="T564">
        <f>(E564/100000+F564/100+(P564/1000)*J564/5+S564/200)*200*I564*H564</f>
        <v/>
      </c>
      <c r="U564">
        <f>((E564*F564/25000)+((P564/1000)*J564*S564/2.5))*I564*H564</f>
        <v/>
      </c>
      <c r="V564">
        <f>(E564*F564*(P564/1000)*J564*S564*I564*H564)/12500000</f>
        <v/>
      </c>
      <c r="W564">
        <f>(T564+U564+V564)/3</f>
        <v/>
      </c>
      <c r="X564" s="6" t="n">
        <v>200</v>
      </c>
      <c r="Y564">
        <f>IFERROR(W564-X564,"")</f>
        <v/>
      </c>
      <c r="Z564">
        <f>IFERROR(ABS(Y564)/MAX(X564,1),"")</f>
        <v/>
      </c>
      <c r="AA564">
        <f>IFERROR((X564-(((E564/100000+F564/100+S564/200)*200*I564*H564)+((E564*F564/25000)*I564*H564))/3)/(((J564/5)*200*I564*H564)+((J564*S564/2.5)*I564*H564)+((E564*F564*J564*S564*I564*H564)/12500000))/3*1000,"")</f>
        <v/>
      </c>
    </row>
    <row r="565">
      <c r="B565" s="7" t="inlineStr">
        <is>
          <t xml:space="preserve">  ↳ FireballGun</t>
        </is>
      </c>
      <c r="C565" s="7" t="inlineStr">
        <is>
          <t>Armament</t>
        </is>
      </c>
      <c r="L565" s="6" t="n">
        <v>8000</v>
      </c>
      <c r="M565" s="6" t="n">
        <v>24</v>
      </c>
      <c r="N565" s="6" t="n">
        <v>1</v>
      </c>
      <c r="O565" s="6" t="n"/>
      <c r="P565" s="6" t="n">
        <v>5004</v>
      </c>
      <c r="Q565" s="6" t="n">
        <v>1</v>
      </c>
      <c r="R565">
        <f>M565+IF(N565&gt;1,N(O565)*(N565-1),0)</f>
        <v/>
      </c>
      <c r="S565">
        <f>IFERROR(L565*MAX(N565,1)/R565*IF(ISBLANK(K564),1,K564),0)</f>
        <v/>
      </c>
      <c r="AB565" s="7" t="inlineStr">
        <is>
          <t>^Warhead_Flame_Medium</t>
        </is>
      </c>
    </row>
    <row r="566">
      <c r="B566" s="7" t="inlineStr">
        <is>
          <t xml:space="preserve">  ↳ FireballGun</t>
        </is>
      </c>
      <c r="C566" s="7" t="inlineStr">
        <is>
          <t>Armament@GARRISONED</t>
        </is>
      </c>
      <c r="L566" s="6" t="n">
        <v>8000</v>
      </c>
      <c r="M566" s="6" t="n">
        <v>24</v>
      </c>
      <c r="N566" s="6" t="n">
        <v>1</v>
      </c>
      <c r="O566" s="6" t="n"/>
      <c r="P566" s="6" t="n">
        <v>5004</v>
      </c>
      <c r="Q566" s="6" t="n">
        <v>1</v>
      </c>
      <c r="R566">
        <f>M566+IF(N566&gt;1,N(O566)*(N566-1),0)</f>
        <v/>
      </c>
      <c r="S566">
        <f>IFERROR(L566*MAX(N566,1)/R566*IF(ISBLANK(K564),1,K564),0)</f>
        <v/>
      </c>
      <c r="AB566" s="7" t="inlineStr">
        <is>
          <t>^Warhead_Flame_Medium</t>
        </is>
      </c>
    </row>
    <row r="567">
      <c r="B567" s="7" t="inlineStr">
        <is>
          <t xml:space="preserve">  ↳ FireballGunThermobaric</t>
        </is>
      </c>
      <c r="C567" s="7" t="inlineStr">
        <is>
          <t>Armament@Upgrade</t>
        </is>
      </c>
      <c r="L567" s="6" t="n">
        <v>8000</v>
      </c>
      <c r="M567" s="6" t="n">
        <v>24</v>
      </c>
      <c r="N567" s="6" t="n">
        <v>1</v>
      </c>
      <c r="O567" s="6" t="n"/>
      <c r="P567" s="6" t="n">
        <v>5004</v>
      </c>
      <c r="Q567" s="6" t="n">
        <v>1</v>
      </c>
      <c r="R567">
        <f>M567+IF(N567&gt;1,N(O567)*(N567-1),0)</f>
        <v/>
      </c>
      <c r="S567">
        <f>IFERROR(L567*MAX(N567,1)/R567*IF(ISBLANK(K564),1,K564),0)</f>
        <v/>
      </c>
      <c r="AB567" s="7" t="inlineStr">
        <is>
          <t>^Warhead_Flame_Medium</t>
        </is>
      </c>
    </row>
    <row r="568">
      <c r="B568" s="7" t="inlineStr">
        <is>
          <t xml:space="preserve">  ↳ FireballGunThermobaric</t>
        </is>
      </c>
      <c r="C568" s="7" t="inlineStr">
        <is>
          <t>Armament@UpgradeGARRISONED</t>
        </is>
      </c>
      <c r="L568" s="6" t="n">
        <v>8000</v>
      </c>
      <c r="M568" s="6" t="n">
        <v>24</v>
      </c>
      <c r="N568" s="6" t="n">
        <v>1</v>
      </c>
      <c r="O568" s="6" t="n"/>
      <c r="P568" s="6" t="n">
        <v>5004</v>
      </c>
      <c r="Q568" s="6" t="n">
        <v>1</v>
      </c>
      <c r="R568">
        <f>M568+IF(N568&gt;1,N(O568)*(N568-1),0)</f>
        <v/>
      </c>
      <c r="S568">
        <f>IFERROR(L568*MAX(N568,1)/R568*IF(ISBLANK(K564),1,K564),0)</f>
        <v/>
      </c>
      <c r="AB568" s="7" t="inlineStr">
        <is>
          <t>^Warhead_Flame_Medium</t>
        </is>
      </c>
    </row>
    <row r="569">
      <c r="A569" t="inlineStr">
        <is>
          <t>redalert</t>
        </is>
      </c>
      <c r="B569" t="inlineStr">
        <is>
          <t>ra1_soviets_shocktrooper</t>
        </is>
      </c>
      <c r="C569" t="inlineStr">
        <is>
          <t>Shock Trooper</t>
        </is>
      </c>
      <c r="D569" s="6" t="inlineStr">
        <is>
          <t>HeavyInfantry</t>
        </is>
      </c>
      <c r="E569" s="6" t="n">
        <v>40000</v>
      </c>
      <c r="F569" s="6" t="n">
        <v>40</v>
      </c>
      <c r="G569" t="inlineStr">
        <is>
          <t>Plate</t>
        </is>
      </c>
      <c r="H569" s="6" t="n">
        <v>0.75</v>
      </c>
      <c r="I569" s="6" t="n">
        <v>0.8</v>
      </c>
      <c r="J569" s="6" t="n">
        <v>1.25</v>
      </c>
      <c r="K569" s="6" t="n"/>
      <c r="P569">
        <f>MAX(P570,P571,P572)</f>
        <v/>
      </c>
      <c r="S569">
        <f>S570+S571+S572</f>
        <v/>
      </c>
      <c r="T569">
        <f>(E569/100000+F569/100+(P569/1000)*J569/5+S569/200)*200*I569*H569</f>
        <v/>
      </c>
      <c r="U569">
        <f>((E569*F569/25000)+((P569/1000)*J569*S569/2.5))*I569*H569</f>
        <v/>
      </c>
      <c r="V569">
        <f>(E569*F569*(P569/1000)*J569*S569*I569*H569)/12500000</f>
        <v/>
      </c>
      <c r="W569">
        <f>(T569+U569+V569)/3</f>
        <v/>
      </c>
      <c r="X569" s="6" t="n">
        <v>600</v>
      </c>
      <c r="Y569">
        <f>IFERROR(W569-X569,"")</f>
        <v/>
      </c>
      <c r="Z569">
        <f>IFERROR(ABS(Y569)/MAX(X569,1),"")</f>
        <v/>
      </c>
      <c r="AA569">
        <f>IFERROR((X569-(((E569/100000+F569/100+S569/200)*200*I569*H569)+((E569*F569/25000)*I569*H569))/3)/(((J569/5)*200*I569*H569)+((J569*S569/2.5)*I569*H569)+((E569*F569*J569*S569*I569*H569)/12500000))/3*1000,"")</f>
        <v/>
      </c>
    </row>
    <row r="570">
      <c r="B570" s="7" t="inlineStr">
        <is>
          <t xml:space="preserve">  ↳ PortaTesla</t>
        </is>
      </c>
      <c r="C570" s="7" t="inlineStr">
        <is>
          <t>Armament@PRIMARY</t>
        </is>
      </c>
      <c r="L570" s="6" t="n">
        <v>20000</v>
      </c>
      <c r="M570" s="6" t="n">
        <v>40</v>
      </c>
      <c r="N570" s="6" t="n">
        <v>1</v>
      </c>
      <c r="O570" s="6" t="n"/>
      <c r="P570" s="6" t="n">
        <v>4652</v>
      </c>
      <c r="Q570" s="6" t="n">
        <v>1.25</v>
      </c>
      <c r="R570">
        <f>M570+IF(N570&gt;1,N(O570)*(N570-1),0)</f>
        <v/>
      </c>
      <c r="S570">
        <f>IFERROR(L570*MAX(N570,1)/R570*IF(ISBLANK(K569),1,K569),0)</f>
        <v/>
      </c>
      <c r="AB570" s="7" t="inlineStr">
        <is>
          <t>^Warhead_Tesla_Heavy</t>
        </is>
      </c>
    </row>
    <row r="571">
      <c r="B571" s="7" t="inlineStr">
        <is>
          <t xml:space="preserve">  ↳ PortaTesla_EMP</t>
        </is>
      </c>
      <c r="C571" s="7" t="inlineStr">
        <is>
          <t>Armament@Upgrade1</t>
        </is>
      </c>
      <c r="L571" s="6" t="n">
        <v>20000</v>
      </c>
      <c r="M571" s="6" t="n">
        <v>40</v>
      </c>
      <c r="N571" s="6" t="n">
        <v>1</v>
      </c>
      <c r="O571" s="6" t="n"/>
      <c r="P571" s="6" t="n">
        <v>4652</v>
      </c>
      <c r="Q571" s="6" t="n">
        <v>1.25</v>
      </c>
      <c r="R571">
        <f>M571+IF(N571&gt;1,N(O571)*(N571-1),0)</f>
        <v/>
      </c>
      <c r="S571">
        <f>IFERROR(L571*MAX(N571,1)/R571*IF(ISBLANK(K569),1,K569),0)</f>
        <v/>
      </c>
      <c r="AB571" s="7" t="inlineStr">
        <is>
          <t>^Warhead_Tesla_Heavy</t>
        </is>
      </c>
    </row>
    <row r="572">
      <c r="B572" s="7" t="inlineStr">
        <is>
          <t xml:space="preserve">  ↳ PortaTeslaArc_EMP</t>
        </is>
      </c>
      <c r="C572" s="7" t="inlineStr">
        <is>
          <t>Armament@Upgrade2</t>
        </is>
      </c>
      <c r="L572" s="6" t="n">
        <v>20000</v>
      </c>
      <c r="M572" s="6" t="n">
        <v>40</v>
      </c>
      <c r="N572" s="6" t="n">
        <v>1</v>
      </c>
      <c r="O572" s="6" t="n"/>
      <c r="P572" s="6" t="n">
        <v>4652</v>
      </c>
      <c r="Q572" s="6" t="n">
        <v>1.25</v>
      </c>
      <c r="R572">
        <f>M572+IF(N572&gt;1,N(O572)*(N572-1),0)</f>
        <v/>
      </c>
      <c r="S572">
        <f>IFERROR(L572*MAX(N572,1)/R572*IF(ISBLANK(K569),1,K569),0)</f>
        <v/>
      </c>
      <c r="AB572" s="7" t="inlineStr">
        <is>
          <t>^Warhead_Tesla_Heavy</t>
        </is>
      </c>
    </row>
    <row r="573">
      <c r="B573" s="7" t="inlineStr">
        <is>
          <t xml:space="preserve">  ↳ PortaTesla</t>
        </is>
      </c>
      <c r="C573" s="7" t="inlineStr">
        <is>
          <t>Armament@GARRISONED</t>
        </is>
      </c>
      <c r="L573" s="6" t="n">
        <v>20000</v>
      </c>
      <c r="M573" s="6" t="n">
        <v>40</v>
      </c>
      <c r="N573" s="6" t="n">
        <v>1</v>
      </c>
      <c r="O573" s="6" t="n"/>
      <c r="P573" s="6" t="n">
        <v>4652</v>
      </c>
      <c r="Q573" s="6" t="n">
        <v>1.25</v>
      </c>
      <c r="R573">
        <f>M573+IF(N573&gt;1,N(O573)*(N573-1),0)</f>
        <v/>
      </c>
      <c r="S573">
        <f>IFERROR(L573*MAX(N573,1)/R573*IF(ISBLANK(K569),1,K569),0)</f>
        <v/>
      </c>
      <c r="AB573" s="7" t="inlineStr">
        <is>
          <t>^Warhead_Tesla_Heavy</t>
        </is>
      </c>
    </row>
    <row r="574">
      <c r="B574" s="7" t="inlineStr">
        <is>
          <t xml:space="preserve">  ↳ PortaTesla_EMP</t>
        </is>
      </c>
      <c r="C574" s="7" t="inlineStr">
        <is>
          <t>Armament@Upgrade1GARRISONED</t>
        </is>
      </c>
      <c r="L574" s="6" t="n">
        <v>20000</v>
      </c>
      <c r="M574" s="6" t="n">
        <v>40</v>
      </c>
      <c r="N574" s="6" t="n">
        <v>1</v>
      </c>
      <c r="O574" s="6" t="n"/>
      <c r="P574" s="6" t="n">
        <v>4652</v>
      </c>
      <c r="Q574" s="6" t="n">
        <v>1.25</v>
      </c>
      <c r="R574">
        <f>M574+IF(N574&gt;1,N(O574)*(N574-1),0)</f>
        <v/>
      </c>
      <c r="S574">
        <f>IFERROR(L574*MAX(N574,1)/R574*IF(ISBLANK(K569),1,K569),0)</f>
        <v/>
      </c>
      <c r="AB574" s="7" t="inlineStr">
        <is>
          <t>^Warhead_Tesla_Heavy</t>
        </is>
      </c>
    </row>
    <row r="575">
      <c r="B575" s="7" t="inlineStr">
        <is>
          <t xml:space="preserve">  ↳ PortaTeslaArc_EMP</t>
        </is>
      </c>
      <c r="C575" s="7" t="inlineStr">
        <is>
          <t>Armament@Upgrade2GARRISONED</t>
        </is>
      </c>
      <c r="L575" s="6" t="n">
        <v>20000</v>
      </c>
      <c r="M575" s="6" t="n">
        <v>40</v>
      </c>
      <c r="N575" s="6" t="n">
        <v>1</v>
      </c>
      <c r="O575" s="6" t="n"/>
      <c r="P575" s="6" t="n">
        <v>4652</v>
      </c>
      <c r="Q575" s="6" t="n">
        <v>1.25</v>
      </c>
      <c r="R575">
        <f>M575+IF(N575&gt;1,N(O575)*(N575-1),0)</f>
        <v/>
      </c>
      <c r="S575">
        <f>IFERROR(L575*MAX(N575,1)/R575*IF(ISBLANK(K569),1,K569),0)</f>
        <v/>
      </c>
      <c r="AB575" s="7" t="inlineStr">
        <is>
          <t>^Warhead_Tesla_Heavy</t>
        </is>
      </c>
    </row>
    <row r="576">
      <c r="A576" t="inlineStr">
        <is>
          <t>redalert</t>
        </is>
      </c>
      <c r="B576" t="inlineStr">
        <is>
          <t>ra1_soviets_zapper</t>
        </is>
      </c>
      <c r="C576" t="inlineStr">
        <is>
          <t>Zapper</t>
        </is>
      </c>
      <c r="D576" s="6" t="inlineStr">
        <is>
          <t>HeavyInfantry</t>
        </is>
      </c>
      <c r="E576" s="6" t="n">
        <v>60000</v>
      </c>
      <c r="F576" s="6" t="n">
        <v>30</v>
      </c>
      <c r="G576" t="inlineStr">
        <is>
          <t>Plate</t>
        </is>
      </c>
      <c r="H576" s="6" t="n">
        <v>0.75</v>
      </c>
      <c r="I576" s="6" t="n">
        <v>0.8</v>
      </c>
      <c r="J576" s="6" t="n">
        <v>1.25</v>
      </c>
      <c r="K576" s="6" t="n"/>
      <c r="P576">
        <f>MAX(P577,P578)</f>
        <v/>
      </c>
      <c r="S576">
        <f>S577+S578</f>
        <v/>
      </c>
      <c r="T576">
        <f>(E576/100000+F576/100+(P576/1000)*J576/5+S576/200)*200*I576*H576</f>
        <v/>
      </c>
      <c r="U576">
        <f>((E576*F576/25000)+((P576/1000)*J576*S576/2.5))*I576*H576</f>
        <v/>
      </c>
      <c r="V576">
        <f>(E576*F576*(P576/1000)*J576*S576*I576*H576)/12500000</f>
        <v/>
      </c>
      <c r="W576">
        <f>(T576+U576+V576)/3</f>
        <v/>
      </c>
      <c r="X576" s="6" t="n">
        <v>1200</v>
      </c>
      <c r="Y576">
        <f>IFERROR(W576-X576,"")</f>
        <v/>
      </c>
      <c r="Z576">
        <f>IFERROR(ABS(Y576)/MAX(X576,1),"")</f>
        <v/>
      </c>
      <c r="AA576">
        <f>IFERROR((X576-(((E576/100000+F576/100+S576/200)*200*I576*H576)+((E576*F576/25000)*I576*H576))/3)/(((J576/5)*200*I576*H576)+((J576*S576/2.5)*I576*H576)+((E576*F576*J576*S576*I576*H576)/12500000))/3*1000,"")</f>
        <v/>
      </c>
    </row>
    <row r="577">
      <c r="B577" s="7" t="inlineStr">
        <is>
          <t xml:space="preserve">  ↳ ZapperPortaTesla</t>
        </is>
      </c>
      <c r="C577" s="7" t="inlineStr">
        <is>
          <t>Armament@PRIMARY</t>
        </is>
      </c>
      <c r="L577" s="6" t="n">
        <v>32000</v>
      </c>
      <c r="M577" s="6" t="n">
        <v>32</v>
      </c>
      <c r="N577" s="6" t="n">
        <v>1</v>
      </c>
      <c r="O577" s="6" t="n"/>
      <c r="P577" s="6" t="n">
        <v>5000</v>
      </c>
      <c r="Q577" s="6" t="n">
        <v>1.25</v>
      </c>
      <c r="R577">
        <f>M577+IF(N577&gt;1,N(O577)*(N577-1),0)</f>
        <v/>
      </c>
      <c r="S577">
        <f>IFERROR(L577*MAX(N577,1)/R577*IF(ISBLANK(K576),1,K576),0)</f>
        <v/>
      </c>
      <c r="AB577" s="7" t="inlineStr">
        <is>
          <t>^Warhead_Tesla_Heavy</t>
        </is>
      </c>
    </row>
    <row r="578">
      <c r="B578" s="7" t="inlineStr">
        <is>
          <t xml:space="preserve">  ↳ ZapperPortaTeslaArc</t>
        </is>
      </c>
      <c r="C578" s="7" t="inlineStr">
        <is>
          <t>Armament@Upgrade</t>
        </is>
      </c>
      <c r="L578" s="6" t="n">
        <v>32000</v>
      </c>
      <c r="M578" s="6" t="n">
        <v>32</v>
      </c>
      <c r="N578" s="6" t="n">
        <v>1</v>
      </c>
      <c r="O578" s="6" t="n"/>
      <c r="P578" s="6" t="n">
        <v>5000</v>
      </c>
      <c r="Q578" s="6" t="n">
        <v>1.25</v>
      </c>
      <c r="R578">
        <f>M578+IF(N578&gt;1,N(O578)*(N578-1),0)</f>
        <v/>
      </c>
      <c r="S578">
        <f>IFERROR(L578*MAX(N578,1)/R578*IF(ISBLANK(K576),1,K576),0)</f>
        <v/>
      </c>
      <c r="AB578" s="7" t="inlineStr">
        <is>
          <t>^Warhead_Tesla_Heavy</t>
        </is>
      </c>
    </row>
    <row r="579">
      <c r="B579" s="7" t="inlineStr">
        <is>
          <t xml:space="preserve">  ↳ ZapperPortaTesla</t>
        </is>
      </c>
      <c r="C579" s="7" t="inlineStr">
        <is>
          <t>Armament@GARRISONED</t>
        </is>
      </c>
      <c r="L579" s="6" t="n">
        <v>32000</v>
      </c>
      <c r="M579" s="6" t="n">
        <v>32</v>
      </c>
      <c r="N579" s="6" t="n">
        <v>1</v>
      </c>
      <c r="O579" s="6" t="n"/>
      <c r="P579" s="6" t="n">
        <v>5000</v>
      </c>
      <c r="Q579" s="6" t="n">
        <v>1.25</v>
      </c>
      <c r="R579">
        <f>M579+IF(N579&gt;1,N(O579)*(N579-1),0)</f>
        <v/>
      </c>
      <c r="S579">
        <f>IFERROR(L579*MAX(N579,1)/R579*IF(ISBLANK(K576),1,K576),0)</f>
        <v/>
      </c>
      <c r="AB579" s="7" t="inlineStr">
        <is>
          <t>^Warhead_Tesla_Heavy</t>
        </is>
      </c>
    </row>
    <row r="580">
      <c r="B580" s="7" t="inlineStr">
        <is>
          <t xml:space="preserve">  ↳ ZapperPortaTeslaArc</t>
        </is>
      </c>
      <c r="C580" s="7" t="inlineStr">
        <is>
          <t>Armament@UpgradeGARRISONED</t>
        </is>
      </c>
      <c r="L580" s="6" t="n">
        <v>32000</v>
      </c>
      <c r="M580" s="6" t="n">
        <v>32</v>
      </c>
      <c r="N580" s="6" t="n">
        <v>1</v>
      </c>
      <c r="O580" s="6" t="n"/>
      <c r="P580" s="6" t="n">
        <v>5000</v>
      </c>
      <c r="Q580" s="6" t="n">
        <v>1.25</v>
      </c>
      <c r="R580">
        <f>M580+IF(N580&gt;1,N(O580)*(N580-1),0)</f>
        <v/>
      </c>
      <c r="S580">
        <f>IFERROR(L580*MAX(N580,1)/R580*IF(ISBLANK(K576),1,K576),0)</f>
        <v/>
      </c>
      <c r="AB580" s="7" t="inlineStr">
        <is>
          <t>^Warhead_Tesla_Heavy</t>
        </is>
      </c>
    </row>
    <row r="581">
      <c r="A581" t="inlineStr">
        <is>
          <t>redalert</t>
        </is>
      </c>
      <c r="B581" t="inlineStr">
        <is>
          <t>ra1_allies_machinegunner</t>
        </is>
      </c>
      <c r="C581" t="inlineStr">
        <is>
          <t>Machine Gunner</t>
        </is>
      </c>
      <c r="D581" s="6" t="inlineStr">
        <is>
          <t>HeavyInfantry</t>
        </is>
      </c>
      <c r="E581" s="6" t="n">
        <v>19000</v>
      </c>
      <c r="F581" s="6" t="n">
        <v>49</v>
      </c>
      <c r="G581" t="inlineStr">
        <is>
          <t>Plate</t>
        </is>
      </c>
      <c r="H581" s="6" t="n">
        <v>1</v>
      </c>
      <c r="I581" s="6" t="n">
        <v>0.8</v>
      </c>
      <c r="J581" s="6" t="n">
        <v>1</v>
      </c>
      <c r="K581" s="6" t="n">
        <v>0.009300000000000001</v>
      </c>
      <c r="P581">
        <f>MAX(P582)</f>
        <v/>
      </c>
      <c r="S581">
        <f>S582</f>
        <v/>
      </c>
      <c r="T581">
        <f>(E581/100000+F581/100+(P581/1000)*J581/5+S581/200)*200*I581*H581</f>
        <v/>
      </c>
      <c r="U581">
        <f>((E581*F581/25000)+((P581/1000)*J581*S581/2.5))*I581*H581</f>
        <v/>
      </c>
      <c r="V581">
        <f>(E581*F581*(P581/1000)*J581*S581*I581*H581)/12500000</f>
        <v/>
      </c>
      <c r="W581">
        <f>(((E581/15000)+(F581/50)+(S581/240)+((P581/6000)*J581))*200/4+(((E581/15000)*(F581/50))+(((P581/6000)*J581)*(S581/240)))*200/2+((E581/15000)*(F581/50)*((P581/6000)*J581)*(S581/240))*200)*(H581/1.0)/3</f>
        <v/>
      </c>
      <c r="X581" s="6" t="n">
        <v>557</v>
      </c>
      <c r="Y581">
        <f>IFERROR(W581-X581,"")</f>
        <v/>
      </c>
      <c r="Z581">
        <f>IFERROR(ABS(Y581)/MAX(X581,1),"")</f>
        <v/>
      </c>
      <c r="AA581">
        <f>IFERROR(ROUND(((3*X581-(((E581/15000)+(F581/50)+(S581/240))*200/4+((E581/15000)*(F581/50))*200/2)*(H581/1.0))/(200/4+((S581/240))*200/2+((E581/15000)*(F581/50)*(S581/240))*200)*(H581/1.0)*6000)/J581,-1),"")</f>
        <v/>
      </c>
    </row>
    <row r="582">
      <c r="B582" s="7" t="inlineStr">
        <is>
          <t xml:space="preserve">  ↳ RAVulcan</t>
        </is>
      </c>
      <c r="C582" s="7" t="inlineStr">
        <is>
          <t>Armament@PRIMARY</t>
        </is>
      </c>
      <c r="L582" s="6" t="n">
        <v>16000</v>
      </c>
      <c r="M582" s="6" t="n">
        <v>48</v>
      </c>
      <c r="N582" s="6" t="n">
        <v>5</v>
      </c>
      <c r="O582" s="6" t="n">
        <v>3</v>
      </c>
      <c r="P582" s="6" t="n">
        <v>6500</v>
      </c>
      <c r="Q582" s="6" t="n">
        <v>0.875</v>
      </c>
      <c r="R582">
        <f>M582+IF(N582&gt;1,N(O582)*(N582-1),0)</f>
        <v/>
      </c>
      <c r="S582">
        <f>IFERROR(L582*MAX(N582,1)/R582*IF(ISBLANK(K581),1,K581),0)</f>
        <v/>
      </c>
      <c r="AB582" s="7" t="inlineStr">
        <is>
          <t>^Warhead_Bullet_Light, ^Warhead_Bullet_Medium</t>
        </is>
      </c>
    </row>
    <row r="583">
      <c r="B583" s="7" t="inlineStr">
        <is>
          <t xml:space="preserve">  ↳ RAVulcan</t>
        </is>
      </c>
      <c r="C583" s="7" t="inlineStr">
        <is>
          <t>Armament@GARRISONED</t>
        </is>
      </c>
      <c r="L583" s="6" t="n">
        <v>16000</v>
      </c>
      <c r="M583" s="6" t="n">
        <v>48</v>
      </c>
      <c r="N583" s="6" t="n">
        <v>5</v>
      </c>
      <c r="O583" s="6" t="n">
        <v>3</v>
      </c>
      <c r="P583" s="6" t="n">
        <v>6500</v>
      </c>
      <c r="Q583" s="6" t="n">
        <v>0.875</v>
      </c>
      <c r="R583">
        <f>M583+IF(N583&gt;1,N(O583)*(N583-1),0)</f>
        <v/>
      </c>
      <c r="S583">
        <f>IFERROR(L583*MAX(N583,1)/R583*IF(ISBLANK(K581),1,K581),0)</f>
        <v/>
      </c>
      <c r="AB583" s="7" t="inlineStr">
        <is>
          <t>^Warhead_Bullet_Light, ^Warhead_Bullet_Medium</t>
        </is>
      </c>
    </row>
    <row r="584">
      <c r="A584" t="inlineStr">
        <is>
          <t>tiberiansun</t>
        </is>
      </c>
      <c r="B584" t="inlineStr">
        <is>
          <t>cabal_cyborgcommando</t>
        </is>
      </c>
      <c r="C584" t="inlineStr">
        <is>
          <t>Cyborg Commando</t>
        </is>
      </c>
      <c r="D584" s="6" t="inlineStr">
        <is>
          <t>HeavyInfantry</t>
        </is>
      </c>
      <c r="E584" s="6" t="n">
        <v>250000</v>
      </c>
      <c r="F584" s="6" t="n">
        <v>40</v>
      </c>
      <c r="G584" t="inlineStr">
        <is>
          <t>Heroic</t>
        </is>
      </c>
      <c r="H584" s="6" t="n">
        <v>0.75</v>
      </c>
      <c r="I584" s="6" t="n">
        <v>1</v>
      </c>
      <c r="J584" s="6" t="n">
        <v>1</v>
      </c>
      <c r="K584" s="6" t="n"/>
      <c r="P584">
        <f>MAX(P585,P586)</f>
        <v/>
      </c>
      <c r="S584">
        <f>S585+S586</f>
        <v/>
      </c>
      <c r="T584">
        <f>(E584/100000+F584/100+(P584/1000)*J584/5+S584/200)*200*I584*H584</f>
        <v/>
      </c>
      <c r="U584">
        <f>((E584*F584/25000)+((P584/1000)*J584*S584/2.5))*I584*H584</f>
        <v/>
      </c>
      <c r="V584">
        <f>(E584*F584*(P584/1000)*J584*S584*I584*H584)/12500000</f>
        <v/>
      </c>
      <c r="W584">
        <f>(T584+U584+V584)/3</f>
        <v/>
      </c>
      <c r="X584" s="6" t="n">
        <v>5000</v>
      </c>
      <c r="Y584">
        <f>IFERROR(W584-X584,"")</f>
        <v/>
      </c>
      <c r="Z584">
        <f>IFERROR(ABS(Y584)/MAX(X584,1),"")</f>
        <v/>
      </c>
      <c r="AA584">
        <f>IFERROR((X584-(((E584/100000+F584/100+S584/200)*200*I584*H584)+((E584*F584/25000)*I584*H584))/3)/(((J584/5)*200*I584*H584)+((J584*S584/2.5)*I584*H584)+((E584*F584*J584*S584*I584*H584)/12500000))/3*1000,"")</f>
        <v/>
      </c>
    </row>
    <row r="585">
      <c r="B585" s="7" t="inlineStr">
        <is>
          <t xml:space="preserve">  ↳ CabalCommandoPlasma</t>
        </is>
      </c>
      <c r="C585" s="7" t="inlineStr">
        <is>
          <t>Armament@PRIMARY</t>
        </is>
      </c>
      <c r="L585" s="6" t="n">
        <v>150000</v>
      </c>
      <c r="M585" s="6" t="n">
        <v>90</v>
      </c>
      <c r="N585" s="6" t="n">
        <v>1</v>
      </c>
      <c r="O585" s="6" t="n"/>
      <c r="P585" s="6" t="n">
        <v>5219</v>
      </c>
      <c r="Q585" s="6" t="n">
        <v>1</v>
      </c>
      <c r="R585">
        <f>M585+IF(N585&gt;1,N(O585)*(N585-1),0)</f>
        <v/>
      </c>
      <c r="S585">
        <f>IFERROR(L585*MAX(N585,1)/R585*IF(ISBLANK(K584),1,K584),0)</f>
        <v/>
      </c>
      <c r="AB585" s="7" t="inlineStr">
        <is>
          <t>^HeavyCannon, ^MediumFlameWeapon, ^MediumChemicalWeapon</t>
        </is>
      </c>
    </row>
    <row r="586">
      <c r="B586" s="7" t="inlineStr">
        <is>
          <t xml:space="preserve">  ↳ CabalCommandoPlasmaNeutron</t>
        </is>
      </c>
      <c r="C586" s="7" t="inlineStr">
        <is>
          <t>Armament@Upgraded</t>
        </is>
      </c>
      <c r="L586" s="6" t="n">
        <v>300000</v>
      </c>
      <c r="M586" s="6" t="n">
        <v>90</v>
      </c>
      <c r="N586" s="6" t="n">
        <v>1</v>
      </c>
      <c r="O586" s="6" t="n"/>
      <c r="P586" s="6" t="n">
        <v>5219</v>
      </c>
      <c r="Q586" s="6" t="n">
        <v>1</v>
      </c>
      <c r="R586">
        <f>M586+IF(N586&gt;1,N(O586)*(N586-1),0)</f>
        <v/>
      </c>
      <c r="S586">
        <f>IFERROR(L586*MAX(N586,1)/R586*IF(ISBLANK(K584),1,K584),0)</f>
        <v/>
      </c>
      <c r="AB586" s="7" t="inlineStr">
        <is>
          <t>^HeavyCannon, ^MediumFlameWeapon, ^MediumChemicalWeapon, ^TeslaWeapon, ^MagicWeapon, ^RailgunWeapon</t>
        </is>
      </c>
    </row>
    <row r="587">
      <c r="B587" s="7" t="inlineStr">
        <is>
          <t xml:space="preserve">  ↳ CabalCommandoPlasma</t>
        </is>
      </c>
      <c r="C587" s="7" t="inlineStr">
        <is>
          <t>Armament@GARRISONED</t>
        </is>
      </c>
      <c r="L587" s="6" t="n">
        <v>150000</v>
      </c>
      <c r="M587" s="6" t="n">
        <v>90</v>
      </c>
      <c r="N587" s="6" t="n">
        <v>1</v>
      </c>
      <c r="O587" s="6" t="n"/>
      <c r="P587" s="6" t="n">
        <v>5219</v>
      </c>
      <c r="Q587" s="6" t="n">
        <v>1</v>
      </c>
      <c r="R587">
        <f>M587+IF(N587&gt;1,N(O587)*(N587-1),0)</f>
        <v/>
      </c>
      <c r="S587">
        <f>IFERROR(L587*MAX(N587,1)/R587*IF(ISBLANK(K584),1,K584),0)</f>
        <v/>
      </c>
      <c r="AB587" s="7" t="inlineStr">
        <is>
          <t>^HeavyCannon, ^MediumFlameWeapon, ^MediumChemicalWeapon</t>
        </is>
      </c>
    </row>
    <row r="588">
      <c r="B588" s="7" t="inlineStr">
        <is>
          <t xml:space="preserve">  ↳ CabalCommandoPlasmaNeutron</t>
        </is>
      </c>
      <c r="C588" s="7" t="inlineStr">
        <is>
          <t>Armament@GARRISONEDUpgraded</t>
        </is>
      </c>
      <c r="L588" s="6" t="n">
        <v>300000</v>
      </c>
      <c r="M588" s="6" t="n">
        <v>90</v>
      </c>
      <c r="N588" s="6" t="n">
        <v>1</v>
      </c>
      <c r="O588" s="6" t="n"/>
      <c r="P588" s="6" t="n">
        <v>5219</v>
      </c>
      <c r="Q588" s="6" t="n">
        <v>1</v>
      </c>
      <c r="R588">
        <f>M588+IF(N588&gt;1,N(O588)*(N588-1),0)</f>
        <v/>
      </c>
      <c r="S588">
        <f>IFERROR(L588*MAX(N588,1)/R588*IF(ISBLANK(K584),1,K584),0)</f>
        <v/>
      </c>
      <c r="AB588" s="7" t="inlineStr">
        <is>
          <t>^HeavyCannon, ^MediumFlameWeapon, ^MediumChemicalWeapon, ^TeslaWeapon, ^MagicWeapon, ^RailgunWeapon</t>
        </is>
      </c>
    </row>
    <row r="589">
      <c r="A589" t="inlineStr">
        <is>
          <t>tiberiansun</t>
        </is>
      </c>
      <c r="B589" t="inlineStr">
        <is>
          <t>cabal_cyborgcommandov2</t>
        </is>
      </c>
      <c r="C589" t="inlineStr">
        <is>
          <t>Cyborg Commando V2</t>
        </is>
      </c>
      <c r="D589" s="6" t="inlineStr">
        <is>
          <t>HeavyInfantry</t>
        </is>
      </c>
      <c r="E589" s="6" t="n">
        <v>400000</v>
      </c>
      <c r="F589" s="6" t="n">
        <v>40</v>
      </c>
      <c r="G589" t="inlineStr">
        <is>
          <t>Heroic</t>
        </is>
      </c>
      <c r="H589" s="6" t="n">
        <v>0.5</v>
      </c>
      <c r="I589" s="6" t="n">
        <v>1</v>
      </c>
      <c r="J589" s="6" t="n">
        <v>1</v>
      </c>
      <c r="K589" s="6" t="n"/>
      <c r="P589">
        <f>MAX(P590,P591)</f>
        <v/>
      </c>
      <c r="S589">
        <f>S590+S591</f>
        <v/>
      </c>
      <c r="T589">
        <f>(E589/100000+F589/100+(P589/1000)*J589/5+S589/200)*200*I589*H589</f>
        <v/>
      </c>
      <c r="U589">
        <f>((E589*F589/25000)+((P589/1000)*J589*S589/2.5))*I589*H589</f>
        <v/>
      </c>
      <c r="V589">
        <f>(E589*F589*(P589/1000)*J589*S589*I589*H589)/12500000</f>
        <v/>
      </c>
      <c r="W589">
        <f>(T589+U589+V589)/3</f>
        <v/>
      </c>
      <c r="X589" s="6" t="n">
        <v>10000</v>
      </c>
      <c r="Y589">
        <f>IFERROR(W589-X589,"")</f>
        <v/>
      </c>
      <c r="Z589">
        <f>IFERROR(ABS(Y589)/MAX(X589,1),"")</f>
        <v/>
      </c>
      <c r="AA589">
        <f>IFERROR((X589-(((E589/100000+F589/100+S589/200)*200*I589*H589)+((E589*F589/25000)*I589*H589))/3)/(((J589/5)*200*I589*H589)+((J589*S589/2.5)*I589*H589)+((E589*F589*J589*S589*I589*H589)/12500000))/3*1000,"")</f>
        <v/>
      </c>
    </row>
    <row r="590">
      <c r="B590" s="7" t="inlineStr">
        <is>
          <t xml:space="preserve">  ↳ CabalCommandoPlasmaMk2</t>
        </is>
      </c>
      <c r="C590" s="7" t="inlineStr">
        <is>
          <t>Armament@PRIMARY</t>
        </is>
      </c>
      <c r="L590" s="6" t="n">
        <v>150000</v>
      </c>
      <c r="M590" s="6" t="n">
        <v>90</v>
      </c>
      <c r="N590" s="6" t="n">
        <v>1</v>
      </c>
      <c r="O590" s="6" t="n"/>
      <c r="P590" s="6" t="n">
        <v>6264</v>
      </c>
      <c r="Q590" s="6" t="n">
        <v>1</v>
      </c>
      <c r="R590">
        <f>M590+IF(N590&gt;1,N(O590)*(N590-1),0)</f>
        <v/>
      </c>
      <c r="S590">
        <f>IFERROR(L590*MAX(N590,1)/R590*IF(ISBLANK(K589),1,K589),0)</f>
        <v/>
      </c>
      <c r="AB590" s="7" t="inlineStr">
        <is>
          <t>^HeavyCannon, ^MediumFlameWeapon, ^MediumChemicalWeapon</t>
        </is>
      </c>
    </row>
    <row r="591">
      <c r="B591" s="7" t="inlineStr">
        <is>
          <t xml:space="preserve">  ↳ CabalCommandoPlasmaMk2Neutron</t>
        </is>
      </c>
      <c r="C591" s="7" t="inlineStr">
        <is>
          <t>Armament@Upgraded</t>
        </is>
      </c>
      <c r="L591" s="6" t="n">
        <v>300000</v>
      </c>
      <c r="M591" s="6" t="n">
        <v>90</v>
      </c>
      <c r="N591" s="6" t="n">
        <v>1</v>
      </c>
      <c r="O591" s="6" t="n"/>
      <c r="P591" s="6" t="n">
        <v>6264</v>
      </c>
      <c r="Q591" s="6" t="n">
        <v>1</v>
      </c>
      <c r="R591">
        <f>M591+IF(N591&gt;1,N(O591)*(N591-1),0)</f>
        <v/>
      </c>
      <c r="S591">
        <f>IFERROR(L591*MAX(N591,1)/R591*IF(ISBLANK(K589),1,K589),0)</f>
        <v/>
      </c>
      <c r="AB591" s="7" t="inlineStr">
        <is>
          <t>^HeavyCannon, ^MediumFlameWeapon, ^MediumChemicalWeapon, ^TeslaWeapon, ^MagicWeapon, ^RailgunWeapon</t>
        </is>
      </c>
    </row>
    <row r="592">
      <c r="B592" s="7" t="inlineStr">
        <is>
          <t xml:space="preserve">  ↳ CabalCommandoPlasmaMk2</t>
        </is>
      </c>
      <c r="C592" s="7" t="inlineStr">
        <is>
          <t>Armament@GARRISONED</t>
        </is>
      </c>
      <c r="L592" s="6" t="n">
        <v>150000</v>
      </c>
      <c r="M592" s="6" t="n">
        <v>90</v>
      </c>
      <c r="N592" s="6" t="n">
        <v>1</v>
      </c>
      <c r="O592" s="6" t="n"/>
      <c r="P592" s="6" t="n">
        <v>6264</v>
      </c>
      <c r="Q592" s="6" t="n">
        <v>1</v>
      </c>
      <c r="R592">
        <f>M592+IF(N592&gt;1,N(O592)*(N592-1),0)</f>
        <v/>
      </c>
      <c r="S592">
        <f>IFERROR(L592*MAX(N592,1)/R592*IF(ISBLANK(K589),1,K589),0)</f>
        <v/>
      </c>
      <c r="AB592" s="7" t="inlineStr">
        <is>
          <t>^HeavyCannon, ^MediumFlameWeapon, ^MediumChemicalWeapon</t>
        </is>
      </c>
    </row>
    <row r="593">
      <c r="B593" s="7" t="inlineStr">
        <is>
          <t xml:space="preserve">  ↳ CabalCommandoPlasmaMk2Neutron</t>
        </is>
      </c>
      <c r="C593" s="7" t="inlineStr">
        <is>
          <t>Armament@GARRISONEDUpgraded</t>
        </is>
      </c>
      <c r="L593" s="6" t="n">
        <v>300000</v>
      </c>
      <c r="M593" s="6" t="n">
        <v>90</v>
      </c>
      <c r="N593" s="6" t="n">
        <v>1</v>
      </c>
      <c r="O593" s="6" t="n"/>
      <c r="P593" s="6" t="n">
        <v>6264</v>
      </c>
      <c r="Q593" s="6" t="n">
        <v>1</v>
      </c>
      <c r="R593">
        <f>M593+IF(N593&gt;1,N(O593)*(N593-1),0)</f>
        <v/>
      </c>
      <c r="S593">
        <f>IFERROR(L593*MAX(N593,1)/R593*IF(ISBLANK(K589),1,K589),0)</f>
        <v/>
      </c>
      <c r="AB593" s="7" t="inlineStr">
        <is>
          <t>^HeavyCannon, ^MediumFlameWeapon, ^MediumChemicalWeapon, ^TeslaWeapon, ^MagicWeapon, ^RailgunWeapon</t>
        </is>
      </c>
    </row>
    <row r="594">
      <c r="A594" t="inlineStr">
        <is>
          <t>tiberiansun</t>
        </is>
      </c>
      <c r="B594" t="inlineStr">
        <is>
          <t>cabal_cyborginfantry</t>
        </is>
      </c>
      <c r="C594" t="inlineStr">
        <is>
          <t>Cyborg Infantry</t>
        </is>
      </c>
      <c r="D594" s="6" t="inlineStr">
        <is>
          <t>HeavyInfantry</t>
        </is>
      </c>
      <c r="E594" s="6" t="n">
        <v>45000</v>
      </c>
      <c r="F594" s="6" t="n">
        <v>40</v>
      </c>
      <c r="G594" t="inlineStr">
        <is>
          <t>Plate</t>
        </is>
      </c>
      <c r="H594" s="6" t="n">
        <v>1</v>
      </c>
      <c r="I594" s="6" t="n">
        <v>0.8</v>
      </c>
      <c r="J594" s="6" t="n">
        <v>1</v>
      </c>
      <c r="K594" s="6" t="n"/>
      <c r="P594">
        <f>MAX(P595)</f>
        <v/>
      </c>
      <c r="S594">
        <f>S595</f>
        <v/>
      </c>
      <c r="T594">
        <f>(E594/100000+F594/100+(P594/1000)*J594/5+S594/200)*200*I594*H594</f>
        <v/>
      </c>
      <c r="U594">
        <f>((E594*F594/25000)+((P594/1000)*J594*S594/2.5))*I594*H594</f>
        <v/>
      </c>
      <c r="V594">
        <f>(E594*F594*(P594/1000)*J594*S594*I594*H594)/12500000</f>
        <v/>
      </c>
      <c r="W594">
        <f>(T594+U594+V594)/3</f>
        <v/>
      </c>
      <c r="X594" s="6" t="n">
        <v>500</v>
      </c>
      <c r="Y594">
        <f>IFERROR(W594-X594,"")</f>
        <v/>
      </c>
      <c r="Z594">
        <f>IFERROR(ABS(Y594)/MAX(X594,1),"")</f>
        <v/>
      </c>
      <c r="AA594">
        <f>IFERROR((X594-(((E594/100000+F594/100+S594/200)*200*I594*H594)+((E594*F594/25000)*I594*H594))/3)/(((J594/5)*200*I594*H594)+((J594*S594/2.5)*I594*H594)+((E594*F594*J594*S594*I594*H594)/12500000))/3*1000,"")</f>
        <v/>
      </c>
    </row>
    <row r="595">
      <c r="B595" s="7" t="inlineStr">
        <is>
          <t xml:space="preserve">  ↳ CabalCyborgChaingun</t>
        </is>
      </c>
      <c r="C595" s="7" t="inlineStr">
        <is>
          <t>Armament@PRIMARY</t>
        </is>
      </c>
      <c r="L595" s="6" t="n">
        <v>20000</v>
      </c>
      <c r="M595" s="6" t="n">
        <v>60</v>
      </c>
      <c r="N595" s="6" t="n">
        <v>1</v>
      </c>
      <c r="O595" s="6" t="n"/>
      <c r="P595" s="6" t="n">
        <v>5800</v>
      </c>
      <c r="Q595" s="6" t="n">
        <v>0.875</v>
      </c>
      <c r="R595">
        <f>M595+IF(N595&gt;1,N(O595)*(N595-1),0)</f>
        <v/>
      </c>
      <c r="S595">
        <f>IFERROR(L595*MAX(N595,1)/R595*IF(ISBLANK(K594),1,K594),0)</f>
        <v/>
      </c>
      <c r="AB595" s="7" t="inlineStr">
        <is>
          <t>^Warhead_Bullet_Light, ^Warhead_Bullet_Medium</t>
        </is>
      </c>
    </row>
    <row r="596">
      <c r="B596" s="7" t="inlineStr">
        <is>
          <t xml:space="preserve">  ↳ CabalCyborgChaingun</t>
        </is>
      </c>
      <c r="C596" s="7" t="inlineStr">
        <is>
          <t>Armament@GARRISONED</t>
        </is>
      </c>
      <c r="L596" s="6" t="n">
        <v>20000</v>
      </c>
      <c r="M596" s="6" t="n">
        <v>60</v>
      </c>
      <c r="N596" s="6" t="n">
        <v>1</v>
      </c>
      <c r="O596" s="6" t="n"/>
      <c r="P596" s="6" t="n">
        <v>5800</v>
      </c>
      <c r="Q596" s="6" t="n">
        <v>0.875</v>
      </c>
      <c r="R596">
        <f>M596+IF(N596&gt;1,N(O596)*(N596-1),0)</f>
        <v/>
      </c>
      <c r="S596">
        <f>IFERROR(L596*MAX(N596,1)/R596*IF(ISBLANK(K594),1,K594),0)</f>
        <v/>
      </c>
      <c r="AB596" s="7" t="inlineStr">
        <is>
          <t>^Warhead_Bullet_Light, ^Warhead_Bullet_Medium</t>
        </is>
      </c>
    </row>
    <row r="597">
      <c r="A597" t="inlineStr">
        <is>
          <t>tiberiansun</t>
        </is>
      </c>
      <c r="B597" t="inlineStr">
        <is>
          <t>cabal_devout</t>
        </is>
      </c>
      <c r="C597" t="inlineStr">
        <is>
          <t>Devout</t>
        </is>
      </c>
      <c r="D597" s="6" t="inlineStr">
        <is>
          <t>HeavyInfantry</t>
        </is>
      </c>
      <c r="E597" s="6" t="n">
        <v>80000</v>
      </c>
      <c r="F597" s="6" t="n">
        <v>40</v>
      </c>
      <c r="G597" t="inlineStr">
        <is>
          <t>Plate</t>
        </is>
      </c>
      <c r="H597" s="6" t="n">
        <v>1</v>
      </c>
      <c r="I597" s="6" t="n">
        <v>0.8</v>
      </c>
      <c r="J597" s="6" t="n">
        <v>1.25</v>
      </c>
      <c r="K597" s="6" t="n"/>
      <c r="P597">
        <f>MAX(P598)</f>
        <v/>
      </c>
      <c r="S597">
        <f>S598</f>
        <v/>
      </c>
      <c r="T597">
        <f>(E597/100000+F597/100+(P597/1000)*J597/5+S597/200)*200*I597*H597</f>
        <v/>
      </c>
      <c r="U597">
        <f>((E597*F597/25000)+((P597/1000)*J597*S597/2.5))*I597*H597</f>
        <v/>
      </c>
      <c r="V597">
        <f>(E597*F597*(P597/1000)*J597*S597*I597*H597)/12500000</f>
        <v/>
      </c>
      <c r="W597">
        <f>(T597+U597+V597)/3</f>
        <v/>
      </c>
      <c r="X597" s="6" t="n">
        <v>1400</v>
      </c>
      <c r="Y597">
        <f>IFERROR(W597-X597,"")</f>
        <v/>
      </c>
      <c r="Z597">
        <f>IFERROR(ABS(Y597)/MAX(X597,1),"")</f>
        <v/>
      </c>
      <c r="AA597">
        <f>IFERROR((X597-(((E597/100000+F597/100+S597/200)*200*I597*H597)+((E597*F597/25000)*I597*H597))/3)/(((J597/5)*200*I597*H597)+((J597*S597/2.5)*I597*H597)+((E597*F597*J597*S597*I597*H597)/12500000))/3*1000,"")</f>
        <v/>
      </c>
    </row>
    <row r="598">
      <c r="B598" s="7" t="inlineStr">
        <is>
          <t xml:space="preserve">  ↳ TSDevoutChainguns</t>
        </is>
      </c>
      <c r="C598" s="7" t="inlineStr">
        <is>
          <t>Armament@PRIMARY</t>
        </is>
      </c>
      <c r="L598" s="6" t="n">
        <v>24000</v>
      </c>
      <c r="M598" s="6" t="n">
        <v>45</v>
      </c>
      <c r="N598" s="6" t="n">
        <v>2</v>
      </c>
      <c r="O598" s="6" t="n">
        <v>3</v>
      </c>
      <c r="P598" s="6" t="n">
        <v>6200</v>
      </c>
      <c r="Q598" s="6" t="n">
        <v>0.875</v>
      </c>
      <c r="R598">
        <f>M598+IF(N598&gt;1,N(O598)*(N598-1),0)</f>
        <v/>
      </c>
      <c r="S598">
        <f>IFERROR(L598*MAX(N598,1)/R598*IF(ISBLANK(K597),1,K597),0)</f>
        <v/>
      </c>
      <c r="AB598" s="7" t="inlineStr">
        <is>
          <t>^Warhead_Bullet_Light, ^Warhead_Bullet_Medium</t>
        </is>
      </c>
    </row>
    <row r="599">
      <c r="B599" s="7" t="inlineStr">
        <is>
          <t xml:space="preserve">  ↳ TSDevoutChainguns</t>
        </is>
      </c>
      <c r="C599" s="7" t="inlineStr">
        <is>
          <t>Armament@GARRISONED</t>
        </is>
      </c>
      <c r="L599" s="6" t="n">
        <v>24000</v>
      </c>
      <c r="M599" s="6" t="n">
        <v>45</v>
      </c>
      <c r="N599" s="6" t="n">
        <v>2</v>
      </c>
      <c r="O599" s="6" t="n">
        <v>3</v>
      </c>
      <c r="P599" s="6" t="n">
        <v>6200</v>
      </c>
      <c r="Q599" s="6" t="n">
        <v>0.875</v>
      </c>
      <c r="R599">
        <f>M599+IF(N599&gt;1,N(O599)*(N599-1),0)</f>
        <v/>
      </c>
      <c r="S599">
        <f>IFERROR(L599*MAX(N599,1)/R599*IF(ISBLANK(K597),1,K597),0)</f>
        <v/>
      </c>
      <c r="AB599" s="7" t="inlineStr">
        <is>
          <t>^Warhead_Bullet_Light, ^Warhead_Bullet_Medium</t>
        </is>
      </c>
    </row>
    <row r="600">
      <c r="A600" t="inlineStr">
        <is>
          <t>tiberiansun</t>
        </is>
      </c>
      <c r="B600" t="inlineStr">
        <is>
          <t>cabal_dissolver</t>
        </is>
      </c>
      <c r="C600" t="inlineStr">
        <is>
          <t>Dissolver</t>
        </is>
      </c>
      <c r="D600" s="6" t="inlineStr">
        <is>
          <t>HeavyInfantry</t>
        </is>
      </c>
      <c r="E600" s="6" t="n">
        <v>50000</v>
      </c>
      <c r="F600" s="6" t="n">
        <v>40</v>
      </c>
      <c r="G600" t="inlineStr">
        <is>
          <t>Flak</t>
        </is>
      </c>
      <c r="H600" s="6" t="n">
        <v>1</v>
      </c>
      <c r="I600" s="6" t="n">
        <v>0.8</v>
      </c>
      <c r="J600" s="6" t="n">
        <v>1</v>
      </c>
      <c r="K600" s="6" t="n"/>
      <c r="P600">
        <f>MAX(P601)</f>
        <v/>
      </c>
      <c r="S600">
        <f>S601</f>
        <v/>
      </c>
      <c r="T600">
        <f>(E600/100000+F600/100+(P600/1000)*J600/5+S600/200)*200*I600*H600</f>
        <v/>
      </c>
      <c r="U600">
        <f>((E600*F600/25000)+((P600/1000)*J600*S600/2.5))*I600*H600</f>
        <v/>
      </c>
      <c r="V600">
        <f>(E600*F600*(P600/1000)*J600*S600*I600*H600)/12500000</f>
        <v/>
      </c>
      <c r="W600">
        <f>(T600+U600+V600)/3</f>
        <v/>
      </c>
      <c r="X600" s="6" t="n">
        <v>725</v>
      </c>
      <c r="Y600">
        <f>IFERROR(W600-X600,"")</f>
        <v/>
      </c>
      <c r="Z600">
        <f>IFERROR(ABS(Y600)/MAX(X600,1),"")</f>
        <v/>
      </c>
      <c r="AA600">
        <f>IFERROR((X600-(((E600/100000+F600/100+S600/200)*200*I600*H600)+((E600*F600/25000)*I600*H600))/3)/(((J600/5)*200*I600*H600)+((J600*S600/2.5)*I600*H600)+((E600*F600*J600*S600*I600*H600)/12500000))/3*1000,"")</f>
        <v/>
      </c>
    </row>
    <row r="601">
      <c r="B601" s="7" t="inlineStr">
        <is>
          <t xml:space="preserve">  ↳ CabalDissolverSpray</t>
        </is>
      </c>
      <c r="C601" s="7" t="inlineStr">
        <is>
          <t>Armament</t>
        </is>
      </c>
      <c r="L601" s="6" t="n">
        <v>4000</v>
      </c>
      <c r="M601" s="6" t="n">
        <v>4</v>
      </c>
      <c r="N601" s="6" t="n">
        <v>1</v>
      </c>
      <c r="O601" s="6" t="n"/>
      <c r="P601" s="6" t="n">
        <v>5142</v>
      </c>
      <c r="Q601" s="6" t="n">
        <v>1</v>
      </c>
      <c r="R601">
        <f>M601+IF(N601&gt;1,N(O601)*(N601-1),0)</f>
        <v/>
      </c>
      <c r="S601">
        <f>IFERROR(L601*MAX(N601,1)/R601*IF(ISBLANK(K600),1,K600),0)</f>
        <v/>
      </c>
      <c r="AB601" s="7" t="inlineStr">
        <is>
          <t>^LightChemicalWeapon, ^TankDestroyerCannon</t>
        </is>
      </c>
    </row>
    <row r="602">
      <c r="A602" t="inlineStr">
        <is>
          <t>tiberiansun</t>
        </is>
      </c>
      <c r="B602" t="inlineStr">
        <is>
          <t>cabal_eliminator800</t>
        </is>
      </c>
      <c r="C602" t="inlineStr">
        <is>
          <t>Eliminator 800</t>
        </is>
      </c>
      <c r="D602" s="6" t="inlineStr">
        <is>
          <t>HeavyInfantry</t>
        </is>
      </c>
      <c r="E602" s="6" t="n">
        <v>85000</v>
      </c>
      <c r="F602" s="6" t="n">
        <v>39</v>
      </c>
      <c r="G602" t="inlineStr">
        <is>
          <t>Flak</t>
        </is>
      </c>
      <c r="H602" s="6" t="n">
        <v>1</v>
      </c>
      <c r="I602" s="6" t="n">
        <v>0.8</v>
      </c>
      <c r="J602" s="6" t="n">
        <v>1</v>
      </c>
      <c r="K602" s="6" t="n">
        <v>0.0105</v>
      </c>
      <c r="P602">
        <f>MAX(P603)</f>
        <v/>
      </c>
      <c r="S602">
        <f>S603</f>
        <v/>
      </c>
      <c r="T602">
        <f>(E602/100000+F602/100+(P602/1000)*J602/5+S602/200)*200*I602*H602</f>
        <v/>
      </c>
      <c r="U602">
        <f>((E602*F602/25000)+((P602/1000)*J602*S602/2.5))*I602*H602</f>
        <v/>
      </c>
      <c r="V602">
        <f>(E602*F602*(P602/1000)*J602*S602*I602*H602)/12500000</f>
        <v/>
      </c>
      <c r="W602">
        <f>(((E602/15000)+(F602/50)+(S602/240)+((P602/6000)*J602))*200/4+(((E602/15000)*(F602/50))+(((P602/6000)*J602)*(S602/240)))*200/2+((E602/15000)*(F602/50)*((P602/6000)*J602)*(S602/240))*200)*(H602/1.0)/3</f>
        <v/>
      </c>
      <c r="X602" s="6" t="n">
        <v>1450</v>
      </c>
      <c r="Y602">
        <f>IFERROR(W602-X602,"")</f>
        <v/>
      </c>
      <c r="Z602">
        <f>IFERROR(ABS(Y602)/MAX(X602,1),"")</f>
        <v/>
      </c>
      <c r="AA602">
        <f>IFERROR(ROUND(((3*X602-(((E602/15000)+(F602/50)+(S602/240))*200/4+((E602/15000)*(F602/50))*200/2)*(H602/1.0))/(200/4+((S602/240))*200/2+((E602/15000)*(F602/50)*(S602/240))*200)*(H602/1.0)*6000)/J602,-1),"")</f>
        <v/>
      </c>
    </row>
    <row r="603">
      <c r="B603" s="7" t="inlineStr">
        <is>
          <t xml:space="preserve">  ↳ CabalEliminatorGatling</t>
        </is>
      </c>
      <c r="C603" s="7" t="inlineStr">
        <is>
          <t>Armament@PRIMARY</t>
        </is>
      </c>
      <c r="L603" s="6" t="n">
        <v>4000</v>
      </c>
      <c r="M603" s="6" t="n">
        <v>5</v>
      </c>
      <c r="N603" s="6" t="n">
        <v>1</v>
      </c>
      <c r="O603" s="6" t="n"/>
      <c r="P603" s="6" t="n">
        <v>5857</v>
      </c>
      <c r="Q603" s="6" t="n">
        <v>1</v>
      </c>
      <c r="R603">
        <f>M603+IF(N603&gt;1,N(O603)*(N603-1),0)</f>
        <v/>
      </c>
      <c r="S603">
        <f>IFERROR(L603*MAX(N603,1)/R603*IF(ISBLANK(K602),1,K602),0)</f>
        <v/>
      </c>
      <c r="AB603" s="7" t="inlineStr">
        <is>
          <t>^Warhead_Bullet_Medium</t>
        </is>
      </c>
    </row>
    <row r="604">
      <c r="B604" s="7" t="inlineStr">
        <is>
          <t xml:space="preserve">  ↳ CabalEliminatorGatling</t>
        </is>
      </c>
      <c r="C604" s="7" t="inlineStr">
        <is>
          <t>Armament@GARRISONED</t>
        </is>
      </c>
      <c r="L604" s="6" t="n">
        <v>4000</v>
      </c>
      <c r="M604" s="6" t="n">
        <v>5</v>
      </c>
      <c r="N604" s="6" t="n">
        <v>1</v>
      </c>
      <c r="O604" s="6" t="n"/>
      <c r="P604" s="6" t="n">
        <v>5857</v>
      </c>
      <c r="Q604" s="6" t="n">
        <v>1</v>
      </c>
      <c r="R604">
        <f>M604+IF(N604&gt;1,N(O604)*(N604-1),0)</f>
        <v/>
      </c>
      <c r="S604">
        <f>IFERROR(L604*MAX(N604,1)/R604*IF(ISBLANK(K602),1,K602),0)</f>
        <v/>
      </c>
      <c r="AB604" s="7" t="inlineStr">
        <is>
          <t>^Warhead_Bullet_Medium</t>
        </is>
      </c>
    </row>
    <row r="605">
      <c r="A605" t="inlineStr">
        <is>
          <t>tiberiansun</t>
        </is>
      </c>
      <c r="B605" t="inlineStr">
        <is>
          <t>cabal_enlighted</t>
        </is>
      </c>
      <c r="C605" t="inlineStr">
        <is>
          <t>Enlighted</t>
        </is>
      </c>
      <c r="D605" s="6" t="inlineStr">
        <is>
          <t>HeavyInfantry</t>
        </is>
      </c>
      <c r="E605" s="6" t="n">
        <v>80000</v>
      </c>
      <c r="F605" s="6" t="n">
        <v>40</v>
      </c>
      <c r="G605" t="inlineStr">
        <is>
          <t>Flak</t>
        </is>
      </c>
      <c r="H605" s="6" t="n">
        <v>1</v>
      </c>
      <c r="I605" s="6" t="n">
        <v>1</v>
      </c>
      <c r="J605" s="6" t="n">
        <v>1</v>
      </c>
      <c r="K605" s="6" t="n"/>
      <c r="P605">
        <f>MAX(P606)</f>
        <v/>
      </c>
      <c r="S605">
        <f>S606</f>
        <v/>
      </c>
      <c r="T605">
        <f>(E605/100000+F605/100+(P605/1000)*J605/5+S605/200)*200*I605*H605</f>
        <v/>
      </c>
      <c r="U605">
        <f>((E605*F605/25000)+((P605/1000)*J605*S605/2.5))*I605*H605</f>
        <v/>
      </c>
      <c r="V605">
        <f>(E605*F605*(P605/1000)*J605*S605*I605*H605)/12500000</f>
        <v/>
      </c>
      <c r="W605">
        <f>(T605+U605+V605)/3</f>
        <v/>
      </c>
      <c r="X605" s="6" t="n">
        <v>1600</v>
      </c>
      <c r="Y605">
        <f>IFERROR(W605-X605,"")</f>
        <v/>
      </c>
      <c r="Z605">
        <f>IFERROR(ABS(Y605)/MAX(X605,1),"")</f>
        <v/>
      </c>
      <c r="AA605">
        <f>IFERROR((X605-(((E605/100000+F605/100+S605/200)*200*I605*H605)+((E605*F605/25000)*I605*H605))/3)/(((J605/5)*200*I605*H605)+((J605*S605/2.5)*I605*H605)+((E605*F605*J605*S605*I605*H605)/12500000))/3*1000,"")</f>
        <v/>
      </c>
    </row>
    <row r="606">
      <c r="B606" s="7" t="inlineStr">
        <is>
          <t xml:space="preserve">  ↳ TSCABALEnlightedLaser</t>
        </is>
      </c>
      <c r="C606" s="7" t="inlineStr">
        <is>
          <t>Armament@PRIMARY</t>
        </is>
      </c>
      <c r="L606" s="6" t="n">
        <v>280000</v>
      </c>
      <c r="M606" s="6" t="n">
        <v>25</v>
      </c>
      <c r="N606" s="6" t="n">
        <v>1</v>
      </c>
      <c r="O606" s="6" t="n"/>
      <c r="P606" s="6" t="n">
        <v>5120</v>
      </c>
      <c r="Q606" s="6" t="n">
        <v>1</v>
      </c>
      <c r="R606">
        <f>M606+IF(N606&gt;1,N(O606)*(N606-1),0)</f>
        <v/>
      </c>
      <c r="S606">
        <f>IFERROR(L606*MAX(N606,1)/R606*IF(ISBLANK(K605),1,K605),0)</f>
        <v/>
      </c>
      <c r="AB606" s="7" t="inlineStr">
        <is>
          <t>^TankDestroyerCannon, ^LaserWeapon, ^MediumFlameWeapon, ^MediumChemicalWeapon, ^TSLaserEffect</t>
        </is>
      </c>
    </row>
    <row r="607">
      <c r="B607" s="7" t="inlineStr">
        <is>
          <t xml:space="preserve">  ↳ SuicideBomberTargeting</t>
        </is>
      </c>
      <c r="C607" s="7" t="inlineStr">
        <is>
          <t>Armament@Suicide</t>
        </is>
      </c>
      <c r="L607" s="6" t="n"/>
      <c r="M607" s="6" t="n"/>
      <c r="N607" s="6" t="n">
        <v>1</v>
      </c>
      <c r="O607" s="6" t="n"/>
      <c r="P607" s="6" t="n">
        <v>1536</v>
      </c>
      <c r="Q607" s="6" t="n">
        <v>1</v>
      </c>
      <c r="R607">
        <f>M607+IF(N607&gt;1,N(O607)*(N607-1),0)</f>
        <v/>
      </c>
      <c r="S607">
        <f>IFERROR(L607*MAX(N607,1)/R607*IF(ISBLANK(K605),1,K605),0)</f>
        <v/>
      </c>
      <c r="AB607" s="7" t="inlineStr">
        <is>
          <t>DemoTruckTargeting</t>
        </is>
      </c>
    </row>
    <row r="608">
      <c r="B608" s="7" t="inlineStr">
        <is>
          <t xml:space="preserve">  ↳ TSCABALEnlightedLaser</t>
        </is>
      </c>
      <c r="C608" s="7" t="inlineStr">
        <is>
          <t>Armament@GARRISONED</t>
        </is>
      </c>
      <c r="L608" s="6" t="n">
        <v>280000</v>
      </c>
      <c r="M608" s="6" t="n">
        <v>25</v>
      </c>
      <c r="N608" s="6" t="n">
        <v>1</v>
      </c>
      <c r="O608" s="6" t="n"/>
      <c r="P608" s="6" t="n">
        <v>5120</v>
      </c>
      <c r="Q608" s="6" t="n">
        <v>1</v>
      </c>
      <c r="R608">
        <f>M608+IF(N608&gt;1,N(O608)*(N608-1),0)</f>
        <v/>
      </c>
      <c r="S608">
        <f>IFERROR(L608*MAX(N608,1)/R608*IF(ISBLANK(K605),1,K605),0)</f>
        <v/>
      </c>
      <c r="AB608" s="7" t="inlineStr">
        <is>
          <t>^TankDestroyerCannon, ^LaserWeapon, ^MediumFlameWeapon, ^MediumChemicalWeapon, ^TSLaserEffect</t>
        </is>
      </c>
    </row>
    <row r="609">
      <c r="A609" t="inlineStr">
        <is>
          <t>tiberiansun</t>
        </is>
      </c>
      <c r="B609" t="inlineStr">
        <is>
          <t>cabal_hackercyborg</t>
        </is>
      </c>
      <c r="C609" t="inlineStr">
        <is>
          <t>Hacker Cyborg</t>
        </is>
      </c>
      <c r="D609" s="6" t="inlineStr">
        <is>
          <t>HeavyInfantry</t>
        </is>
      </c>
      <c r="E609" s="6" t="n">
        <v>30000</v>
      </c>
      <c r="F609" s="6" t="n">
        <v>80</v>
      </c>
      <c r="G609" t="inlineStr">
        <is>
          <t>None</t>
        </is>
      </c>
      <c r="H609" s="6" t="n">
        <v>1</v>
      </c>
      <c r="I609" s="6" t="n">
        <v>1</v>
      </c>
      <c r="J609" s="6" t="n">
        <v>1</v>
      </c>
      <c r="K609" s="6" t="n"/>
      <c r="P609">
        <f>MAX(P610,P611)</f>
        <v/>
      </c>
      <c r="S609">
        <f>S610+S611</f>
        <v/>
      </c>
      <c r="T609">
        <f>(E609/100000+F609/100+(P609/1000)*J609/5+S609/200)*200*I609*H609</f>
        <v/>
      </c>
      <c r="U609">
        <f>((E609*F609/25000)+((P609/1000)*J609*S609/2.5))*I609*H609</f>
        <v/>
      </c>
      <c r="V609">
        <f>(E609*F609*(P609/1000)*J609*S609*I609*H609)/12500000</f>
        <v/>
      </c>
      <c r="W609">
        <f>(((E609/5000)+(F609/50)+(S609/0)+((P609/0)*J609))*500/4+(((E609/5000)*(F609/50))+(((P609/0)*J609)*(S609/0)))*500/2+((E609/5000)*(F609/50)*((P609/0)*J609)*(S609/0))*500)*(H609/1.0)/3</f>
        <v/>
      </c>
      <c r="X609" s="6" t="n">
        <v>1250</v>
      </c>
      <c r="Y609">
        <f>IFERROR(W609-X609,"")</f>
        <v/>
      </c>
      <c r="Z609">
        <f>IFERROR(ABS(Y609)/MAX(X609,1),"")</f>
        <v/>
      </c>
      <c r="AA609">
        <f>IFERROR(ROUND(((3*X609-(((E609/5000)+(F609/50)+(S609/0))*500/4+((E609/5000)*(F609/50))*500/2)*(H609/1.0))/(500/4+((S609/0))*500/2+((E609/5000)*(F609/50)*(S609/0))*500)*(H609/1.0)*0)/J609,-1),"")</f>
        <v/>
      </c>
    </row>
    <row r="610">
      <c r="B610" s="7" t="inlineStr">
        <is>
          <t xml:space="preserve">  ↳ TSCABALCharge_EMP</t>
        </is>
      </c>
      <c r="C610" s="7" t="inlineStr">
        <is>
          <t>Armament@Anim</t>
        </is>
      </c>
      <c r="L610" s="6" t="n">
        <v>1</v>
      </c>
      <c r="M610" s="6" t="n">
        <v>6</v>
      </c>
      <c r="N610" s="6" t="n">
        <v>1</v>
      </c>
      <c r="O610" s="6" t="n"/>
      <c r="P610" s="6" t="n">
        <v>8000</v>
      </c>
      <c r="Q610" s="6" t="n">
        <v>1</v>
      </c>
      <c r="R610">
        <f>M610+IF(N610&gt;1,N(O610)*(N610-1),0)</f>
        <v/>
      </c>
      <c r="S610">
        <f>IFERROR(L610*MAX(N610,1)/R610*IF(ISBLANK(K609),1,K609),0)</f>
        <v/>
      </c>
      <c r="AB610" s="7" t="inlineStr"/>
    </row>
    <row r="611">
      <c r="B611" s="7" t="inlineStr">
        <is>
          <t xml:space="preserve">  ↳ TSCABALDisable_EMP</t>
        </is>
      </c>
      <c r="C611" s="7" t="inlineStr">
        <is>
          <t>Armament@End</t>
        </is>
      </c>
      <c r="L611" s="6" t="n">
        <v>2000</v>
      </c>
      <c r="M611" s="6" t="n">
        <v>8</v>
      </c>
      <c r="N611" s="6" t="n">
        <v>1</v>
      </c>
      <c r="O611" s="6" t="n"/>
      <c r="P611" s="6" t="n">
        <v>8000</v>
      </c>
      <c r="Q611" s="6" t="n">
        <v>1</v>
      </c>
      <c r="R611">
        <f>M611+IF(N611&gt;1,N(O611)*(N611-1),0)</f>
        <v/>
      </c>
      <c r="S611">
        <f>IFERROR(L611*MAX(N611,1)/R611*IF(ISBLANK(K609),1,K609),0)</f>
        <v/>
      </c>
      <c r="AB611" s="7" t="inlineStr">
        <is>
          <t>^Warhead_Tesla_Super</t>
        </is>
      </c>
    </row>
    <row r="612">
      <c r="B612" s="7" t="inlineStr">
        <is>
          <t xml:space="preserve">  ↳ TSRobotHackingControl</t>
        </is>
      </c>
      <c r="C612" s="7" t="inlineStr">
        <is>
          <t>Armament@GARRISONED</t>
        </is>
      </c>
      <c r="L612" s="6" t="n">
        <v>0</v>
      </c>
      <c r="M612" s="6" t="n">
        <v>50</v>
      </c>
      <c r="N612" s="6" t="n">
        <v>1</v>
      </c>
      <c r="O612" s="6" t="n"/>
      <c r="P612" s="6" t="n">
        <v>8000</v>
      </c>
      <c r="Q612" s="6" t="n">
        <v>1</v>
      </c>
      <c r="R612">
        <f>M612+IF(N612&gt;1,N(O612)*(N612-1),0)</f>
        <v/>
      </c>
      <c r="S612">
        <f>IFERROR(L612*MAX(N612,1)/R612*IF(ISBLANK(K609),1,K609),0)</f>
        <v/>
      </c>
      <c r="AB612" s="7" t="inlineStr"/>
    </row>
    <row r="613">
      <c r="A613" t="inlineStr">
        <is>
          <t>tiberiansun</t>
        </is>
      </c>
      <c r="B613" t="inlineStr">
        <is>
          <t>ts_nod_toxintrooper</t>
        </is>
      </c>
      <c r="C613" t="inlineStr">
        <is>
          <t>Toxin Trooper</t>
        </is>
      </c>
      <c r="D613" s="6" t="inlineStr">
        <is>
          <t>HeavyInfantry</t>
        </is>
      </c>
      <c r="E613" s="6" t="n">
        <v>30000</v>
      </c>
      <c r="F613" s="6" t="n">
        <v>55</v>
      </c>
      <c r="G613" t="inlineStr">
        <is>
          <t>Plate</t>
        </is>
      </c>
      <c r="H613" s="6" t="n">
        <v>0.7269</v>
      </c>
      <c r="I613" s="6" t="n">
        <v>1</v>
      </c>
      <c r="J613" s="6" t="n">
        <v>1</v>
      </c>
      <c r="K613" s="6" t="n"/>
      <c r="P613">
        <f>MAX(P614)</f>
        <v/>
      </c>
      <c r="S613">
        <f>S614</f>
        <v/>
      </c>
      <c r="T613">
        <f>(E613/100000+F613/100+(P613/1000)*J613/5+S613/200)*200*I613*H613</f>
        <v/>
      </c>
      <c r="U613">
        <f>((E613*F613/25000)+((P613/1000)*J613*S613/2.5))*I613*H613</f>
        <v/>
      </c>
      <c r="V613">
        <f>(E613*F613*(P613/1000)*J613*S613*I613*H613)/12500000</f>
        <v/>
      </c>
      <c r="W613">
        <f>(T613+U613+V613)/3</f>
        <v/>
      </c>
      <c r="X613" s="6" t="n">
        <v>850</v>
      </c>
      <c r="Y613">
        <f>IFERROR(W613-X613,"")</f>
        <v/>
      </c>
      <c r="Z613">
        <f>IFERROR(ABS(Y613)/MAX(X613,1),"")</f>
        <v/>
      </c>
      <c r="AA613">
        <f>IFERROR((X613-(((E613/100000+F613/100+S613/200)*200*I613*H613)+((E613*F613/25000)*I613*H613))/3)/(((J613/5)*200*I613*H613)+((J613*S613/2.5)*I613*H613)+((E613*F613*J613*S613*I613*H613)/12500000))/3*1000,"")</f>
        <v/>
      </c>
    </row>
    <row r="614">
      <c r="B614" s="7" t="inlineStr">
        <is>
          <t xml:space="preserve">  ↳ TSToxinRifle</t>
        </is>
      </c>
      <c r="C614" s="7" t="inlineStr">
        <is>
          <t>Armament@PRIMARY</t>
        </is>
      </c>
      <c r="L614" s="6" t="n">
        <v>16000</v>
      </c>
      <c r="M614" s="6" t="n">
        <v>54</v>
      </c>
      <c r="N614" s="6" t="n">
        <v>3</v>
      </c>
      <c r="O614" s="6" t="n">
        <v>3</v>
      </c>
      <c r="P614" s="6" t="n">
        <v>10293</v>
      </c>
      <c r="Q614" s="6" t="n">
        <v>0.75</v>
      </c>
      <c r="R614">
        <f>M614+IF(N614&gt;1,N(O614)*(N614-1),0)</f>
        <v/>
      </c>
      <c r="S614">
        <f>IFERROR(L614*MAX(N614,1)/R614*IF(ISBLANK(K613),1,K613),0)</f>
        <v/>
      </c>
      <c r="AB614" s="7" t="inlineStr">
        <is>
          <t>^Warhead_Chemical_Light</t>
        </is>
      </c>
    </row>
    <row r="615">
      <c r="B615" s="7" t="inlineStr">
        <is>
          <t xml:space="preserve">  ↳ TSToxinRifle</t>
        </is>
      </c>
      <c r="C615" s="7" t="inlineStr">
        <is>
          <t>Armament@GARRISONED</t>
        </is>
      </c>
      <c r="L615" s="6" t="n">
        <v>16000</v>
      </c>
      <c r="M615" s="6" t="n">
        <v>54</v>
      </c>
      <c r="N615" s="6" t="n">
        <v>3</v>
      </c>
      <c r="O615" s="6" t="n">
        <v>3</v>
      </c>
      <c r="P615" s="6" t="n">
        <v>10293</v>
      </c>
      <c r="Q615" s="6" t="n">
        <v>0.75</v>
      </c>
      <c r="R615">
        <f>M615+IF(N615&gt;1,N(O615)*(N615-1),0)</f>
        <v/>
      </c>
      <c r="S615">
        <f>IFERROR(L615*MAX(N615,1)/R615*IF(ISBLANK(K613),1,K613),0)</f>
        <v/>
      </c>
      <c r="AB615" s="7" t="inlineStr">
        <is>
          <t>^Warhead_Chemical_Light</t>
        </is>
      </c>
    </row>
    <row r="616">
      <c r="A616" t="inlineStr">
        <is>
          <t>tiberiansun</t>
        </is>
      </c>
      <c r="B616" t="inlineStr">
        <is>
          <t>ts_gdi_zonetrooper</t>
        </is>
      </c>
      <c r="C616" t="inlineStr">
        <is>
          <t>Zone Trooper</t>
        </is>
      </c>
      <c r="D616" s="6" t="inlineStr">
        <is>
          <t>HeavyInfantry</t>
        </is>
      </c>
      <c r="E616" s="6" t="n">
        <v>80000</v>
      </c>
      <c r="F616" s="6" t="n">
        <v>60</v>
      </c>
      <c r="G616" t="inlineStr">
        <is>
          <t>Plate</t>
        </is>
      </c>
      <c r="H616" s="6" t="n">
        <v>0.7333</v>
      </c>
      <c r="I616" s="6" t="n">
        <v>1</v>
      </c>
      <c r="J616" s="6" t="n">
        <v>1</v>
      </c>
      <c r="K616" s="6" t="n"/>
      <c r="P616">
        <f>MAX(P617,P618)</f>
        <v/>
      </c>
      <c r="S616">
        <f>S617+S618</f>
        <v/>
      </c>
      <c r="T616">
        <f>(E616/100000+F616/100+(P616/1000)*J616/5+S616/200)*200*I616*H616</f>
        <v/>
      </c>
      <c r="U616">
        <f>((E616*F616/25000)+((P616/1000)*J616*S616/2.5))*I616*H616</f>
        <v/>
      </c>
      <c r="V616">
        <f>(E616*F616*(P616/1000)*J616*S616*I616*H616)/12500000</f>
        <v/>
      </c>
      <c r="W616">
        <f>(T616+U616+V616)/3</f>
        <v/>
      </c>
      <c r="X616" s="6" t="n">
        <v>1500</v>
      </c>
      <c r="Y616">
        <f>IFERROR(W616-X616,"")</f>
        <v/>
      </c>
      <c r="Z616">
        <f>IFERROR(ABS(Y616)/MAX(X616,1),"")</f>
        <v/>
      </c>
      <c r="AA616">
        <f>IFERROR((X616-(((E616/100000+F616/100+S616/200)*200*I616*H616)+((E616*F616/25000)*I616*H616))/3)/(((J616/5)*200*I616*H616)+((J616*S616/2.5)*I616*H616)+((E616*F616*J616*S616*I616*H616)/12500000))/3*1000,"")</f>
        <v/>
      </c>
    </row>
    <row r="617">
      <c r="B617" s="7" t="inlineStr">
        <is>
          <t xml:space="preserve">  ↳ TSZoneRailgun</t>
        </is>
      </c>
      <c r="C617" s="7" t="inlineStr">
        <is>
          <t>Armament@PRIMARY</t>
        </is>
      </c>
      <c r="L617" s="6" t="n">
        <v>40000</v>
      </c>
      <c r="M617" s="6" t="n">
        <v>60</v>
      </c>
      <c r="N617" s="6" t="n">
        <v>1</v>
      </c>
      <c r="O617" s="6" t="n"/>
      <c r="P617" s="6" t="n">
        <v>6230</v>
      </c>
      <c r="Q617" s="6" t="n">
        <v>1.25</v>
      </c>
      <c r="R617">
        <f>M617+IF(N617&gt;1,N(O617)*(N617-1),0)</f>
        <v/>
      </c>
      <c r="S617">
        <f>IFERROR(L617*MAX(N617,1)/R617*IF(ISBLANK(K616),1,K616),0)</f>
        <v/>
      </c>
      <c r="AB617" s="7" t="inlineStr">
        <is>
          <t>^Warhead_Railgun_Heavy</t>
        </is>
      </c>
    </row>
    <row r="618">
      <c r="B618" s="7" t="inlineStr">
        <is>
          <t xml:space="preserve">  ↳ TSZoneRailgunRail</t>
        </is>
      </c>
      <c r="C618" s="7" t="inlineStr">
        <is>
          <t>Armament@Upgrade</t>
        </is>
      </c>
      <c r="L618" s="6" t="n">
        <v>60000</v>
      </c>
      <c r="M618" s="6" t="n">
        <v>60</v>
      </c>
      <c r="N618" s="6" t="n">
        <v>1</v>
      </c>
      <c r="O618" s="6" t="n"/>
      <c r="P618" s="6" t="n">
        <v>6230</v>
      </c>
      <c r="Q618" s="6" t="n">
        <v>1.25</v>
      </c>
      <c r="R618">
        <f>M618+IF(N618&gt;1,N(O618)*(N618-1),0)</f>
        <v/>
      </c>
      <c r="S618">
        <f>IFERROR(L618*MAX(N618,1)/R618*IF(ISBLANK(K616),1,K616),0)</f>
        <v/>
      </c>
      <c r="AB618" s="7" t="inlineStr">
        <is>
          <t>^Warhead_Railgun_Heavy</t>
        </is>
      </c>
    </row>
    <row r="619">
      <c r="B619" s="7" t="inlineStr">
        <is>
          <t xml:space="preserve">  ↳ TSZoneRailgun</t>
        </is>
      </c>
      <c r="C619" s="7" t="inlineStr">
        <is>
          <t>Armament@GARRISONED</t>
        </is>
      </c>
      <c r="L619" s="6" t="n">
        <v>40000</v>
      </c>
      <c r="M619" s="6" t="n">
        <v>60</v>
      </c>
      <c r="N619" s="6" t="n">
        <v>1</v>
      </c>
      <c r="O619" s="6" t="n"/>
      <c r="P619" s="6" t="n">
        <v>6230</v>
      </c>
      <c r="Q619" s="6" t="n">
        <v>1.25</v>
      </c>
      <c r="R619">
        <f>M619+IF(N619&gt;1,N(O619)*(N619-1),0)</f>
        <v/>
      </c>
      <c r="S619">
        <f>IFERROR(L619*MAX(N619,1)/R619*IF(ISBLANK(K616),1,K616),0)</f>
        <v/>
      </c>
      <c r="AB619" s="7" t="inlineStr">
        <is>
          <t>^Warhead_Railgun_Heavy</t>
        </is>
      </c>
    </row>
    <row r="620">
      <c r="B620" s="7" t="inlineStr">
        <is>
          <t xml:space="preserve">  ↳ TSZoneRailgunRail</t>
        </is>
      </c>
      <c r="C620" s="7" t="inlineStr">
        <is>
          <t>Armament@UpgradeGARRISONED</t>
        </is>
      </c>
      <c r="L620" s="6" t="n">
        <v>60000</v>
      </c>
      <c r="M620" s="6" t="n">
        <v>60</v>
      </c>
      <c r="N620" s="6" t="n">
        <v>1</v>
      </c>
      <c r="O620" s="6" t="n"/>
      <c r="P620" s="6" t="n">
        <v>6230</v>
      </c>
      <c r="Q620" s="6" t="n">
        <v>1.25</v>
      </c>
      <c r="R620">
        <f>M620+IF(N620&gt;1,N(O620)*(N620-1),0)</f>
        <v/>
      </c>
      <c r="S620">
        <f>IFERROR(L620*MAX(N620,1)/R620*IF(ISBLANK(K616),1,K616),0)</f>
        <v/>
      </c>
      <c r="AB620" s="7" t="inlineStr">
        <is>
          <t>^Warhead_Railgun_Heavy</t>
        </is>
      </c>
    </row>
    <row r="621">
      <c r="A621" t="inlineStr">
        <is>
          <t>tiberiansun</t>
        </is>
      </c>
      <c r="B621" t="inlineStr">
        <is>
          <t>forgotten_mutantsergeant</t>
        </is>
      </c>
      <c r="C621" t="inlineStr">
        <is>
          <t>actor_forgotten_mutantsergeant.name</t>
        </is>
      </c>
      <c r="D621" s="6" t="inlineStr">
        <is>
          <t>HeavyInfantry</t>
        </is>
      </c>
      <c r="E621" s="6" t="n">
        <v>40000</v>
      </c>
      <c r="F621" s="6" t="n">
        <v>74</v>
      </c>
      <c r="G621" t="inlineStr">
        <is>
          <t>Plate</t>
        </is>
      </c>
      <c r="H621" s="6" t="n">
        <v>0.75</v>
      </c>
      <c r="I621" s="6" t="n">
        <v>1</v>
      </c>
      <c r="J621" s="6" t="n">
        <v>1</v>
      </c>
      <c r="K621" s="6" t="n">
        <v>0.0108</v>
      </c>
      <c r="P621">
        <f>MAX(P622)</f>
        <v/>
      </c>
      <c r="S621">
        <f>S622</f>
        <v/>
      </c>
      <c r="T621">
        <f>(E621/100000+F621/100+(P621/1000)*J621/5+S621/200)*200*I621*H621</f>
        <v/>
      </c>
      <c r="U621">
        <f>((E621*F621/25000)+((P621/1000)*J621*S621/2.5))*I621*H621</f>
        <v/>
      </c>
      <c r="V621">
        <f>(E621*F621*(P621/1000)*J621*S621*I621*H621)/12500000</f>
        <v/>
      </c>
      <c r="W621">
        <f>(((E621/15000)+(F621/50)+(S621/240)+((P621/6000)*J621))*200/4+(((E621/15000)*(F621/50))+(((P621/6000)*J621)*(S621/240)))*200/2+((E621/15000)*(F621/50)*((P621/6000)*J621)*(S621/240))*200)*(H621/1.0)/3</f>
        <v/>
      </c>
      <c r="X621" s="6" t="n">
        <v>1154</v>
      </c>
      <c r="Y621">
        <f>IFERROR(W621-X621,"")</f>
        <v/>
      </c>
      <c r="Z621">
        <f>IFERROR(ABS(Y621)/MAX(X621,1),"")</f>
        <v/>
      </c>
      <c r="AA621">
        <f>IFERROR(ROUND(((3*X621-(((E621/15000)+(F621/50)+(S621/240))*200/4+((E621/15000)*(F621/50))*200/2)*(H621/1.0))/(200/4+((S621/240))*200/2+((E621/15000)*(F621/50)*(S621/240))*200)*(H621/1.0)*6000)/J621,-1),"")</f>
        <v/>
      </c>
    </row>
    <row r="622">
      <c r="B622" s="7" t="inlineStr">
        <is>
          <t xml:space="preserve">  ↳ TSSergGun</t>
        </is>
      </c>
      <c r="C622" s="7" t="inlineStr">
        <is>
          <t>Armament@PRIMARY</t>
        </is>
      </c>
      <c r="L622" s="6" t="n">
        <v>16000</v>
      </c>
      <c r="M622" s="6" t="n">
        <v>8</v>
      </c>
      <c r="N622" s="6" t="n">
        <v>1</v>
      </c>
      <c r="O622" s="6" t="n"/>
      <c r="P622" s="6" t="n">
        <v>5611</v>
      </c>
      <c r="Q622" s="6" t="n">
        <v>0.875</v>
      </c>
      <c r="R622">
        <f>M622+IF(N622&gt;1,N(O622)*(N622-1),0)</f>
        <v/>
      </c>
      <c r="S622">
        <f>IFERROR(L622*MAX(N622,1)/R622*IF(ISBLANK(K621),1,K621),0)</f>
        <v/>
      </c>
      <c r="AB622" s="7" t="inlineStr">
        <is>
          <t>^Warhead_Bullet_Light, ^Warhead_Bullet_Medium</t>
        </is>
      </c>
    </row>
    <row r="623">
      <c r="B623" s="7" t="inlineStr">
        <is>
          <t xml:space="preserve">  ↳ TSSergGun</t>
        </is>
      </c>
      <c r="C623" s="7" t="inlineStr">
        <is>
          <t>Armament@GARRISONED</t>
        </is>
      </c>
      <c r="L623" s="6" t="n">
        <v>16000</v>
      </c>
      <c r="M623" s="6" t="n">
        <v>8</v>
      </c>
      <c r="N623" s="6" t="n">
        <v>1</v>
      </c>
      <c r="O623" s="6" t="n"/>
      <c r="P623" s="6" t="n">
        <v>5611</v>
      </c>
      <c r="Q623" s="6" t="n">
        <v>0.875</v>
      </c>
      <c r="R623">
        <f>M623+IF(N623&gt;1,N(O623)*(N623-1),0)</f>
        <v/>
      </c>
      <c r="S623">
        <f>IFERROR(L623*MAX(N623,1)/R623*IF(ISBLANK(K621),1,K621),0)</f>
        <v/>
      </c>
      <c r="AB623" s="7" t="inlineStr">
        <is>
          <t>^Warhead_Bullet_Light, ^Warhead_Bullet_Medium</t>
        </is>
      </c>
    </row>
    <row r="624">
      <c r="A624" t="inlineStr">
        <is>
          <t>tiberiansun</t>
        </is>
      </c>
      <c r="B624" t="inlineStr">
        <is>
          <t>forgotten_tiberianfiend</t>
        </is>
      </c>
      <c r="C624" t="inlineStr">
        <is>
          <t>actor_forgotten_tiberianfiend.name</t>
        </is>
      </c>
      <c r="D624" s="6" t="inlineStr">
        <is>
          <t>HeavyInfantry</t>
        </is>
      </c>
      <c r="E624" s="6" t="n">
        <v>80000</v>
      </c>
      <c r="F624" s="6" t="n">
        <v>60</v>
      </c>
      <c r="G624" t="inlineStr">
        <is>
          <t>Plate</t>
        </is>
      </c>
      <c r="H624" s="6" t="n">
        <v>0.8376</v>
      </c>
      <c r="I624" s="6" t="n">
        <v>1</v>
      </c>
      <c r="J624" s="6" t="n">
        <v>1</v>
      </c>
      <c r="K624" s="6" t="n"/>
      <c r="P624">
        <f>MAX(P625,P627)</f>
        <v/>
      </c>
      <c r="S624">
        <f>S625+S627</f>
        <v/>
      </c>
      <c r="T624">
        <f>(E624/100000+F624/100+(P624/1000)*J624/5+S624/200)*200*I624*H624</f>
        <v/>
      </c>
      <c r="U624">
        <f>((E624*F624/25000)+((P624/1000)*J624*S624/2.5))*I624*H624</f>
        <v/>
      </c>
      <c r="V624">
        <f>(E624*F624*(P624/1000)*J624*S624*I624*H624)/12500000</f>
        <v/>
      </c>
      <c r="W624">
        <f>(T624+U624+V624)/3</f>
        <v/>
      </c>
      <c r="X624" s="6" t="n">
        <v>1000</v>
      </c>
      <c r="Y624">
        <f>IFERROR(W624-X624,"")</f>
        <v/>
      </c>
      <c r="Z624">
        <f>IFERROR(ABS(Y624)/MAX(X624,1),"")</f>
        <v/>
      </c>
      <c r="AA624">
        <f>IFERROR((X624-(((E624/100000+F624/100+S624/200)*200*I624*H624)+((E624*F624/25000)*I624*H624))/3)/(((J624/5)*200*I624*H624)+((J624*S624/2.5)*I624*H624)+((E624*F624*J624*S624*I624*H624)/12500000))/3*1000,"")</f>
        <v/>
      </c>
    </row>
    <row r="625">
      <c r="B625" s="7" t="inlineStr">
        <is>
          <t xml:space="preserve">  ↳ TSFiendShard</t>
        </is>
      </c>
      <c r="C625" s="7" t="inlineStr">
        <is>
          <t>Armament@PRIMARY</t>
        </is>
      </c>
      <c r="L625" s="6" t="n">
        <v>6000</v>
      </c>
      <c r="M625" s="6" t="n">
        <v>36</v>
      </c>
      <c r="N625" s="6" t="n">
        <v>3</v>
      </c>
      <c r="O625" s="6" t="n">
        <v>2</v>
      </c>
      <c r="P625" s="6" t="n">
        <v>5690</v>
      </c>
      <c r="Q625" s="6" t="n">
        <v>0.75</v>
      </c>
      <c r="R625">
        <f>M625+IF(N625&gt;1,N(O625)*(N625-1),0)</f>
        <v/>
      </c>
      <c r="S625">
        <f>IFERROR(L625*MAX(N625,1)/R625*IF(ISBLANK(K624),1,K624),0)</f>
        <v/>
      </c>
      <c r="AB625" s="7" t="inlineStr">
        <is>
          <t>^Warhead_Chemical_Light</t>
        </is>
      </c>
    </row>
    <row r="626">
      <c r="B626" s="7" t="inlineStr">
        <is>
          <t xml:space="preserve">  ↳ TSFiendShard</t>
        </is>
      </c>
      <c r="C626" s="7" t="inlineStr">
        <is>
          <t>Armament@GARRISONED</t>
        </is>
      </c>
      <c r="L626" s="6" t="n">
        <v>6000</v>
      </c>
      <c r="M626" s="6" t="n">
        <v>36</v>
      </c>
      <c r="N626" s="6" t="n">
        <v>3</v>
      </c>
      <c r="O626" s="6" t="n">
        <v>2</v>
      </c>
      <c r="P626" s="6" t="n">
        <v>5690</v>
      </c>
      <c r="Q626" s="6" t="n">
        <v>0.75</v>
      </c>
      <c r="R626">
        <f>M626+IF(N626&gt;1,N(O626)*(N626-1),0)</f>
        <v/>
      </c>
      <c r="S626">
        <f>IFERROR(L626*MAX(N626,1)/R626*IF(ISBLANK(K624),1,K624),0)</f>
        <v/>
      </c>
      <c r="AB626" s="7" t="inlineStr">
        <is>
          <t>^Warhead_Chemical_Light</t>
        </is>
      </c>
    </row>
    <row r="627">
      <c r="B627" s="7" t="inlineStr">
        <is>
          <t xml:space="preserve">  ↳ TSFiendShardUP</t>
        </is>
      </c>
      <c r="C627" s="7" t="inlineStr">
        <is>
          <t>Armament@UPGRADE</t>
        </is>
      </c>
      <c r="L627" s="6" t="n">
        <v>18000</v>
      </c>
      <c r="M627" s="6" t="n">
        <v>36</v>
      </c>
      <c r="N627" s="6" t="n">
        <v>3</v>
      </c>
      <c r="O627" s="6" t="n">
        <v>2</v>
      </c>
      <c r="P627" s="6" t="n">
        <v>5690</v>
      </c>
      <c r="Q627" s="6" t="n">
        <v>1</v>
      </c>
      <c r="R627">
        <f>M627+IF(N627&gt;1,N(O627)*(N627-1),0)</f>
        <v/>
      </c>
      <c r="S627">
        <f>IFERROR(L627*MAX(N627,1)/R627*IF(ISBLANK(K624),1,K624),0)</f>
        <v/>
      </c>
      <c r="AB627" s="7" t="inlineStr">
        <is>
          <t>^LightChemicalWeapon, ^MediumChemicalWeapon, ^HeavyChemicalWeapon</t>
        </is>
      </c>
    </row>
    <row r="628">
      <c r="B628" s="7" t="inlineStr">
        <is>
          <t xml:space="preserve">  ↳ TSFiendShardUP</t>
        </is>
      </c>
      <c r="C628" s="7" t="inlineStr">
        <is>
          <t>Armament@GARRISONEDUPGRADE</t>
        </is>
      </c>
      <c r="L628" s="6" t="n">
        <v>18000</v>
      </c>
      <c r="M628" s="6" t="n">
        <v>36</v>
      </c>
      <c r="N628" s="6" t="n">
        <v>3</v>
      </c>
      <c r="O628" s="6" t="n">
        <v>2</v>
      </c>
      <c r="P628" s="6" t="n">
        <v>5690</v>
      </c>
      <c r="Q628" s="6" t="n">
        <v>1</v>
      </c>
      <c r="R628">
        <f>M628+IF(N628&gt;1,N(O628)*(N628-1),0)</f>
        <v/>
      </c>
      <c r="S628">
        <f>IFERROR(L628*MAX(N628,1)/R628*IF(ISBLANK(K624),1,K624),0)</f>
        <v/>
      </c>
      <c r="AB628" s="7" t="inlineStr">
        <is>
          <t>^LightChemicalWeapon, ^MediumChemicalWeapon, ^HeavyChemicalWeapon</t>
        </is>
      </c>
    </row>
    <row r="629">
      <c r="A629" t="inlineStr">
        <is>
          <t>tiberiansun</t>
        </is>
      </c>
      <c r="B629" t="inlineStr">
        <is>
          <t>forgotten_tiberianfiend_wild</t>
        </is>
      </c>
      <c r="C629" t="inlineStr">
        <is>
          <t>actor_forgotten_tiberianfiend.name</t>
        </is>
      </c>
      <c r="D629" s="6" t="inlineStr">
        <is>
          <t>HeavyInfantry</t>
        </is>
      </c>
      <c r="E629" s="6" t="n">
        <v>80000</v>
      </c>
      <c r="F629" s="6" t="n">
        <v>60</v>
      </c>
      <c r="G629" t="inlineStr">
        <is>
          <t>Plate</t>
        </is>
      </c>
      <c r="H629" s="6" t="n">
        <v>1</v>
      </c>
      <c r="I629" s="6" t="n">
        <v>1</v>
      </c>
      <c r="J629" s="6" t="n">
        <v>1</v>
      </c>
      <c r="K629" s="6" t="n"/>
      <c r="P629">
        <f>MAX(P630,P632)</f>
        <v/>
      </c>
      <c r="S629">
        <f>S630+S632</f>
        <v/>
      </c>
      <c r="T629">
        <f>(E629/100000+F629/100+(P629/1000)*J629/5+S629/200)*200*I629*H629</f>
        <v/>
      </c>
      <c r="U629">
        <f>((E629*F629/25000)+((P629/1000)*J629*S629/2.5))*I629*H629</f>
        <v/>
      </c>
      <c r="V629">
        <f>(E629*F629*(P629/1000)*J629*S629*I629*H629)/12500000</f>
        <v/>
      </c>
      <c r="W629">
        <f>(T629+U629+V629)/3</f>
        <v/>
      </c>
      <c r="X629" s="6" t="n">
        <v>1000</v>
      </c>
      <c r="Y629">
        <f>IFERROR(W629-X629,"")</f>
        <v/>
      </c>
      <c r="Z629">
        <f>IFERROR(ABS(Y629)/MAX(X629,1),"")</f>
        <v/>
      </c>
      <c r="AA629">
        <f>IFERROR((X629-(((E629/100000+F629/100+S629/200)*200*I629*H629)+((E629*F629/25000)*I629*H629))/3)/(((J629/5)*200*I629*H629)+((J629*S629/2.5)*I629*H629)+((E629*F629*J629*S629*I629*H629)/12500000))/3*1000,"")</f>
        <v/>
      </c>
    </row>
    <row r="630">
      <c r="B630" s="7" t="inlineStr">
        <is>
          <t xml:space="preserve">  ↳ TSFiendShard</t>
        </is>
      </c>
      <c r="C630" s="7" t="inlineStr">
        <is>
          <t>Armament@PRIMARY</t>
        </is>
      </c>
      <c r="L630" s="6" t="n">
        <v>6000</v>
      </c>
      <c r="M630" s="6" t="n">
        <v>36</v>
      </c>
      <c r="N630" s="6" t="n">
        <v>3</v>
      </c>
      <c r="O630" s="6" t="n">
        <v>2</v>
      </c>
      <c r="P630" s="6" t="n">
        <v>5690</v>
      </c>
      <c r="Q630" s="6" t="n">
        <v>0.75</v>
      </c>
      <c r="R630">
        <f>M630+IF(N630&gt;1,N(O630)*(N630-1),0)</f>
        <v/>
      </c>
      <c r="S630">
        <f>IFERROR(L630*MAX(N630,1)/R630*IF(ISBLANK(K629),1,K629),0)</f>
        <v/>
      </c>
      <c r="AB630" s="7" t="inlineStr">
        <is>
          <t>^Warhead_Chemical_Light</t>
        </is>
      </c>
    </row>
    <row r="631">
      <c r="B631" s="7" t="inlineStr">
        <is>
          <t xml:space="preserve">  ↳ TSFiendShard</t>
        </is>
      </c>
      <c r="C631" s="7" t="inlineStr">
        <is>
          <t>Armament@GARRISONED</t>
        </is>
      </c>
      <c r="L631" s="6" t="n">
        <v>6000</v>
      </c>
      <c r="M631" s="6" t="n">
        <v>36</v>
      </c>
      <c r="N631" s="6" t="n">
        <v>3</v>
      </c>
      <c r="O631" s="6" t="n">
        <v>2</v>
      </c>
      <c r="P631" s="6" t="n">
        <v>5690</v>
      </c>
      <c r="Q631" s="6" t="n">
        <v>0.75</v>
      </c>
      <c r="R631">
        <f>M631+IF(N631&gt;1,N(O631)*(N631-1),0)</f>
        <v/>
      </c>
      <c r="S631">
        <f>IFERROR(L631*MAX(N631,1)/R631*IF(ISBLANK(K629),1,K629),0)</f>
        <v/>
      </c>
      <c r="AB631" s="7" t="inlineStr">
        <is>
          <t>^Warhead_Chemical_Light</t>
        </is>
      </c>
    </row>
    <row r="632">
      <c r="B632" s="7" t="inlineStr">
        <is>
          <t xml:space="preserve">  ↳ TSFiendShardUP</t>
        </is>
      </c>
      <c r="C632" s="7" t="inlineStr">
        <is>
          <t>Armament@UPGRADE</t>
        </is>
      </c>
      <c r="L632" s="6" t="n">
        <v>18000</v>
      </c>
      <c r="M632" s="6" t="n">
        <v>36</v>
      </c>
      <c r="N632" s="6" t="n">
        <v>3</v>
      </c>
      <c r="O632" s="6" t="n">
        <v>2</v>
      </c>
      <c r="P632" s="6" t="n">
        <v>5690</v>
      </c>
      <c r="Q632" s="6" t="n">
        <v>1</v>
      </c>
      <c r="R632">
        <f>M632+IF(N632&gt;1,N(O632)*(N632-1),0)</f>
        <v/>
      </c>
      <c r="S632">
        <f>IFERROR(L632*MAX(N632,1)/R632*IF(ISBLANK(K629),1,K629),0)</f>
        <v/>
      </c>
      <c r="AB632" s="7" t="inlineStr">
        <is>
          <t>^LightChemicalWeapon, ^MediumChemicalWeapon, ^HeavyChemicalWeapon</t>
        </is>
      </c>
    </row>
    <row r="633">
      <c r="B633" s="7" t="inlineStr">
        <is>
          <t xml:space="preserve">  ↳ TSFiendShardUP</t>
        </is>
      </c>
      <c r="C633" s="7" t="inlineStr">
        <is>
          <t>Armament@GARRISONEDUPGRADE</t>
        </is>
      </c>
      <c r="L633" s="6" t="n">
        <v>18000</v>
      </c>
      <c r="M633" s="6" t="n">
        <v>36</v>
      </c>
      <c r="N633" s="6" t="n">
        <v>3</v>
      </c>
      <c r="O633" s="6" t="n">
        <v>2</v>
      </c>
      <c r="P633" s="6" t="n">
        <v>5690</v>
      </c>
      <c r="Q633" s="6" t="n">
        <v>1</v>
      </c>
      <c r="R633">
        <f>M633+IF(N633&gt;1,N(O633)*(N633-1),0)</f>
        <v/>
      </c>
      <c r="S633">
        <f>IFERROR(L633*MAX(N633,1)/R633*IF(ISBLANK(K629),1,K629),0)</f>
        <v/>
      </c>
      <c r="AB633" s="7" t="inlineStr">
        <is>
          <t>^LightChemicalWeapon, ^MediumChemicalWeapon, ^HeavyChemicalWeapon</t>
        </is>
      </c>
    </row>
    <row r="634">
      <c r="A634" t="inlineStr">
        <is>
          <t>tiberiansun</t>
        </is>
      </c>
      <c r="B634" t="inlineStr">
        <is>
          <t>forgotten_viniferafiend</t>
        </is>
      </c>
      <c r="C634" t="inlineStr">
        <is>
          <t>actor_forgotten_viniferafiend.name</t>
        </is>
      </c>
      <c r="D634" s="6" t="inlineStr">
        <is>
          <t>HeavyInfantry</t>
        </is>
      </c>
      <c r="E634" s="6" t="n">
        <v>100000</v>
      </c>
      <c r="F634" s="6" t="n">
        <v>60</v>
      </c>
      <c r="G634" t="inlineStr">
        <is>
          <t>Plate</t>
        </is>
      </c>
      <c r="H634" s="6" t="n">
        <v>0.8376</v>
      </c>
      <c r="I634" s="6" t="n">
        <v>1</v>
      </c>
      <c r="J634" s="6" t="n">
        <v>1</v>
      </c>
      <c r="K634" s="6" t="n"/>
      <c r="P634">
        <f>MAX(P635,P637)</f>
        <v/>
      </c>
      <c r="S634">
        <f>S635+S637</f>
        <v/>
      </c>
      <c r="T634">
        <f>(E634/100000+F634/100+(P634/1000)*J634/5+S634/200)*200*I634*H634</f>
        <v/>
      </c>
      <c r="U634">
        <f>((E634*F634/25000)+((P634/1000)*J634*S634/2.5))*I634*H634</f>
        <v/>
      </c>
      <c r="V634">
        <f>(E634*F634*(P634/1000)*J634*S634*I634*H634)/12500000</f>
        <v/>
      </c>
      <c r="W634">
        <f>(T634+U634+V634)/3</f>
        <v/>
      </c>
      <c r="X634" s="6" t="n">
        <v>2000</v>
      </c>
      <c r="Y634">
        <f>IFERROR(W634-X634,"")</f>
        <v/>
      </c>
      <c r="Z634">
        <f>IFERROR(ABS(Y634)/MAX(X634,1),"")</f>
        <v/>
      </c>
      <c r="AA634">
        <f>IFERROR((X634-(((E634/100000+F634/100+S634/200)*200*I634*H634)+((E634*F634/25000)*I634*H634))/3)/(((J634/5)*200*I634*H634)+((J634*S634/2.5)*I634*H634)+((E634*F634*J634*S634*I634*H634)/12500000))/3*1000,"")</f>
        <v/>
      </c>
    </row>
    <row r="635">
      <c r="B635" s="7" t="inlineStr">
        <is>
          <t xml:space="preserve">  ↳ TSFiendShardBlue</t>
        </is>
      </c>
      <c r="C635" s="7" t="inlineStr">
        <is>
          <t>Armament@PRIMARY</t>
        </is>
      </c>
      <c r="L635" s="6" t="n">
        <v>24000</v>
      </c>
      <c r="M635" s="6" t="n">
        <v>36</v>
      </c>
      <c r="N635" s="6" t="n">
        <v>3</v>
      </c>
      <c r="O635" s="6" t="n">
        <v>2</v>
      </c>
      <c r="P635" s="6" t="n">
        <v>6096</v>
      </c>
      <c r="Q635" s="6" t="n">
        <v>1</v>
      </c>
      <c r="R635">
        <f>M635+IF(N635&gt;1,N(O635)*(N635-1),0)</f>
        <v/>
      </c>
      <c r="S635">
        <f>IFERROR(L635*MAX(N635,1)/R635*IF(ISBLANK(K634),1,K634),0)</f>
        <v/>
      </c>
      <c r="AB635" s="7" t="inlineStr">
        <is>
          <t>^Grenade, ^ShrapnelWeapon, ^LightChemicalWeapon, ^MediumChemicalWeapon</t>
        </is>
      </c>
    </row>
    <row r="636">
      <c r="B636" s="7" t="inlineStr">
        <is>
          <t xml:space="preserve">  ↳ TSFiendShardBlue</t>
        </is>
      </c>
      <c r="C636" s="7" t="inlineStr">
        <is>
          <t>Armament@GARRISONED</t>
        </is>
      </c>
      <c r="L636" s="6" t="n">
        <v>24000</v>
      </c>
      <c r="M636" s="6" t="n">
        <v>36</v>
      </c>
      <c r="N636" s="6" t="n">
        <v>3</v>
      </c>
      <c r="O636" s="6" t="n">
        <v>2</v>
      </c>
      <c r="P636" s="6" t="n">
        <v>6096</v>
      </c>
      <c r="Q636" s="6" t="n">
        <v>1</v>
      </c>
      <c r="R636">
        <f>M636+IF(N636&gt;1,N(O636)*(N636-1),0)</f>
        <v/>
      </c>
      <c r="S636">
        <f>IFERROR(L636*MAX(N636,1)/R636*IF(ISBLANK(K634),1,K634),0)</f>
        <v/>
      </c>
      <c r="AB636" s="7" t="inlineStr">
        <is>
          <t>^Grenade, ^ShrapnelWeapon, ^LightChemicalWeapon, ^MediumChemicalWeapon</t>
        </is>
      </c>
    </row>
    <row r="637">
      <c r="B637" s="7" t="inlineStr">
        <is>
          <t xml:space="preserve">  ↳ TSFiendShardBlueUP</t>
        </is>
      </c>
      <c r="C637" s="7" t="inlineStr">
        <is>
          <t>Armament@UPGRADE</t>
        </is>
      </c>
      <c r="L637" s="6" t="n">
        <v>36000</v>
      </c>
      <c r="M637" s="6" t="n">
        <v>36</v>
      </c>
      <c r="N637" s="6" t="n">
        <v>3</v>
      </c>
      <c r="O637" s="6" t="n">
        <v>2</v>
      </c>
      <c r="P637" s="6" t="n">
        <v>6096</v>
      </c>
      <c r="Q637" s="6" t="n">
        <v>1</v>
      </c>
      <c r="R637">
        <f>M637+IF(N637&gt;1,N(O637)*(N637-1),0)</f>
        <v/>
      </c>
      <c r="S637">
        <f>IFERROR(L637*MAX(N637,1)/R637*IF(ISBLANK(K634),1,K634),0)</f>
        <v/>
      </c>
      <c r="AB637" s="7" t="inlineStr">
        <is>
          <t>^Grenade, ^ShrapnelWeapon, ^LightChemicalWeapon, ^MediumChemicalWeapon, ^HeavyChemicalWeapon, ^HeavyBomb</t>
        </is>
      </c>
    </row>
    <row r="638">
      <c r="B638" s="7" t="inlineStr">
        <is>
          <t xml:space="preserve">  ↳ TSFiendShardBlueUP</t>
        </is>
      </c>
      <c r="C638" s="7" t="inlineStr">
        <is>
          <t>Armament@GARRISONEDUPGRADE</t>
        </is>
      </c>
      <c r="L638" s="6" t="n">
        <v>36000</v>
      </c>
      <c r="M638" s="6" t="n">
        <v>36</v>
      </c>
      <c r="N638" s="6" t="n">
        <v>3</v>
      </c>
      <c r="O638" s="6" t="n">
        <v>2</v>
      </c>
      <c r="P638" s="6" t="n">
        <v>6096</v>
      </c>
      <c r="Q638" s="6" t="n">
        <v>1</v>
      </c>
      <c r="R638">
        <f>M638+IF(N638&gt;1,N(O638)*(N638-1),0)</f>
        <v/>
      </c>
      <c r="S638">
        <f>IFERROR(L638*MAX(N638,1)/R638*IF(ISBLANK(K634),1,K634),0)</f>
        <v/>
      </c>
      <c r="AB638" s="7" t="inlineStr">
        <is>
          <t>^Grenade, ^ShrapnelWeapon, ^LightChemicalWeapon, ^MediumChemicalWeapon, ^HeavyChemicalWeapon, ^HeavyBomb</t>
        </is>
      </c>
    </row>
    <row r="639">
      <c r="A639" t="inlineStr">
        <is>
          <t>shared</t>
        </is>
      </c>
      <c r="B639" t="inlineStr">
        <is>
          <t>ra2shk.bot</t>
        </is>
      </c>
      <c r="C639" t="inlineStr">
        <is>
          <t>Tesla Coil Charger</t>
        </is>
      </c>
      <c r="D639" s="6" t="inlineStr">
        <is>
          <t>HeavyInfantry</t>
        </is>
      </c>
      <c r="E639" s="6" t="n">
        <v>48000</v>
      </c>
      <c r="F639" s="6" t="n">
        <v>38</v>
      </c>
      <c r="G639" t="inlineStr">
        <is>
          <t>Plate</t>
        </is>
      </c>
      <c r="H639" s="6" t="n">
        <v>1</v>
      </c>
      <c r="I639" s="6" t="n">
        <v>1</v>
      </c>
      <c r="J639" s="6" t="n">
        <v>1</v>
      </c>
      <c r="K639" s="6" t="n"/>
      <c r="X639" s="6" t="n">
        <v>500</v>
      </c>
    </row>
    <row r="640">
      <c r="B640" s="7" t="inlineStr">
        <is>
          <t xml:space="preserve">  ↳ RA2TeslaCoilCharge_cosmetic</t>
        </is>
      </c>
      <c r="C640" s="7" t="inlineStr">
        <is>
          <t>Armament@TeslaCoilCharge</t>
        </is>
      </c>
      <c r="L640" s="6" t="n"/>
      <c r="M640" s="6" t="n">
        <v>100</v>
      </c>
      <c r="N640" s="6" t="n">
        <v>1</v>
      </c>
      <c r="O640" s="6" t="n"/>
      <c r="P640" s="6" t="n">
        <v>3333</v>
      </c>
      <c r="Q640" s="6" t="n">
        <v>1</v>
      </c>
      <c r="R640">
        <f>M640+IF(N640&gt;1,N(O640)*(N640-1),0)</f>
        <v/>
      </c>
      <c r="S640">
        <f>IFERROR(L640*MAX(N640,1)/R640*IF(ISBLANK(K639),1,K639),0)</f>
        <v/>
      </c>
      <c r="AB640" s="7" t="inlineStr"/>
    </row>
    <row r="641">
      <c r="A641" t="inlineStr">
        <is>
          <t>shared</t>
        </is>
      </c>
      <c r="B641" t="inlineStr">
        <is>
          <t>ra2shkhero</t>
        </is>
      </c>
      <c r="C641" t="inlineStr">
        <is>
          <t>Tesla Commando</t>
        </is>
      </c>
      <c r="D641" s="6" t="inlineStr">
        <is>
          <t>HeavyInfantry</t>
        </is>
      </c>
      <c r="E641" s="6" t="n">
        <v>45000</v>
      </c>
      <c r="F641" s="6" t="n">
        <v>38</v>
      </c>
      <c r="G641" t="inlineStr">
        <is>
          <t>Plate</t>
        </is>
      </c>
      <c r="H641" s="6" t="n">
        <v>1</v>
      </c>
      <c r="I641" s="6" t="n">
        <v>1</v>
      </c>
      <c r="J641" s="6" t="n">
        <v>1</v>
      </c>
      <c r="K641" s="6" t="n"/>
      <c r="P641">
        <f>MAX(P642,P643,P644,P645)</f>
        <v/>
      </c>
      <c r="S641">
        <f>S642+S643+S644+S645</f>
        <v/>
      </c>
      <c r="T641">
        <f>(E641/100000+F641/100+(P641/1000)*J641/5+S641/200)*200*I641*H641</f>
        <v/>
      </c>
      <c r="U641">
        <f>((E641*F641/25000)+((P641/1000)*J641*S641/2.5))*I641*H641</f>
        <v/>
      </c>
      <c r="V641">
        <f>(E641*F641*(P641/1000)*J641*S641*I641*H641)/12500000</f>
        <v/>
      </c>
      <c r="W641">
        <f>(T641+U641+V641)/3</f>
        <v/>
      </c>
      <c r="X641" s="6" t="n">
        <v>1000</v>
      </c>
      <c r="Y641">
        <f>IFERROR(W641-X641,"")</f>
        <v/>
      </c>
      <c r="Z641">
        <f>IFERROR(ABS(Y641)/MAX(X641,1),"")</f>
        <v/>
      </c>
      <c r="AA641">
        <f>IFERROR((X641-(((E641/100000+F641/100+S641/200)*200*I641*H641)+((E641*F641/25000)*I641*H641))/3)/(((J641/5)*200*I641*H641)+((J641*S641/2.5)*I641*H641)+((E641*F641*J641*S641*I641*H641)/12500000))/3*1000,"")</f>
        <v/>
      </c>
    </row>
    <row r="642">
      <c r="B642" s="7" t="inlineStr">
        <is>
          <t xml:space="preserve">  ↳ RA2PortaTesla</t>
        </is>
      </c>
      <c r="C642" s="7" t="inlineStr">
        <is>
          <t>Armament@PRIMARY</t>
        </is>
      </c>
      <c r="L642" s="6" t="n">
        <v>24000</v>
      </c>
      <c r="M642" s="6" t="n">
        <v>100</v>
      </c>
      <c r="N642" s="6" t="n">
        <v>1</v>
      </c>
      <c r="O642" s="6" t="n"/>
      <c r="P642" s="6" t="n">
        <v>5222</v>
      </c>
      <c r="Q642" s="6" t="n">
        <v>1.25</v>
      </c>
      <c r="R642">
        <f>M642+IF(N642&gt;1,N(O642)*(N642-1),0)</f>
        <v/>
      </c>
      <c r="S642">
        <f>IFERROR(L642*MAX(N642,1)/R642*IF(ISBLANK(K641),1,K641),0)</f>
        <v/>
      </c>
      <c r="AB642" s="7" t="inlineStr">
        <is>
          <t>^Warhead_Tesla_Heavy</t>
        </is>
      </c>
    </row>
    <row r="643">
      <c r="B643" s="7" t="inlineStr">
        <is>
          <t xml:space="preserve">  ↳ RA2PortaTesla2</t>
        </is>
      </c>
      <c r="C643" s="7" t="inlineStr">
        <is>
          <t>Armament@PRIMARY2</t>
        </is>
      </c>
      <c r="L643" s="6" t="n">
        <v>24000</v>
      </c>
      <c r="M643" s="6" t="n">
        <v>100</v>
      </c>
      <c r="N643" s="6" t="n">
        <v>1</v>
      </c>
      <c r="O643" s="6" t="n"/>
      <c r="P643" s="6" t="n">
        <v>5777</v>
      </c>
      <c r="Q643" s="6" t="n">
        <v>1.25</v>
      </c>
      <c r="R643">
        <f>M643+IF(N643&gt;1,N(O643)*(N643-1),0)</f>
        <v/>
      </c>
      <c r="S643">
        <f>IFERROR(L643*MAX(N643,1)/R643*IF(ISBLANK(K641),1,K641),0)</f>
        <v/>
      </c>
      <c r="AB643" s="7" t="inlineStr">
        <is>
          <t>^Warhead_Tesla_Heavy</t>
        </is>
      </c>
    </row>
    <row r="644">
      <c r="B644" s="7" t="inlineStr">
        <is>
          <t xml:space="preserve">  ↳ RA2PortaTesla3</t>
        </is>
      </c>
      <c r="C644" s="7" t="inlineStr">
        <is>
          <t>Armament@PRIMARY3</t>
        </is>
      </c>
      <c r="L644" s="6" t="n">
        <v>24000</v>
      </c>
      <c r="M644" s="6" t="n">
        <v>100</v>
      </c>
      <c r="N644" s="6" t="n">
        <v>1</v>
      </c>
      <c r="O644" s="6" t="n"/>
      <c r="P644" s="6" t="n">
        <v>6222</v>
      </c>
      <c r="Q644" s="6" t="n">
        <v>1.25</v>
      </c>
      <c r="R644">
        <f>M644+IF(N644&gt;1,N(O644)*(N644-1),0)</f>
        <v/>
      </c>
      <c r="S644">
        <f>IFERROR(L644*MAX(N644,1)/R644*IF(ISBLANK(K641),1,K641),0)</f>
        <v/>
      </c>
      <c r="AB644" s="7" t="inlineStr">
        <is>
          <t>^Warhead_Tesla_Heavy</t>
        </is>
      </c>
    </row>
    <row r="645">
      <c r="B645" s="7" t="inlineStr">
        <is>
          <t xml:space="preserve">  ↳ RA2TeslaCoilCharge</t>
        </is>
      </c>
      <c r="C645" s="7" t="inlineStr">
        <is>
          <t>Armament@TeslaCoilCharge</t>
        </is>
      </c>
      <c r="L645" s="6" t="n">
        <v>-1</v>
      </c>
      <c r="M645" s="6" t="n">
        <v>25</v>
      </c>
      <c r="N645" s="6" t="n">
        <v>1</v>
      </c>
      <c r="O645" s="6" t="n"/>
      <c r="P645" s="6" t="n">
        <v>3333</v>
      </c>
      <c r="Q645" s="6" t="n">
        <v>1</v>
      </c>
      <c r="R645">
        <f>M645+IF(N645&gt;1,N(O645)*(N645-1),0)</f>
        <v/>
      </c>
      <c r="S645">
        <f>IFERROR(L645*MAX(N645,1)/R645*IF(ISBLANK(K641),1,K641),0)</f>
        <v/>
      </c>
      <c r="AB645" s="7" t="inlineStr"/>
    </row>
    <row r="646">
      <c r="B646" s="7" t="inlineStr">
        <is>
          <t xml:space="preserve">  ↳ RA2PortaTesla</t>
        </is>
      </c>
      <c r="C646" s="7" t="inlineStr">
        <is>
          <t>Armament@GARRISONED</t>
        </is>
      </c>
      <c r="L646" s="6" t="n">
        <v>24000</v>
      </c>
      <c r="M646" s="6" t="n">
        <v>100</v>
      </c>
      <c r="N646" s="6" t="n">
        <v>1</v>
      </c>
      <c r="O646" s="6" t="n"/>
      <c r="P646" s="6" t="n">
        <v>5222</v>
      </c>
      <c r="Q646" s="6" t="n">
        <v>1.25</v>
      </c>
      <c r="R646">
        <f>M646+IF(N646&gt;1,N(O646)*(N646-1),0)</f>
        <v/>
      </c>
      <c r="S646">
        <f>IFERROR(L646*MAX(N646,1)/R646*IF(ISBLANK(K641),1,K641),0)</f>
        <v/>
      </c>
      <c r="AB646" s="7" t="inlineStr">
        <is>
          <t>^Warhead_Tesla_Heavy</t>
        </is>
      </c>
    </row>
    <row r="647">
      <c r="B647" s="7" t="inlineStr">
        <is>
          <t xml:space="preserve">  ↳ RA2PortaTesla2</t>
        </is>
      </c>
      <c r="C647" s="7" t="inlineStr">
        <is>
          <t>Armament@GARRISONED2</t>
        </is>
      </c>
      <c r="L647" s="6" t="n">
        <v>24000</v>
      </c>
      <c r="M647" s="6" t="n">
        <v>100</v>
      </c>
      <c r="N647" s="6" t="n">
        <v>1</v>
      </c>
      <c r="O647" s="6" t="n"/>
      <c r="P647" s="6" t="n">
        <v>5777</v>
      </c>
      <c r="Q647" s="6" t="n">
        <v>1.25</v>
      </c>
      <c r="R647">
        <f>M647+IF(N647&gt;1,N(O647)*(N647-1),0)</f>
        <v/>
      </c>
      <c r="S647">
        <f>IFERROR(L647*MAX(N647,1)/R647*IF(ISBLANK(K641),1,K641),0)</f>
        <v/>
      </c>
      <c r="AB647" s="7" t="inlineStr">
        <is>
          <t>^Warhead_Tesla_Heavy</t>
        </is>
      </c>
    </row>
    <row r="648">
      <c r="B648" s="7" t="inlineStr">
        <is>
          <t xml:space="preserve">  ↳ RA2PortaTesla3</t>
        </is>
      </c>
      <c r="C648" s="7" t="inlineStr">
        <is>
          <t>Armament@GARRISONED3</t>
        </is>
      </c>
      <c r="L648" s="6" t="n">
        <v>24000</v>
      </c>
      <c r="M648" s="6" t="n">
        <v>100</v>
      </c>
      <c r="N648" s="6" t="n">
        <v>1</v>
      </c>
      <c r="O648" s="6" t="n"/>
      <c r="P648" s="6" t="n">
        <v>6222</v>
      </c>
      <c r="Q648" s="6" t="n">
        <v>1.25</v>
      </c>
      <c r="R648">
        <f>M648+IF(N648&gt;1,N(O648)*(N648-1),0)</f>
        <v/>
      </c>
      <c r="S648">
        <f>IFERROR(L648*MAX(N648,1)/R648*IF(ISBLANK(K641),1,K641),0)</f>
        <v/>
      </c>
      <c r="AB648" s="7" t="inlineStr">
        <is>
          <t>^Warhead_Tesla_Heavy</t>
        </is>
      </c>
    </row>
    <row r="649">
      <c r="B649" s="7" t="inlineStr">
        <is>
          <t xml:space="preserve">  ↳ GenericC4</t>
        </is>
      </c>
      <c r="C649" s="7" t="inlineStr">
        <is>
          <t>Armament@c4building</t>
        </is>
      </c>
      <c r="L649" s="6" t="n"/>
      <c r="M649" s="6" t="n">
        <v>20</v>
      </c>
      <c r="N649" s="6" t="n">
        <v>1</v>
      </c>
      <c r="O649" s="6" t="n"/>
      <c r="P649" s="6" t="n">
        <v>2000</v>
      </c>
      <c r="Q649" s="6" t="n">
        <v>1</v>
      </c>
      <c r="R649">
        <f>M649+IF(N649&gt;1,N(O649)*(N649-1),0)</f>
        <v/>
      </c>
      <c r="S649">
        <f>IFERROR(L649*MAX(N649,1)/R649*IF(ISBLANK(K641),1,K641),0)</f>
        <v/>
      </c>
      <c r="AB649" s="7" t="inlineStr"/>
    </row>
    <row r="650">
      <c r="A650" t="inlineStr">
        <is>
          <t>redalert2</t>
        </is>
      </c>
      <c r="B650" t="inlineStr">
        <is>
          <t>ra2_allies_chronolegionnaire</t>
        </is>
      </c>
      <c r="C650" t="inlineStr">
        <is>
          <t>Chrono Legionnaire</t>
        </is>
      </c>
      <c r="D650" s="6" t="inlineStr">
        <is>
          <t>HeavyInfantry</t>
        </is>
      </c>
      <c r="E650" s="6" t="n">
        <v>35000</v>
      </c>
      <c r="F650" s="6" t="n">
        <v>35</v>
      </c>
      <c r="G650" t="inlineStr">
        <is>
          <t>Plate</t>
        </is>
      </c>
      <c r="H650" s="6" t="n">
        <v>0.5305</v>
      </c>
      <c r="I650" s="6" t="n">
        <v>1</v>
      </c>
      <c r="J650" s="6" t="n">
        <v>1</v>
      </c>
      <c r="K650" s="6" t="n"/>
      <c r="X650" s="6" t="n">
        <v>1500</v>
      </c>
    </row>
    <row r="651">
      <c r="B651" s="7" t="inlineStr">
        <is>
          <t xml:space="preserve">  ↳ RA2ChronoTele</t>
        </is>
      </c>
      <c r="C651" s="7" t="inlineStr">
        <is>
          <t>Armament@sound</t>
        </is>
      </c>
      <c r="L651" s="6" t="n"/>
      <c r="M651" s="6" t="n">
        <v>180</v>
      </c>
      <c r="N651" s="6" t="n">
        <v>1</v>
      </c>
      <c r="O651" s="6" t="n"/>
      <c r="P651" s="6" t="n">
        <v>5000</v>
      </c>
      <c r="Q651" s="6" t="n">
        <v>1</v>
      </c>
      <c r="R651">
        <f>M651+IF(N651&gt;1,N(O651)*(N651-1),0)</f>
        <v/>
      </c>
      <c r="S651">
        <f>IFERROR(L651*MAX(N651,1)/R651*IF(ISBLANK(K650),1,K650),0)</f>
        <v/>
      </c>
      <c r="AB651" s="7" t="inlineStr"/>
    </row>
    <row r="652">
      <c r="B652" s="7" t="inlineStr">
        <is>
          <t xml:space="preserve">  ↳ ChronoBeam</t>
        </is>
      </c>
      <c r="C652" s="7" t="inlineStr">
        <is>
          <t>Armament@PRIMARY</t>
        </is>
      </c>
      <c r="L652" s="6" t="n"/>
      <c r="M652" s="6" t="n">
        <v>1</v>
      </c>
      <c r="N652" s="6" t="n">
        <v>1</v>
      </c>
      <c r="O652" s="6" t="n"/>
      <c r="P652" s="6" t="n">
        <v>5000</v>
      </c>
      <c r="Q652" s="6" t="n">
        <v>1</v>
      </c>
      <c r="R652">
        <f>M652+IF(N652&gt;1,N(O652)*(N652-1),0)</f>
        <v/>
      </c>
      <c r="S652">
        <f>IFERROR(L652*MAX(N652,1)/R652*IF(ISBLANK(K650),1,K650),0)</f>
        <v/>
      </c>
      <c r="AB652" s="7" t="inlineStr"/>
    </row>
    <row r="653">
      <c r="B653" s="7" t="inlineStr">
        <is>
          <t xml:space="preserve">  ↳ ChronoBeam_elite</t>
        </is>
      </c>
      <c r="C653" s="7" t="inlineStr">
        <is>
          <t>Armament@ELITE</t>
        </is>
      </c>
      <c r="L653" s="6" t="n"/>
      <c r="M653" s="6" t="n">
        <v>1</v>
      </c>
      <c r="N653" s="6" t="n">
        <v>1</v>
      </c>
      <c r="O653" s="6" t="n"/>
      <c r="P653" s="6" t="n">
        <v>5000</v>
      </c>
      <c r="Q653" s="6" t="n">
        <v>1</v>
      </c>
      <c r="R653">
        <f>M653+IF(N653&gt;1,N(O653)*(N653-1),0)</f>
        <v/>
      </c>
      <c r="S653">
        <f>IFERROR(L653*MAX(N653,1)/R653*IF(ISBLANK(K650),1,K650),0)</f>
        <v/>
      </c>
      <c r="AB653" s="7" t="inlineStr">
        <is>
          <t>ChronoBeam</t>
        </is>
      </c>
    </row>
    <row r="654">
      <c r="B654" s="7" t="inlineStr">
        <is>
          <t xml:space="preserve">  ↳ ChronoBeam</t>
        </is>
      </c>
      <c r="C654" s="7" t="inlineStr">
        <is>
          <t>Armament@GARRISONED</t>
        </is>
      </c>
      <c r="L654" s="6" t="n"/>
      <c r="M654" s="6" t="n">
        <v>1</v>
      </c>
      <c r="N654" s="6" t="n">
        <v>1</v>
      </c>
      <c r="O654" s="6" t="n"/>
      <c r="P654" s="6" t="n">
        <v>5000</v>
      </c>
      <c r="Q654" s="6" t="n">
        <v>1</v>
      </c>
      <c r="R654">
        <f>M654+IF(N654&gt;1,N(O654)*(N654-1),0)</f>
        <v/>
      </c>
      <c r="S654">
        <f>IFERROR(L654*MAX(N654,1)/R654*IF(ISBLANK(K650),1,K650),0)</f>
        <v/>
      </c>
      <c r="AB654" s="7" t="inlineStr"/>
    </row>
    <row r="655">
      <c r="B655" s="7" t="inlineStr">
        <is>
          <t xml:space="preserve">  ↳ ChronoBeam_elite</t>
        </is>
      </c>
      <c r="C655" s="7" t="inlineStr">
        <is>
          <t>Armament@GARRISONEDELITE</t>
        </is>
      </c>
      <c r="L655" s="6" t="n"/>
      <c r="M655" s="6" t="n">
        <v>1</v>
      </c>
      <c r="N655" s="6" t="n">
        <v>1</v>
      </c>
      <c r="O655" s="6" t="n"/>
      <c r="P655" s="6" t="n">
        <v>5000</v>
      </c>
      <c r="Q655" s="6" t="n">
        <v>1</v>
      </c>
      <c r="R655">
        <f>M655+IF(N655&gt;1,N(O655)*(N655-1),0)</f>
        <v/>
      </c>
      <c r="S655">
        <f>IFERROR(L655*MAX(N655,1)/R655*IF(ISBLANK(K650),1,K650),0)</f>
        <v/>
      </c>
      <c r="AB655" s="7" t="inlineStr">
        <is>
          <t>ChronoBeam</t>
        </is>
      </c>
    </row>
    <row r="656">
      <c r="A656" t="inlineStr">
        <is>
          <t>redalert2</t>
        </is>
      </c>
      <c r="B656" t="inlineStr">
        <is>
          <t>ra2_soviets_desolator</t>
        </is>
      </c>
      <c r="C656" t="inlineStr">
        <is>
          <t>Desolator</t>
        </is>
      </c>
      <c r="D656" s="6" t="inlineStr">
        <is>
          <t>HeavyInfantry</t>
        </is>
      </c>
      <c r="E656" s="6" t="n">
        <v>30000</v>
      </c>
      <c r="F656" s="6" t="n">
        <v>59</v>
      </c>
      <c r="G656" t="inlineStr">
        <is>
          <t>Plate</t>
        </is>
      </c>
      <c r="H656" s="6" t="n">
        <v>0.75</v>
      </c>
      <c r="I656" s="6" t="n">
        <v>0.8</v>
      </c>
      <c r="J656" s="6" t="n">
        <v>1</v>
      </c>
      <c r="K656" s="6" t="n"/>
      <c r="P656">
        <f>MAX(P657,P658)</f>
        <v/>
      </c>
      <c r="S656">
        <f>S657+S658</f>
        <v/>
      </c>
      <c r="T656">
        <f>(E656/100000+F656/100+(P656/1000)*J656/5+S656/200)*200*I656*H656</f>
        <v/>
      </c>
      <c r="U656">
        <f>((E656*F656/25000)+((P656/1000)*J656*S656/2.5))*I656*H656</f>
        <v/>
      </c>
      <c r="V656">
        <f>(E656*F656*(P656/1000)*J656*S656*I656*H656)/12500000</f>
        <v/>
      </c>
      <c r="W656">
        <f>(T656+U656+V656)/3</f>
        <v/>
      </c>
      <c r="X656" s="6" t="n">
        <v>700</v>
      </c>
      <c r="Y656">
        <f>IFERROR(W656-X656,"")</f>
        <v/>
      </c>
      <c r="Z656">
        <f>IFERROR(ABS(Y656)/MAX(X656,1),"")</f>
        <v/>
      </c>
      <c r="AA656">
        <f>IFERROR((X656-(((E656/100000+F656/100+S656/200)*200*I656*H656)+((E656*F656/25000)*I656*H656))/3)/(((J656/5)*200*I656*H656)+((J656*S656/2.5)*I656*H656)+((E656*F656*J656*S656*I656*H656)/12500000))/3*1000,"")</f>
        <v/>
      </c>
    </row>
    <row r="657">
      <c r="B657" s="7" t="inlineStr">
        <is>
          <t xml:space="preserve">  ↳ RA2RadBeamWeapon</t>
        </is>
      </c>
      <c r="C657" s="7" t="inlineStr">
        <is>
          <t>Armament@PRIMARY</t>
        </is>
      </c>
      <c r="L657" s="6" t="n">
        <v>30000</v>
      </c>
      <c r="M657" s="6" t="n">
        <v>45</v>
      </c>
      <c r="N657" s="6" t="n">
        <v>1</v>
      </c>
      <c r="O657" s="6" t="n"/>
      <c r="P657" s="6" t="n">
        <v>6444</v>
      </c>
      <c r="Q657" s="6" t="n">
        <v>1</v>
      </c>
      <c r="R657">
        <f>M657+IF(N657&gt;1,N(O657)*(N657-1),0)</f>
        <v/>
      </c>
      <c r="S657">
        <f>IFERROR(L657*MAX(N657,1)/R657*IF(ISBLANK(K656),1,K656),0)</f>
        <v/>
      </c>
      <c r="AB657" s="7" t="inlineStr">
        <is>
          <t>^Warhead_Chemical_Medium</t>
        </is>
      </c>
    </row>
    <row r="658">
      <c r="B658" s="7" t="inlineStr">
        <is>
          <t xml:space="preserve">  ↳ RA2RadBeamWeapon_elite</t>
        </is>
      </c>
      <c r="C658" s="7" t="inlineStr">
        <is>
          <t>Armament@ELITE</t>
        </is>
      </c>
      <c r="L658" s="6" t="n">
        <v>30000</v>
      </c>
      <c r="M658" s="6" t="n">
        <v>45</v>
      </c>
      <c r="N658" s="6" t="n">
        <v>2</v>
      </c>
      <c r="O658" s="6" t="n">
        <v>3</v>
      </c>
      <c r="P658" s="6" t="n">
        <v>7444</v>
      </c>
      <c r="Q658" s="6" t="n">
        <v>1</v>
      </c>
      <c r="R658">
        <f>M658+IF(N658&gt;1,N(O658)*(N658-1),0)</f>
        <v/>
      </c>
      <c r="S658">
        <f>IFERROR(L658*MAX(N658,1)/R658*IF(ISBLANK(K656),1,K656),0)</f>
        <v/>
      </c>
      <c r="AB658" s="7" t="inlineStr">
        <is>
          <t>^Warhead_Chemical_Medium</t>
        </is>
      </c>
    </row>
    <row r="659">
      <c r="B659" s="7" t="inlineStr">
        <is>
          <t xml:space="preserve">  ↳ RA2RadBeamWeapon</t>
        </is>
      </c>
      <c r="C659" s="7" t="inlineStr">
        <is>
          <t>Armament@GARRISONED</t>
        </is>
      </c>
      <c r="L659" s="6" t="n">
        <v>30000</v>
      </c>
      <c r="M659" s="6" t="n">
        <v>45</v>
      </c>
      <c r="N659" s="6" t="n">
        <v>1</v>
      </c>
      <c r="O659" s="6" t="n"/>
      <c r="P659" s="6" t="n">
        <v>6444</v>
      </c>
      <c r="Q659" s="6" t="n">
        <v>1</v>
      </c>
      <c r="R659">
        <f>M659+IF(N659&gt;1,N(O659)*(N659-1),0)</f>
        <v/>
      </c>
      <c r="S659">
        <f>IFERROR(L659*MAX(N659,1)/R659*IF(ISBLANK(K656),1,K656),0)</f>
        <v/>
      </c>
      <c r="AB659" s="7" t="inlineStr">
        <is>
          <t>^Warhead_Chemical_Medium</t>
        </is>
      </c>
    </row>
    <row r="660">
      <c r="A660" t="inlineStr">
        <is>
          <t>redalert2</t>
        </is>
      </c>
      <c r="B660" t="inlineStr">
        <is>
          <t>ra2_soviets_teslatrooper</t>
        </is>
      </c>
      <c r="C660" t="inlineStr">
        <is>
          <t>Tesla Trooper</t>
        </is>
      </c>
      <c r="D660" s="6" t="inlineStr">
        <is>
          <t>HeavyInfantry</t>
        </is>
      </c>
      <c r="E660" s="6" t="n">
        <v>48000</v>
      </c>
      <c r="F660" s="6" t="n">
        <v>38</v>
      </c>
      <c r="G660" t="inlineStr">
        <is>
          <t>Plate</t>
        </is>
      </c>
      <c r="H660" s="6" t="n">
        <v>1</v>
      </c>
      <c r="I660" s="6" t="n">
        <v>0.8</v>
      </c>
      <c r="J660" s="6" t="n">
        <v>1.25</v>
      </c>
      <c r="K660" s="6" t="n"/>
      <c r="P660">
        <f>MAX(P661,P662,P663,P664)</f>
        <v/>
      </c>
      <c r="S660">
        <f>S661+S662+S663+S664</f>
        <v/>
      </c>
      <c r="T660">
        <f>(E660/100000+F660/100+(P660/1000)*J660/5+S660/200)*200*I660*H660</f>
        <v/>
      </c>
      <c r="U660">
        <f>((E660*F660/25000)+((P660/1000)*J660*S660/2.5))*I660*H660</f>
        <v/>
      </c>
      <c r="V660">
        <f>(E660*F660*(P660/1000)*J660*S660*I660*H660)/12500000</f>
        <v/>
      </c>
      <c r="W660">
        <f>(T660+U660+V660)/3</f>
        <v/>
      </c>
      <c r="X660" s="6" t="n">
        <v>500</v>
      </c>
      <c r="Y660">
        <f>IFERROR(W660-X660,"")</f>
        <v/>
      </c>
      <c r="Z660">
        <f>IFERROR(ABS(Y660)/MAX(X660,1),"")</f>
        <v/>
      </c>
      <c r="AA660">
        <f>IFERROR((X660-(((E660/100000+F660/100+S660/200)*200*I660*H660)+((E660*F660/25000)*I660*H660))/3)/(((J660/5)*200*I660*H660)+((J660*S660/2.5)*I660*H660)+((E660*F660*J660*S660*I660*H660)/12500000))/3*1000,"")</f>
        <v/>
      </c>
    </row>
    <row r="661">
      <c r="B661" s="7" t="inlineStr">
        <is>
          <t xml:space="preserve">  ↳ RA2PortaTesla</t>
        </is>
      </c>
      <c r="C661" s="7" t="inlineStr">
        <is>
          <t>Armament@PRIMARY</t>
        </is>
      </c>
      <c r="L661" s="6" t="n">
        <v>24000</v>
      </c>
      <c r="M661" s="6" t="n">
        <v>100</v>
      </c>
      <c r="N661" s="6" t="n">
        <v>1</v>
      </c>
      <c r="O661" s="6" t="n"/>
      <c r="P661" s="6" t="n">
        <v>5222</v>
      </c>
      <c r="Q661" s="6" t="n">
        <v>1.25</v>
      </c>
      <c r="R661">
        <f>M661+IF(N661&gt;1,N(O661)*(N661-1),0)</f>
        <v/>
      </c>
      <c r="S661">
        <f>IFERROR(L661*MAX(N661,1)/R661*IF(ISBLANK(K660),1,K660),0)</f>
        <v/>
      </c>
      <c r="AB661" s="7" t="inlineStr">
        <is>
          <t>^Warhead_Tesla_Heavy</t>
        </is>
      </c>
    </row>
    <row r="662">
      <c r="B662" s="7" t="inlineStr">
        <is>
          <t xml:space="preserve">  ↳ RA2PortaTesla2</t>
        </is>
      </c>
      <c r="C662" s="7" t="inlineStr">
        <is>
          <t>Armament@PRIMARY2</t>
        </is>
      </c>
      <c r="L662" s="6" t="n">
        <v>24000</v>
      </c>
      <c r="M662" s="6" t="n">
        <v>100</v>
      </c>
      <c r="N662" s="6" t="n">
        <v>1</v>
      </c>
      <c r="O662" s="6" t="n"/>
      <c r="P662" s="6" t="n">
        <v>5777</v>
      </c>
      <c r="Q662" s="6" t="n">
        <v>1.25</v>
      </c>
      <c r="R662">
        <f>M662+IF(N662&gt;1,N(O662)*(N662-1),0)</f>
        <v/>
      </c>
      <c r="S662">
        <f>IFERROR(L662*MAX(N662,1)/R662*IF(ISBLANK(K660),1,K660),0)</f>
        <v/>
      </c>
      <c r="AB662" s="7" t="inlineStr">
        <is>
          <t>^Warhead_Tesla_Heavy</t>
        </is>
      </c>
    </row>
    <row r="663">
      <c r="B663" s="7" t="inlineStr">
        <is>
          <t xml:space="preserve">  ↳ RA2PortaTesla3</t>
        </is>
      </c>
      <c r="C663" s="7" t="inlineStr">
        <is>
          <t>Armament@PRIMARY3</t>
        </is>
      </c>
      <c r="L663" s="6" t="n">
        <v>24000</v>
      </c>
      <c r="M663" s="6" t="n">
        <v>100</v>
      </c>
      <c r="N663" s="6" t="n">
        <v>1</v>
      </c>
      <c r="O663" s="6" t="n"/>
      <c r="P663" s="6" t="n">
        <v>6222</v>
      </c>
      <c r="Q663" s="6" t="n">
        <v>1.25</v>
      </c>
      <c r="R663">
        <f>M663+IF(N663&gt;1,N(O663)*(N663-1),0)</f>
        <v/>
      </c>
      <c r="S663">
        <f>IFERROR(L663*MAX(N663,1)/R663*IF(ISBLANK(K660),1,K660),0)</f>
        <v/>
      </c>
      <c r="AB663" s="7" t="inlineStr">
        <is>
          <t>^Warhead_Tesla_Heavy</t>
        </is>
      </c>
    </row>
    <row r="664">
      <c r="B664" s="7" t="inlineStr">
        <is>
          <t xml:space="preserve">  ↳ RA2TeslaCoilCharge</t>
        </is>
      </c>
      <c r="C664" s="7" t="inlineStr">
        <is>
          <t>Armament@TeslaCoilCharge</t>
        </is>
      </c>
      <c r="L664" s="6" t="n">
        <v>-1</v>
      </c>
      <c r="M664" s="6" t="n">
        <v>25</v>
      </c>
      <c r="N664" s="6" t="n">
        <v>1</v>
      </c>
      <c r="O664" s="6" t="n"/>
      <c r="P664" s="6" t="n">
        <v>3333</v>
      </c>
      <c r="Q664" s="6" t="n">
        <v>1</v>
      </c>
      <c r="R664">
        <f>M664+IF(N664&gt;1,N(O664)*(N664-1),0)</f>
        <v/>
      </c>
      <c r="S664">
        <f>IFERROR(L664*MAX(N664,1)/R664*IF(ISBLANK(K660),1,K660),0)</f>
        <v/>
      </c>
      <c r="AB664" s="7" t="inlineStr"/>
    </row>
    <row r="665">
      <c r="B665" s="7" t="inlineStr">
        <is>
          <t xml:space="preserve">  ↳ RA2PortaTesla</t>
        </is>
      </c>
      <c r="C665" s="7" t="inlineStr">
        <is>
          <t>Armament@GARRISONED</t>
        </is>
      </c>
      <c r="L665" s="6" t="n">
        <v>24000</v>
      </c>
      <c r="M665" s="6" t="n">
        <v>100</v>
      </c>
      <c r="N665" s="6" t="n">
        <v>1</v>
      </c>
      <c r="O665" s="6" t="n"/>
      <c r="P665" s="6" t="n">
        <v>5222</v>
      </c>
      <c r="Q665" s="6" t="n">
        <v>1.25</v>
      </c>
      <c r="R665">
        <f>M665+IF(N665&gt;1,N(O665)*(N665-1),0)</f>
        <v/>
      </c>
      <c r="S665">
        <f>IFERROR(L665*MAX(N665,1)/R665*IF(ISBLANK(K660),1,K660),0)</f>
        <v/>
      </c>
      <c r="AB665" s="7" t="inlineStr">
        <is>
          <t>^Warhead_Tesla_Heavy</t>
        </is>
      </c>
    </row>
    <row r="666">
      <c r="B666" s="7" t="inlineStr">
        <is>
          <t xml:space="preserve">  ↳ RA2PortaTesla2</t>
        </is>
      </c>
      <c r="C666" s="7" t="inlineStr">
        <is>
          <t>Armament@GARRISONED2</t>
        </is>
      </c>
      <c r="L666" s="6" t="n">
        <v>24000</v>
      </c>
      <c r="M666" s="6" t="n">
        <v>100</v>
      </c>
      <c r="N666" s="6" t="n">
        <v>1</v>
      </c>
      <c r="O666" s="6" t="n"/>
      <c r="P666" s="6" t="n">
        <v>5777</v>
      </c>
      <c r="Q666" s="6" t="n">
        <v>1.25</v>
      </c>
      <c r="R666">
        <f>M666+IF(N666&gt;1,N(O666)*(N666-1),0)</f>
        <v/>
      </c>
      <c r="S666">
        <f>IFERROR(L666*MAX(N666,1)/R666*IF(ISBLANK(K660),1,K660),0)</f>
        <v/>
      </c>
      <c r="AB666" s="7" t="inlineStr">
        <is>
          <t>^Warhead_Tesla_Heavy</t>
        </is>
      </c>
    </row>
    <row r="667">
      <c r="B667" s="7" t="inlineStr">
        <is>
          <t xml:space="preserve">  ↳ RA2PortaTesla3</t>
        </is>
      </c>
      <c r="C667" s="7" t="inlineStr">
        <is>
          <t>Armament@GARRISONED3</t>
        </is>
      </c>
      <c r="L667" s="6" t="n">
        <v>24000</v>
      </c>
      <c r="M667" s="6" t="n">
        <v>100</v>
      </c>
      <c r="N667" s="6" t="n">
        <v>1</v>
      </c>
      <c r="O667" s="6" t="n"/>
      <c r="P667" s="6" t="n">
        <v>6222</v>
      </c>
      <c r="Q667" s="6" t="n">
        <v>1.25</v>
      </c>
      <c r="R667">
        <f>M667+IF(N667&gt;1,N(O667)*(N667-1),0)</f>
        <v/>
      </c>
      <c r="S667">
        <f>IFERROR(L667*MAX(N667,1)/R667*IF(ISBLANK(K660),1,K660),0)</f>
        <v/>
      </c>
      <c r="AB667" s="7" t="inlineStr">
        <is>
          <t>^Warhead_Tesla_Heavy</t>
        </is>
      </c>
    </row>
    <row r="668">
      <c r="A668" t="inlineStr">
        <is>
          <t>redalert2</t>
        </is>
      </c>
      <c r="B668" t="inlineStr">
        <is>
          <t>yuri_biotrooper</t>
        </is>
      </c>
      <c r="C668" t="inlineStr">
        <is>
          <t>Bio Trooper</t>
        </is>
      </c>
      <c r="D668" s="6" t="inlineStr">
        <is>
          <t>HeavyInfantry</t>
        </is>
      </c>
      <c r="E668" s="6" t="n">
        <v>96000</v>
      </c>
      <c r="F668" s="6" t="n">
        <v>64</v>
      </c>
      <c r="G668" t="inlineStr">
        <is>
          <t>Plate</t>
        </is>
      </c>
      <c r="H668" s="6" t="n">
        <v>0.5</v>
      </c>
      <c r="I668" s="6" t="n">
        <v>0.8</v>
      </c>
      <c r="J668" s="6" t="n">
        <v>1.25</v>
      </c>
      <c r="K668" s="6" t="n"/>
      <c r="P668">
        <f>MAX(P669,P670,P671)</f>
        <v/>
      </c>
      <c r="S668">
        <f>S669+S670+S671</f>
        <v/>
      </c>
      <c r="T668">
        <f>(E668/100000+F668/100+(P668/1000)*J668/5+S668/200)*200*I668*H668</f>
        <v/>
      </c>
      <c r="U668">
        <f>((E668*F668/25000)+((P668/1000)*J668*S668/2.5))*I668*H668</f>
        <v/>
      </c>
      <c r="V668">
        <f>(E668*F668*(P668/1000)*J668*S668*I668*H668)/12500000</f>
        <v/>
      </c>
      <c r="W668">
        <f>(T668+U668+V668)/3</f>
        <v/>
      </c>
      <c r="X668" s="6" t="n">
        <v>400</v>
      </c>
      <c r="Y668">
        <f>IFERROR(W668-X668,"")</f>
        <v/>
      </c>
      <c r="Z668">
        <f>IFERROR(ABS(Y668)/MAX(X668,1),"")</f>
        <v/>
      </c>
      <c r="AA668">
        <f>IFERROR((X668-(((E668/100000+F668/100+S668/200)*200*I668*H668)+((E668*F668/25000)*I668*H668))/3)/(((J668/5)*200*I668*H668)+((J668*S668/2.5)*I668*H668)+((E668*F668*J668*S668*I668*H668)/12500000))/3*1000,"")</f>
        <v/>
      </c>
    </row>
    <row r="669">
      <c r="B669" s="7" t="inlineStr">
        <is>
          <t xml:space="preserve">  ↳ RA2Chemspray</t>
        </is>
      </c>
      <c r="C669" s="7" t="inlineStr">
        <is>
          <t>Armament@PRIMARY</t>
        </is>
      </c>
      <c r="L669" s="6" t="n">
        <v>4000</v>
      </c>
      <c r="M669" s="6" t="n">
        <v>50</v>
      </c>
      <c r="N669" s="6" t="n">
        <v>6</v>
      </c>
      <c r="O669" s="6" t="n">
        <v>4</v>
      </c>
      <c r="P669" s="6" t="n">
        <v>4840</v>
      </c>
      <c r="Q669" s="6" t="n">
        <v>1</v>
      </c>
      <c r="R669">
        <f>M669+IF(N669&gt;1,N(O669)*(N669-1),0)</f>
        <v/>
      </c>
      <c r="S669">
        <f>IFERROR(L669*MAX(N669,1)/R669*IF(ISBLANK(K668),1,K668),0)</f>
        <v/>
      </c>
      <c r="AB669" s="7" t="inlineStr">
        <is>
          <t>^Warhead_Chemical_Medium</t>
        </is>
      </c>
    </row>
    <row r="670">
      <c r="B670" s="7" t="inlineStr">
        <is>
          <t xml:space="preserve">  ↳ RA2Chemspray2</t>
        </is>
      </c>
      <c r="C670" s="7" t="inlineStr">
        <is>
          <t>Armament@Upgrade</t>
        </is>
      </c>
      <c r="L670" s="6" t="n">
        <v>8000</v>
      </c>
      <c r="M670" s="6" t="n">
        <v>50</v>
      </c>
      <c r="N670" s="6" t="n">
        <v>6</v>
      </c>
      <c r="O670" s="6" t="n">
        <v>4</v>
      </c>
      <c r="P670" s="6" t="n">
        <v>4840</v>
      </c>
      <c r="Q670" s="6" t="n">
        <v>1.125</v>
      </c>
      <c r="R670">
        <f>M670+IF(N670&gt;1,N(O670)*(N670-1),0)</f>
        <v/>
      </c>
      <c r="S670">
        <f>IFERROR(L670*MAX(N670,1)/R670*IF(ISBLANK(K668),1,K668),0)</f>
        <v/>
      </c>
      <c r="AB670" s="7" t="inlineStr">
        <is>
          <t>^Warhead_Chemical_Heavy, ^Warhead_Chemical_Medium</t>
        </is>
      </c>
    </row>
    <row r="671">
      <c r="B671" s="7" t="inlineStr">
        <is>
          <t xml:space="preserve">  ↳ RA2Chemspray_elite</t>
        </is>
      </c>
      <c r="C671" s="7" t="inlineStr">
        <is>
          <t>Armament@ELITE</t>
        </is>
      </c>
      <c r="L671" s="6" t="n">
        <v>8000</v>
      </c>
      <c r="M671" s="6" t="n">
        <v>50</v>
      </c>
      <c r="N671" s="6" t="n">
        <v>6</v>
      </c>
      <c r="O671" s="6" t="n">
        <v>4</v>
      </c>
      <c r="P671" s="6" t="n">
        <v>5840</v>
      </c>
      <c r="Q671" s="6" t="n">
        <v>1.125</v>
      </c>
      <c r="R671">
        <f>M671+IF(N671&gt;1,N(O671)*(N671-1),0)</f>
        <v/>
      </c>
      <c r="S671">
        <f>IFERROR(L671*MAX(N671,1)/R671*IF(ISBLANK(K668),1,K668),0)</f>
        <v/>
      </c>
      <c r="AB671" s="7" t="inlineStr">
        <is>
          <t>^Warhead_Chemical_Heavy, ^Warhead_Chemical_Medium</t>
        </is>
      </c>
    </row>
    <row r="672">
      <c r="B672" s="7" t="inlineStr">
        <is>
          <t xml:space="preserve">  ↳ RA2Chemspray</t>
        </is>
      </c>
      <c r="C672" s="7" t="inlineStr">
        <is>
          <t>Armament@GARRISONED</t>
        </is>
      </c>
      <c r="L672" s="6" t="n">
        <v>4000</v>
      </c>
      <c r="M672" s="6" t="n">
        <v>50</v>
      </c>
      <c r="N672" s="6" t="n">
        <v>6</v>
      </c>
      <c r="O672" s="6" t="n">
        <v>4</v>
      </c>
      <c r="P672" s="6" t="n">
        <v>4840</v>
      </c>
      <c r="Q672" s="6" t="n">
        <v>1</v>
      </c>
      <c r="R672">
        <f>M672+IF(N672&gt;1,N(O672)*(N672-1),0)</f>
        <v/>
      </c>
      <c r="S672">
        <f>IFERROR(L672*MAX(N672,1)/R672*IF(ISBLANK(K668),1,K668),0)</f>
        <v/>
      </c>
      <c r="AB672" s="7" t="inlineStr">
        <is>
          <t>^Warhead_Chemical_Medium</t>
        </is>
      </c>
    </row>
    <row r="673">
      <c r="B673" s="7" t="inlineStr">
        <is>
          <t xml:space="preserve">  ↳ RA2Chemspray2</t>
        </is>
      </c>
      <c r="C673" s="7" t="inlineStr">
        <is>
          <t>Armament@GARRISONEDUpgrade</t>
        </is>
      </c>
      <c r="L673" s="6" t="n">
        <v>8000</v>
      </c>
      <c r="M673" s="6" t="n">
        <v>50</v>
      </c>
      <c r="N673" s="6" t="n">
        <v>6</v>
      </c>
      <c r="O673" s="6" t="n">
        <v>4</v>
      </c>
      <c r="P673" s="6" t="n">
        <v>4840</v>
      </c>
      <c r="Q673" s="6" t="n">
        <v>1.125</v>
      </c>
      <c r="R673">
        <f>M673+IF(N673&gt;1,N(O673)*(N673-1),0)</f>
        <v/>
      </c>
      <c r="S673">
        <f>IFERROR(L673*MAX(N673,1)/R673*IF(ISBLANK(K668),1,K668),0)</f>
        <v/>
      </c>
      <c r="AB673" s="7" t="inlineStr">
        <is>
          <t>^Warhead_Chemical_Heavy, ^Warhead_Chemical_Medium</t>
        </is>
      </c>
    </row>
    <row r="674">
      <c r="B674" s="7" t="inlineStr">
        <is>
          <t xml:space="preserve">  ↳ RA2Chemspray_elite</t>
        </is>
      </c>
      <c r="C674" s="7" t="inlineStr">
        <is>
          <t>Armament@GARRISONEDELITE</t>
        </is>
      </c>
      <c r="L674" s="6" t="n">
        <v>8000</v>
      </c>
      <c r="M674" s="6" t="n">
        <v>50</v>
      </c>
      <c r="N674" s="6" t="n">
        <v>6</v>
      </c>
      <c r="O674" s="6" t="n">
        <v>4</v>
      </c>
      <c r="P674" s="6" t="n">
        <v>5840</v>
      </c>
      <c r="Q674" s="6" t="n">
        <v>1.125</v>
      </c>
      <c r="R674">
        <f>M674+IF(N674&gt;1,N(O674)*(N674-1),0)</f>
        <v/>
      </c>
      <c r="S674">
        <f>IFERROR(L674*MAX(N674,1)/R674*IF(ISBLANK(K668),1,K668),0)</f>
        <v/>
      </c>
      <c r="AB674" s="7" t="inlineStr">
        <is>
          <t>^Warhead_Chemical_Heavy, ^Warhead_Chemical_Medium</t>
        </is>
      </c>
    </row>
    <row r="675">
      <c r="A675" t="inlineStr">
        <is>
          <t>redalert2mod</t>
        </is>
      </c>
      <c r="B675" t="inlineStr">
        <is>
          <t>asianalliance_asianflametrooper</t>
        </is>
      </c>
      <c r="C675" t="inlineStr">
        <is>
          <t>Asian Flame Trooper</t>
        </is>
      </c>
      <c r="D675" s="6" t="inlineStr">
        <is>
          <t>HeavyInfantry</t>
        </is>
      </c>
      <c r="E675" s="6" t="n">
        <v>26000</v>
      </c>
      <c r="F675" s="6" t="n">
        <v>53</v>
      </c>
      <c r="G675" t="inlineStr">
        <is>
          <t>Plate</t>
        </is>
      </c>
      <c r="H675" s="6" t="n">
        <v>1</v>
      </c>
      <c r="I675" s="6" t="n">
        <v>0.8</v>
      </c>
      <c r="J675" s="6" t="n">
        <v>1</v>
      </c>
      <c r="K675" s="6" t="n">
        <v>0.005</v>
      </c>
      <c r="P675">
        <f>MAX(P676,P677,P678)</f>
        <v/>
      </c>
      <c r="S675">
        <f>S676+S677+S678</f>
        <v/>
      </c>
      <c r="T675">
        <f>(E675/100000+F675/100+(P675/1000)*J675/5+S675/200)*200*I675*H675</f>
        <v/>
      </c>
      <c r="U675">
        <f>((E675*F675/25000)+((P675/1000)*J675*S675/2.5))*I675*H675</f>
        <v/>
      </c>
      <c r="V675">
        <f>(E675*F675*(P675/1000)*J675*S675*I675*H675)/12500000</f>
        <v/>
      </c>
      <c r="W675">
        <f>(T675+U675+V675)/3</f>
        <v/>
      </c>
      <c r="X675" s="6" t="n">
        <v>400</v>
      </c>
      <c r="Y675">
        <f>IFERROR(W675-X675,"")</f>
        <v/>
      </c>
      <c r="Z675">
        <f>IFERROR(ABS(Y675)/MAX(X675,1),"")</f>
        <v/>
      </c>
      <c r="AA675">
        <f>IFERROR((X675-(((E675/100000+F675/100+S675/200)*200*I675*H675)+((E675*F675/25000)*I675*H675))/3)/(((J675/5)*200*I675*H675)+((J675*S675/2.5)*I675*H675)+((E675*F675*J675*S675*I675*H675)/12500000))/3*1000,"")</f>
        <v/>
      </c>
    </row>
    <row r="676">
      <c r="B676" s="7" t="inlineStr">
        <is>
          <t xml:space="preserve">  ↳ AsianFlamerTroop</t>
        </is>
      </c>
      <c r="C676" s="7" t="inlineStr">
        <is>
          <t>Armament@PRIMARY</t>
        </is>
      </c>
      <c r="L676" s="6" t="n">
        <v>4000</v>
      </c>
      <c r="M676" s="6" t="n">
        <v>38</v>
      </c>
      <c r="N676" s="6" t="n">
        <v>6</v>
      </c>
      <c r="O676" s="6" t="n">
        <v>3</v>
      </c>
      <c r="P676" s="6" t="n">
        <v>4444</v>
      </c>
      <c r="Q676" s="6" t="n">
        <v>0.75</v>
      </c>
      <c r="R676">
        <f>M676+IF(N676&gt;1,N(O676)*(N676-1),0)</f>
        <v/>
      </c>
      <c r="S676">
        <f>IFERROR(L676*MAX(N676,1)/R676*IF(ISBLANK(K675),1,K675),0)</f>
        <v/>
      </c>
      <c r="AB676" s="7" t="inlineStr">
        <is>
          <t>^Warhead_Flame_Light</t>
        </is>
      </c>
    </row>
    <row r="677">
      <c r="B677" s="7" t="inlineStr">
        <is>
          <t xml:space="preserve">  ↳ AsianFlamerTroop2</t>
        </is>
      </c>
      <c r="C677" s="7" t="inlineStr">
        <is>
          <t>Armament@Upgrade</t>
        </is>
      </c>
      <c r="L677" s="6" t="n">
        <v>4000</v>
      </c>
      <c r="M677" s="6" t="n">
        <v>34</v>
      </c>
      <c r="N677" s="6" t="n">
        <v>6</v>
      </c>
      <c r="O677" s="6" t="n">
        <v>3</v>
      </c>
      <c r="P677" s="6" t="n">
        <v>5555</v>
      </c>
      <c r="Q677" s="6" t="n">
        <v>0.75</v>
      </c>
      <c r="R677">
        <f>M677+IF(N677&gt;1,N(O677)*(N677-1),0)</f>
        <v/>
      </c>
      <c r="S677">
        <f>IFERROR(L677*MAX(N677,1)/R677*IF(ISBLANK(K675),1,K675),0)</f>
        <v/>
      </c>
      <c r="AB677" s="7" t="inlineStr">
        <is>
          <t>^Warhead_Flame_Light</t>
        </is>
      </c>
    </row>
    <row r="678">
      <c r="B678" s="7" t="inlineStr">
        <is>
          <t xml:space="preserve">  ↳ AsianFlamerTurret</t>
        </is>
      </c>
      <c r="C678" s="7" t="inlineStr">
        <is>
          <t>Armament@ELITE</t>
        </is>
      </c>
      <c r="L678" s="6" t="n">
        <v>4000</v>
      </c>
      <c r="M678" s="6" t="n">
        <v>30</v>
      </c>
      <c r="N678" s="6" t="n">
        <v>6</v>
      </c>
      <c r="O678" s="6" t="n">
        <v>3</v>
      </c>
      <c r="P678" s="6" t="n">
        <v>6666</v>
      </c>
      <c r="Q678" s="6" t="n">
        <v>0.75</v>
      </c>
      <c r="R678">
        <f>M678+IF(N678&gt;1,N(O678)*(N678-1),0)</f>
        <v/>
      </c>
      <c r="S678">
        <f>IFERROR(L678*MAX(N678,1)/R678*IF(ISBLANK(K675),1,K675),0)</f>
        <v/>
      </c>
      <c r="AB678" s="7" t="inlineStr">
        <is>
          <t>^Warhead_Flame_Light</t>
        </is>
      </c>
    </row>
    <row r="679">
      <c r="B679" s="7" t="inlineStr">
        <is>
          <t xml:space="preserve">  ↳ AsianFlamerTroop</t>
        </is>
      </c>
      <c r="C679" s="7" t="inlineStr">
        <is>
          <t>Armament@GARRISONED</t>
        </is>
      </c>
      <c r="L679" s="6" t="n">
        <v>4000</v>
      </c>
      <c r="M679" s="6" t="n">
        <v>38</v>
      </c>
      <c r="N679" s="6" t="n">
        <v>6</v>
      </c>
      <c r="O679" s="6" t="n">
        <v>3</v>
      </c>
      <c r="P679" s="6" t="n">
        <v>4444</v>
      </c>
      <c r="Q679" s="6" t="n">
        <v>0.75</v>
      </c>
      <c r="R679">
        <f>M679+IF(N679&gt;1,N(O679)*(N679-1),0)</f>
        <v/>
      </c>
      <c r="S679">
        <f>IFERROR(L679*MAX(N679,1)/R679*IF(ISBLANK(K675),1,K675),0)</f>
        <v/>
      </c>
      <c r="AB679" s="7" t="inlineStr">
        <is>
          <t>^Warhead_Flame_Light</t>
        </is>
      </c>
    </row>
    <row r="680">
      <c r="B680" s="7" t="inlineStr">
        <is>
          <t xml:space="preserve">  ↳ AsianFlamerTroop2</t>
        </is>
      </c>
      <c r="C680" s="7" t="inlineStr">
        <is>
          <t>Armament@GARRISONEDUpgrade</t>
        </is>
      </c>
      <c r="L680" s="6" t="n">
        <v>4000</v>
      </c>
      <c r="M680" s="6" t="n">
        <v>34</v>
      </c>
      <c r="N680" s="6" t="n">
        <v>6</v>
      </c>
      <c r="O680" s="6" t="n">
        <v>3</v>
      </c>
      <c r="P680" s="6" t="n">
        <v>5555</v>
      </c>
      <c r="Q680" s="6" t="n">
        <v>0.75</v>
      </c>
      <c r="R680">
        <f>M680+IF(N680&gt;1,N(O680)*(N680-1),0)</f>
        <v/>
      </c>
      <c r="S680">
        <f>IFERROR(L680*MAX(N680,1)/R680*IF(ISBLANK(K675),1,K675),0)</f>
        <v/>
      </c>
      <c r="AB680" s="7" t="inlineStr">
        <is>
          <t>^Warhead_Flame_Light</t>
        </is>
      </c>
    </row>
    <row r="681">
      <c r="B681" s="7" t="inlineStr">
        <is>
          <t xml:space="preserve">  ↳ AsianFlamerTurret</t>
        </is>
      </c>
      <c r="C681" s="7" t="inlineStr">
        <is>
          <t>Armament@GARRISONEDE</t>
        </is>
      </c>
      <c r="L681" s="6" t="n">
        <v>4000</v>
      </c>
      <c r="M681" s="6" t="n">
        <v>30</v>
      </c>
      <c r="N681" s="6" t="n">
        <v>6</v>
      </c>
      <c r="O681" s="6" t="n">
        <v>3</v>
      </c>
      <c r="P681" s="6" t="n">
        <v>6666</v>
      </c>
      <c r="Q681" s="6" t="n">
        <v>0.75</v>
      </c>
      <c r="R681">
        <f>M681+IF(N681&gt;1,N(O681)*(N681-1),0)</f>
        <v/>
      </c>
      <c r="S681">
        <f>IFERROR(L681*MAX(N681,1)/R681*IF(ISBLANK(K675),1,K675),0)</f>
        <v/>
      </c>
      <c r="AB681" s="7" t="inlineStr">
        <is>
          <t>^Warhead_Flame_Light</t>
        </is>
      </c>
    </row>
    <row r="682">
      <c r="A682" t="inlineStr">
        <is>
          <t>redalert2mod</t>
        </is>
      </c>
      <c r="B682" t="inlineStr">
        <is>
          <t>asianalliance_plasmatrooper</t>
        </is>
      </c>
      <c r="C682" t="inlineStr">
        <is>
          <t>Plasma Trooper</t>
        </is>
      </c>
      <c r="D682" s="6" t="inlineStr">
        <is>
          <t>HeavyInfantry</t>
        </is>
      </c>
      <c r="E682" s="6" t="n">
        <v>64000</v>
      </c>
      <c r="F682" s="6" t="n">
        <v>42</v>
      </c>
      <c r="G682" t="inlineStr">
        <is>
          <t>Plate</t>
        </is>
      </c>
      <c r="H682" s="6" t="n">
        <v>0.75</v>
      </c>
      <c r="I682" s="6" t="n">
        <v>0.8</v>
      </c>
      <c r="J682" s="6" t="n">
        <v>1</v>
      </c>
      <c r="K682" s="6" t="n"/>
      <c r="P682">
        <f>MAX(P683,P684)</f>
        <v/>
      </c>
      <c r="S682">
        <f>S683+S684</f>
        <v/>
      </c>
      <c r="T682">
        <f>(E682/100000+F682/100+(P682/1000)*J682/5+S682/200)*200*I682*H682</f>
        <v/>
      </c>
      <c r="U682">
        <f>((E682*F682/25000)+((P682/1000)*J682*S682/2.5))*I682*H682</f>
        <v/>
      </c>
      <c r="V682">
        <f>(E682*F682*(P682/1000)*J682*S682*I682*H682)/12500000</f>
        <v/>
      </c>
      <c r="W682">
        <f>(T682+U682+V682)/3</f>
        <v/>
      </c>
      <c r="X682" s="6" t="n">
        <v>500</v>
      </c>
      <c r="Y682">
        <f>IFERROR(W682-X682,"")</f>
        <v/>
      </c>
      <c r="Z682">
        <f>IFERROR(ABS(Y682)/MAX(X682,1),"")</f>
        <v/>
      </c>
      <c r="AA682">
        <f>IFERROR((X682-(((E682/100000+F682/100+S682/200)*200*I682*H682)+((E682*F682/25000)*I682*H682))/3)/(((J682/5)*200*I682*H682)+((J682*S682/2.5)*I682*H682)+((E682*F682*J682*S682*I682*H682)/12500000))/3*1000,"")</f>
        <v/>
      </c>
    </row>
    <row r="683">
      <c r="B683" s="7" t="inlineStr">
        <is>
          <t xml:space="preserve">  ↳ AsianSinglePlasma</t>
        </is>
      </c>
      <c r="C683" s="7" t="inlineStr">
        <is>
          <t>Armament@PRIMARY</t>
        </is>
      </c>
      <c r="L683" s="6" t="n">
        <v>16000</v>
      </c>
      <c r="M683" s="6" t="n">
        <v>34</v>
      </c>
      <c r="N683" s="6" t="n">
        <v>1</v>
      </c>
      <c r="O683" s="6" t="n"/>
      <c r="P683" s="6" t="n">
        <v>5190</v>
      </c>
      <c r="Q683" s="6" t="n">
        <v>1.125</v>
      </c>
      <c r="R683">
        <f>M683+IF(N683&gt;1,N(O683)*(N683-1),0)</f>
        <v/>
      </c>
      <c r="S683">
        <f>IFERROR(L683*MAX(N683,1)/R683*IF(ISBLANK(K682),1,K682),0)</f>
        <v/>
      </c>
      <c r="AB683" s="7" t="inlineStr">
        <is>
          <t>^Warhead_CannonHE_Medium, ^Warhead_CannonHE_Heavy</t>
        </is>
      </c>
    </row>
    <row r="684">
      <c r="B684" s="7" t="inlineStr">
        <is>
          <t xml:space="preserve">  ↳ AsianSinglePlasma_elite</t>
        </is>
      </c>
      <c r="C684" s="7" t="inlineStr">
        <is>
          <t>Armament@ELITE</t>
        </is>
      </c>
      <c r="L684" s="6" t="n">
        <v>16000</v>
      </c>
      <c r="M684" s="6" t="n">
        <v>34</v>
      </c>
      <c r="N684" s="6" t="n">
        <v>2</v>
      </c>
      <c r="O684" s="6" t="n">
        <v>3</v>
      </c>
      <c r="P684" s="6" t="n">
        <v>5836</v>
      </c>
      <c r="Q684" s="6" t="n">
        <v>1.125</v>
      </c>
      <c r="R684">
        <f>M684+IF(N684&gt;1,N(O684)*(N684-1),0)</f>
        <v/>
      </c>
      <c r="S684">
        <f>IFERROR(L684*MAX(N684,1)/R684*IF(ISBLANK(K682),1,K682),0)</f>
        <v/>
      </c>
      <c r="AB684" s="7" t="inlineStr">
        <is>
          <t>^Warhead_CannonHE_Medium, ^Warhead_CannonHE_Heavy</t>
        </is>
      </c>
    </row>
    <row r="685">
      <c r="B685" s="7" t="inlineStr">
        <is>
          <t xml:space="preserve">  ↳ AsianSinglePlasma</t>
        </is>
      </c>
      <c r="C685" s="7" t="inlineStr">
        <is>
          <t>Armament@GARRISONED</t>
        </is>
      </c>
      <c r="L685" s="6" t="n">
        <v>16000</v>
      </c>
      <c r="M685" s="6" t="n">
        <v>34</v>
      </c>
      <c r="N685" s="6" t="n">
        <v>1</v>
      </c>
      <c r="O685" s="6" t="n"/>
      <c r="P685" s="6" t="n">
        <v>5190</v>
      </c>
      <c r="Q685" s="6" t="n">
        <v>1.125</v>
      </c>
      <c r="R685">
        <f>M685+IF(N685&gt;1,N(O685)*(N685-1),0)</f>
        <v/>
      </c>
      <c r="S685">
        <f>IFERROR(L685*MAX(N685,1)/R685*IF(ISBLANK(K682),1,K682),0)</f>
        <v/>
      </c>
      <c r="AB685" s="7" t="inlineStr">
        <is>
          <t>^Warhead_CannonHE_Medium, ^Warhead_CannonHE_Heavy</t>
        </is>
      </c>
    </row>
    <row r="686">
      <c r="B686" s="7" t="inlineStr">
        <is>
          <t xml:space="preserve">  ↳ AsianSinglePlasma_elite</t>
        </is>
      </c>
      <c r="C686" s="7" t="inlineStr">
        <is>
          <t>Armament@GARRISONEDELITE</t>
        </is>
      </c>
      <c r="L686" s="6" t="n">
        <v>16000</v>
      </c>
      <c r="M686" s="6" t="n">
        <v>34</v>
      </c>
      <c r="N686" s="6" t="n">
        <v>2</v>
      </c>
      <c r="O686" s="6" t="n">
        <v>3</v>
      </c>
      <c r="P686" s="6" t="n">
        <v>5836</v>
      </c>
      <c r="Q686" s="6" t="n">
        <v>1.125</v>
      </c>
      <c r="R686">
        <f>M686+IF(N686&gt;1,N(O686)*(N686-1),0)</f>
        <v/>
      </c>
      <c r="S686">
        <f>IFERROR(L686*MAX(N686,1)/R686*IF(ISBLANK(K682),1,K682),0)</f>
        <v/>
      </c>
      <c r="AB686" s="7" t="inlineStr">
        <is>
          <t>^Warhead_CannonHE_Medium, ^Warhead_CannonHE_Heavy</t>
        </is>
      </c>
    </row>
    <row r="687">
      <c r="A687" t="inlineStr">
        <is>
          <t>redalert2mod</t>
        </is>
      </c>
      <c r="B687" t="inlineStr">
        <is>
          <t>steelconsortium_quantummissiletrooper</t>
        </is>
      </c>
      <c r="C687" t="inlineStr">
        <is>
          <t>Quantum Missile Trooper</t>
        </is>
      </c>
      <c r="D687" s="6" t="inlineStr">
        <is>
          <t>HeavyInfantry</t>
        </is>
      </c>
      <c r="E687" s="6" t="n">
        <v>64000</v>
      </c>
      <c r="F687" s="6" t="n">
        <v>48</v>
      </c>
      <c r="G687" t="inlineStr">
        <is>
          <t>Plate</t>
        </is>
      </c>
      <c r="H687" s="6" t="n">
        <v>0.75</v>
      </c>
      <c r="I687" s="6" t="n">
        <v>0.8</v>
      </c>
      <c r="J687" s="6" t="n">
        <v>1.25</v>
      </c>
      <c r="K687" s="6" t="n"/>
      <c r="P687">
        <f>MAX(P688,P689,P690,P691,P693,P694,P695,P696)</f>
        <v/>
      </c>
      <c r="S687">
        <f>S688+S689+S690+S691+S693+S694+S695+S696</f>
        <v/>
      </c>
      <c r="T687">
        <f>(E687/100000+F687/100+(P687/1000)*J687/5+S687/200)*200*I687*H687</f>
        <v/>
      </c>
      <c r="U687">
        <f>((E687*F687/25000)+((P687/1000)*J687*S687/2.5))*I687*H687</f>
        <v/>
      </c>
      <c r="V687">
        <f>(E687*F687*(P687/1000)*J687*S687*I687*H687)/12500000</f>
        <v/>
      </c>
      <c r="W687">
        <f>(T687+U687+V687)/3</f>
        <v/>
      </c>
      <c r="X687" s="6" t="n">
        <v>1150</v>
      </c>
      <c r="Y687">
        <f>IFERROR(W687-X687,"")</f>
        <v/>
      </c>
      <c r="Z687">
        <f>IFERROR(ABS(Y687)/MAX(X687,1),"")</f>
        <v/>
      </c>
      <c r="AA687">
        <f>IFERROR((X687-(((E687/100000+F687/100+S687/200)*200*I687*H687)+((E687*F687/25000)*I687*H687))/3)/(((J687/5)*200*I687*H687)+((J687*S687/2.5)*I687*H687)+((E687*F687*J687*S687*I687*H687)/12500000))/3*1000,"")</f>
        <v/>
      </c>
    </row>
    <row r="688">
      <c r="B688" s="7" t="inlineStr">
        <is>
          <t xml:space="preserve">  ↳ SteelInfRailgun</t>
        </is>
      </c>
      <c r="C688" s="7" t="inlineStr">
        <is>
          <t>Armament@PRIMARY</t>
        </is>
      </c>
      <c r="L688" s="6" t="n">
        <v>16000</v>
      </c>
      <c r="M688" s="6" t="n">
        <v>48</v>
      </c>
      <c r="N688" s="6" t="n">
        <v>2</v>
      </c>
      <c r="O688" s="6" t="n">
        <v>0</v>
      </c>
      <c r="P688" s="6" t="n">
        <v>8000</v>
      </c>
      <c r="Q688" s="6" t="n">
        <v>1</v>
      </c>
      <c r="R688">
        <f>M688+IF(N688&gt;1,N(O688)*(N688-1),0)</f>
        <v/>
      </c>
      <c r="S688">
        <f>IFERROR(L688*MAX(N688,1)/R688*IF(ISBLANK(K687),1,K687),0)</f>
        <v/>
      </c>
      <c r="AB688" s="7" t="inlineStr">
        <is>
          <t>^Warhead_Railgun_Heavy, ^Warhead_Flak_Medium, ^Warhead_Bullet_Medium, ^Warhead_MissileAP_Light</t>
        </is>
      </c>
    </row>
    <row r="689">
      <c r="B689" s="7" t="inlineStr">
        <is>
          <t xml:space="preserve">  ↳ SteelInfRailgun_elite</t>
        </is>
      </c>
      <c r="C689" s="7" t="inlineStr">
        <is>
          <t>Armament@PRIMARYELITE</t>
        </is>
      </c>
      <c r="L689" s="6" t="n">
        <v>16000</v>
      </c>
      <c r="M689" s="6" t="n">
        <v>48</v>
      </c>
      <c r="N689" s="6" t="n">
        <v>4</v>
      </c>
      <c r="O689" s="6" t="n">
        <v>0</v>
      </c>
      <c r="P689" s="6" t="n">
        <v>9000</v>
      </c>
      <c r="Q689" s="6" t="n">
        <v>1</v>
      </c>
      <c r="R689">
        <f>M689+IF(N689&gt;1,N(O689)*(N689-1),0)</f>
        <v/>
      </c>
      <c r="S689">
        <f>IFERROR(L689*MAX(N689,1)/R689*IF(ISBLANK(K687),1,K687),0)</f>
        <v/>
      </c>
      <c r="AB689" s="7" t="inlineStr">
        <is>
          <t>^Warhead_Railgun_Heavy, ^Warhead_Flak_Medium, ^Warhead_Bullet_Medium, ^Warhead_MissileAP_Light</t>
        </is>
      </c>
    </row>
    <row r="690">
      <c r="B690" s="7" t="inlineStr">
        <is>
          <t xml:space="preserve">  ↳ SteelInfRailgun_EMP</t>
        </is>
      </c>
      <c r="C690" s="7" t="inlineStr">
        <is>
          <t>Armament@UpgradePRIMARY</t>
        </is>
      </c>
      <c r="L690" s="6" t="n">
        <v>20000</v>
      </c>
      <c r="M690" s="6" t="n">
        <v>50</v>
      </c>
      <c r="N690" s="6" t="n">
        <v>2</v>
      </c>
      <c r="O690" s="6" t="n">
        <v>0</v>
      </c>
      <c r="P690" s="6" t="n">
        <v>8000</v>
      </c>
      <c r="Q690" s="6" t="n">
        <v>1</v>
      </c>
      <c r="R690">
        <f>M690+IF(N690&gt;1,N(O690)*(N690-1),0)</f>
        <v/>
      </c>
      <c r="S690">
        <f>IFERROR(L690*MAX(N690,1)/R690*IF(ISBLANK(K687),1,K687),0)</f>
        <v/>
      </c>
      <c r="AB690" s="7" t="inlineStr">
        <is>
          <t>^Warhead_Railgun_Heavy, ^Warhead_Flak_Medium, ^Warhead_Bullet_Medium, ^Warhead_MissileAP_Light</t>
        </is>
      </c>
    </row>
    <row r="691">
      <c r="B691" s="7" t="inlineStr">
        <is>
          <t xml:space="preserve">  ↳ SteelInfRailgun_EMP_elite</t>
        </is>
      </c>
      <c r="C691" s="7" t="inlineStr">
        <is>
          <t>Armament@UpgradePRIMARYELITE</t>
        </is>
      </c>
      <c r="L691" s="6" t="n">
        <v>20000</v>
      </c>
      <c r="M691" s="6" t="n">
        <v>50</v>
      </c>
      <c r="N691" s="6" t="n">
        <v>4</v>
      </c>
      <c r="O691" s="6" t="n">
        <v>0</v>
      </c>
      <c r="P691" s="6" t="n">
        <v>9000</v>
      </c>
      <c r="Q691" s="6" t="n">
        <v>1</v>
      </c>
      <c r="R691">
        <f>M691+IF(N691&gt;1,N(O691)*(N691-1),0)</f>
        <v/>
      </c>
      <c r="S691">
        <f>IFERROR(L691*MAX(N691,1)/R691*IF(ISBLANK(K687),1,K687),0)</f>
        <v/>
      </c>
      <c r="AB691" s="7" t="inlineStr">
        <is>
          <t>^Warhead_Railgun_Heavy, ^Warhead_Flak_Medium, ^Warhead_Bullet_Medium, ^Warhead_MissileAP_Light</t>
        </is>
      </c>
    </row>
    <row r="692">
      <c r="B692" s="7" t="inlineStr">
        <is>
          <t xml:space="preserve">  ↳ aadeploytargeting_8c0_AA</t>
        </is>
      </c>
      <c r="C692" s="7" t="inlineStr">
        <is>
          <t>Armament@BOTAA</t>
        </is>
      </c>
      <c r="L692" s="6" t="n"/>
      <c r="M692" s="6" t="n">
        <v>50</v>
      </c>
      <c r="N692" s="6" t="n">
        <v>1</v>
      </c>
      <c r="O692" s="6" t="n"/>
      <c r="P692" s="6" t="n">
        <v>8000</v>
      </c>
      <c r="Q692" s="6" t="n">
        <v>1</v>
      </c>
      <c r="R692">
        <f>M692+IF(N692&gt;1,N(O692)*(N692-1),0)</f>
        <v/>
      </c>
      <c r="S692">
        <f>IFERROR(L692*MAX(N692,1)/R692*IF(ISBLANK(K687),1,K687),0)</f>
        <v/>
      </c>
      <c r="AB692" s="7" t="inlineStr">
        <is>
          <t>^AADeployTargeting</t>
        </is>
      </c>
    </row>
    <row r="693">
      <c r="B693" s="7" t="inlineStr">
        <is>
          <t xml:space="preserve">  ↳ SteelInfRailgun</t>
        </is>
      </c>
      <c r="C693" s="7" t="inlineStr">
        <is>
          <t>Armament@DEPLOYED</t>
        </is>
      </c>
      <c r="L693" s="6" t="n">
        <v>16000</v>
      </c>
      <c r="M693" s="6" t="n">
        <v>48</v>
      </c>
      <c r="N693" s="6" t="n">
        <v>2</v>
      </c>
      <c r="O693" s="6" t="n">
        <v>0</v>
      </c>
      <c r="P693" s="6" t="n">
        <v>8000</v>
      </c>
      <c r="Q693" s="6" t="n">
        <v>1</v>
      </c>
      <c r="R693">
        <f>M693+IF(N693&gt;1,N(O693)*(N693-1),0)</f>
        <v/>
      </c>
      <c r="S693">
        <f>IFERROR(L693*MAX(N693,1)/R693*IF(ISBLANK(K687),1,K687),0)</f>
        <v/>
      </c>
      <c r="AB693" s="7" t="inlineStr">
        <is>
          <t>^Warhead_Railgun_Heavy, ^Warhead_Flak_Medium, ^Warhead_Bullet_Medium, ^Warhead_MissileAP_Light</t>
        </is>
      </c>
    </row>
    <row r="694">
      <c r="B694" s="7" t="inlineStr">
        <is>
          <t xml:space="preserve">  ↳ SteelInfRailgun_elite</t>
        </is>
      </c>
      <c r="C694" s="7" t="inlineStr">
        <is>
          <t>Armament@DEPLOYEDELITE</t>
        </is>
      </c>
      <c r="L694" s="6" t="n">
        <v>16000</v>
      </c>
      <c r="M694" s="6" t="n">
        <v>48</v>
      </c>
      <c r="N694" s="6" t="n">
        <v>4</v>
      </c>
      <c r="O694" s="6" t="n">
        <v>0</v>
      </c>
      <c r="P694" s="6" t="n">
        <v>9000</v>
      </c>
      <c r="Q694" s="6" t="n">
        <v>1</v>
      </c>
      <c r="R694">
        <f>M694+IF(N694&gt;1,N(O694)*(N694-1),0)</f>
        <v/>
      </c>
      <c r="S694">
        <f>IFERROR(L694*MAX(N694,1)/R694*IF(ISBLANK(K687),1,K687),0)</f>
        <v/>
      </c>
      <c r="AB694" s="7" t="inlineStr">
        <is>
          <t>^Warhead_Railgun_Heavy, ^Warhead_Flak_Medium, ^Warhead_Bullet_Medium, ^Warhead_MissileAP_Light</t>
        </is>
      </c>
    </row>
    <row r="695">
      <c r="B695" s="7" t="inlineStr">
        <is>
          <t xml:space="preserve">  ↳ SteelInfRailgun_EMP</t>
        </is>
      </c>
      <c r="C695" s="7" t="inlineStr">
        <is>
          <t>Armament@UpgradeDEPLOYED</t>
        </is>
      </c>
      <c r="L695" s="6" t="n">
        <v>20000</v>
      </c>
      <c r="M695" s="6" t="n">
        <v>50</v>
      </c>
      <c r="N695" s="6" t="n">
        <v>2</v>
      </c>
      <c r="O695" s="6" t="n">
        <v>0</v>
      </c>
      <c r="P695" s="6" t="n">
        <v>8000</v>
      </c>
      <c r="Q695" s="6" t="n">
        <v>1</v>
      </c>
      <c r="R695">
        <f>M695+IF(N695&gt;1,N(O695)*(N695-1),0)</f>
        <v/>
      </c>
      <c r="S695">
        <f>IFERROR(L695*MAX(N695,1)/R695*IF(ISBLANK(K687),1,K687),0)</f>
        <v/>
      </c>
      <c r="AB695" s="7" t="inlineStr">
        <is>
          <t>^Warhead_Railgun_Heavy, ^Warhead_Flak_Medium, ^Warhead_Bullet_Medium, ^Warhead_MissileAP_Light</t>
        </is>
      </c>
    </row>
    <row r="696">
      <c r="B696" s="7" t="inlineStr">
        <is>
          <t xml:space="preserve">  ↳ SteelInfRailgun_EMP_elite</t>
        </is>
      </c>
      <c r="C696" s="7" t="inlineStr">
        <is>
          <t>Armament@UpgradeDEPLOYEDELITE</t>
        </is>
      </c>
      <c r="L696" s="6" t="n">
        <v>20000</v>
      </c>
      <c r="M696" s="6" t="n">
        <v>50</v>
      </c>
      <c r="N696" s="6" t="n">
        <v>4</v>
      </c>
      <c r="O696" s="6" t="n">
        <v>0</v>
      </c>
      <c r="P696" s="6" t="n">
        <v>9000</v>
      </c>
      <c r="Q696" s="6" t="n">
        <v>1</v>
      </c>
      <c r="R696">
        <f>M696+IF(N696&gt;1,N(O696)*(N696-1),0)</f>
        <v/>
      </c>
      <c r="S696">
        <f>IFERROR(L696*MAX(N696,1)/R696*IF(ISBLANK(K687),1,K687),0)</f>
        <v/>
      </c>
      <c r="AB696" s="7" t="inlineStr">
        <is>
          <t>^Warhead_Railgun_Heavy, ^Warhead_Flak_Medium, ^Warhead_Bullet_Medium, ^Warhead_MissileAP_Light</t>
        </is>
      </c>
    </row>
    <row r="697">
      <c r="B697" s="7" t="inlineStr">
        <is>
          <t xml:space="preserve">  ↳ SteelInfRailgun</t>
        </is>
      </c>
      <c r="C697" s="7" t="inlineStr">
        <is>
          <t>Armament@GARRISONED</t>
        </is>
      </c>
      <c r="L697" s="6" t="n">
        <v>16000</v>
      </c>
      <c r="M697" s="6" t="n">
        <v>48</v>
      </c>
      <c r="N697" s="6" t="n">
        <v>2</v>
      </c>
      <c r="O697" s="6" t="n">
        <v>0</v>
      </c>
      <c r="P697" s="6" t="n">
        <v>8000</v>
      </c>
      <c r="Q697" s="6" t="n">
        <v>1</v>
      </c>
      <c r="R697">
        <f>M697+IF(N697&gt;1,N(O697)*(N697-1),0)</f>
        <v/>
      </c>
      <c r="S697">
        <f>IFERROR(L697*MAX(N697,1)/R697*IF(ISBLANK(K687),1,K687),0)</f>
        <v/>
      </c>
      <c r="AB697" s="7" t="inlineStr">
        <is>
          <t>^Warhead_Railgun_Heavy, ^Warhead_Flak_Medium, ^Warhead_Bullet_Medium, ^Warhead_MissileAP_Light</t>
        </is>
      </c>
    </row>
    <row r="698">
      <c r="B698" s="7" t="inlineStr">
        <is>
          <t xml:space="preserve">  ↳ SteelInfRailgun_elite</t>
        </is>
      </c>
      <c r="C698" s="7" t="inlineStr">
        <is>
          <t>Armament@GARRISONEDELITE</t>
        </is>
      </c>
      <c r="L698" s="6" t="n">
        <v>16000</v>
      </c>
      <c r="M698" s="6" t="n">
        <v>48</v>
      </c>
      <c r="N698" s="6" t="n">
        <v>4</v>
      </c>
      <c r="O698" s="6" t="n">
        <v>0</v>
      </c>
      <c r="P698" s="6" t="n">
        <v>9000</v>
      </c>
      <c r="Q698" s="6" t="n">
        <v>1</v>
      </c>
      <c r="R698">
        <f>M698+IF(N698&gt;1,N(O698)*(N698-1),0)</f>
        <v/>
      </c>
      <c r="S698">
        <f>IFERROR(L698*MAX(N698,1)/R698*IF(ISBLANK(K687),1,K687),0)</f>
        <v/>
      </c>
      <c r="AB698" s="7" t="inlineStr">
        <is>
          <t>^Warhead_Railgun_Heavy, ^Warhead_Flak_Medium, ^Warhead_Bullet_Medium, ^Warhead_MissileAP_Light</t>
        </is>
      </c>
    </row>
    <row r="699">
      <c r="B699" s="7" t="inlineStr">
        <is>
          <t xml:space="preserve">  ↳ SteelInfRailgun_EMP</t>
        </is>
      </c>
      <c r="C699" s="7" t="inlineStr">
        <is>
          <t>Armament@UpgradeGARRISONED</t>
        </is>
      </c>
      <c r="L699" s="6" t="n">
        <v>20000</v>
      </c>
      <c r="M699" s="6" t="n">
        <v>50</v>
      </c>
      <c r="N699" s="6" t="n">
        <v>2</v>
      </c>
      <c r="O699" s="6" t="n">
        <v>0</v>
      </c>
      <c r="P699" s="6" t="n">
        <v>8000</v>
      </c>
      <c r="Q699" s="6" t="n">
        <v>1</v>
      </c>
      <c r="R699">
        <f>M699+IF(N699&gt;1,N(O699)*(N699-1),0)</f>
        <v/>
      </c>
      <c r="S699">
        <f>IFERROR(L699*MAX(N699,1)/R699*IF(ISBLANK(K687),1,K687),0)</f>
        <v/>
      </c>
      <c r="AB699" s="7" t="inlineStr">
        <is>
          <t>^Warhead_Railgun_Heavy, ^Warhead_Flak_Medium, ^Warhead_Bullet_Medium, ^Warhead_MissileAP_Light</t>
        </is>
      </c>
    </row>
    <row r="700">
      <c r="B700" s="7" t="inlineStr">
        <is>
          <t xml:space="preserve">  ↳ SteelInfRailgun_EMP_elite</t>
        </is>
      </c>
      <c r="C700" s="7" t="inlineStr">
        <is>
          <t>Armament@UpgradeGARRISONEDELITE</t>
        </is>
      </c>
      <c r="L700" s="6" t="n">
        <v>20000</v>
      </c>
      <c r="M700" s="6" t="n">
        <v>50</v>
      </c>
      <c r="N700" s="6" t="n">
        <v>4</v>
      </c>
      <c r="O700" s="6" t="n">
        <v>0</v>
      </c>
      <c r="P700" s="6" t="n">
        <v>9000</v>
      </c>
      <c r="Q700" s="6" t="n">
        <v>1</v>
      </c>
      <c r="R700">
        <f>M700+IF(N700&gt;1,N(O700)*(N700-1),0)</f>
        <v/>
      </c>
      <c r="S700">
        <f>IFERROR(L700*MAX(N700,1)/R700*IF(ISBLANK(K687),1,K687),0)</f>
        <v/>
      </c>
      <c r="AB700" s="7" t="inlineStr">
        <is>
          <t>^Warhead_Railgun_Heavy, ^Warhead_Flak_Medium, ^Warhead_Bullet_Medium, ^Warhead_MissileAP_Light</t>
        </is>
      </c>
    </row>
    <row r="701">
      <c r="A701" t="inlineStr">
        <is>
          <t>redalert2mod</t>
        </is>
      </c>
      <c r="B701" t="inlineStr">
        <is>
          <t>latinsyndicate_latinflametrooper</t>
        </is>
      </c>
      <c r="C701" t="inlineStr">
        <is>
          <t>Latin Flame Trooper</t>
        </is>
      </c>
      <c r="D701" s="6" t="inlineStr">
        <is>
          <t>HeavyInfantry</t>
        </is>
      </c>
      <c r="E701" s="6" t="n">
        <v>55000</v>
      </c>
      <c r="F701" s="6" t="n">
        <v>55</v>
      </c>
      <c r="G701" t="inlineStr">
        <is>
          <t>Plate</t>
        </is>
      </c>
      <c r="H701" s="6" t="n">
        <v>0.5077</v>
      </c>
      <c r="I701" s="6" t="n">
        <v>1</v>
      </c>
      <c r="J701" s="6" t="n">
        <v>1</v>
      </c>
      <c r="K701" s="6" t="n"/>
      <c r="P701">
        <f>MAX(P702,P703)</f>
        <v/>
      </c>
      <c r="S701">
        <f>S702+S703</f>
        <v/>
      </c>
      <c r="T701">
        <f>(E701/100000+F701/100+(P701/1000)*J701/5+S701/200)*200*I701*H701</f>
        <v/>
      </c>
      <c r="U701">
        <f>((E701*F701/25000)+((P701/1000)*J701*S701/2.5))*I701*H701</f>
        <v/>
      </c>
      <c r="V701">
        <f>(E701*F701*(P701/1000)*J701*S701*I701*H701)/12500000</f>
        <v/>
      </c>
      <c r="W701">
        <f>(T701+U701+V701)/3</f>
        <v/>
      </c>
      <c r="X701" s="6" t="n">
        <v>500</v>
      </c>
      <c r="Y701">
        <f>IFERROR(W701-X701,"")</f>
        <v/>
      </c>
      <c r="Z701">
        <f>IFERROR(ABS(Y701)/MAX(X701,1),"")</f>
        <v/>
      </c>
      <c r="AA701">
        <f>IFERROR((X701-(((E701/100000+F701/100+S701/200)*200*I701*H701)+((E701*F701/25000)*I701*H701))/3)/(((J701/5)*200*I701*H701)+((J701*S701/2.5)*I701*H701)+((E701*F701*J701*S701*I701*H701)/12500000))/3*1000,"")</f>
        <v/>
      </c>
    </row>
    <row r="702">
      <c r="B702" s="7" t="inlineStr">
        <is>
          <t xml:space="preserve">  ↳ SyndicateFireballLauncher</t>
        </is>
      </c>
      <c r="C702" s="7" t="inlineStr">
        <is>
          <t>Armament@PRIMARY</t>
        </is>
      </c>
      <c r="L702" s="6" t="n">
        <v>6000</v>
      </c>
      <c r="M702" s="6" t="n">
        <v>44</v>
      </c>
      <c r="N702" s="6" t="n">
        <v>4</v>
      </c>
      <c r="O702" s="6" t="n">
        <v>4</v>
      </c>
      <c r="P702" s="6" t="n">
        <v>5555</v>
      </c>
      <c r="Q702" s="6" t="n">
        <v>1</v>
      </c>
      <c r="R702">
        <f>M702+IF(N702&gt;1,N(O702)*(N702-1),0)</f>
        <v/>
      </c>
      <c r="S702">
        <f>IFERROR(L702*MAX(N702,1)/R702*IF(ISBLANK(K701),1,K701),0)</f>
        <v/>
      </c>
      <c r="AB702" s="7" t="inlineStr">
        <is>
          <t>^Warhead_Flame_Light, ^Warhead_Flame_Medium, ^Warhead_Flame_Heavy</t>
        </is>
      </c>
    </row>
    <row r="703">
      <c r="B703" s="7" t="inlineStr">
        <is>
          <t xml:space="preserve">  ↳ SyndicateFireballLauncher_elite</t>
        </is>
      </c>
      <c r="C703" s="7" t="inlineStr">
        <is>
          <t>Armament@ELITE</t>
        </is>
      </c>
      <c r="L703" s="6" t="n">
        <v>6000</v>
      </c>
      <c r="M703" s="6" t="n">
        <v>44</v>
      </c>
      <c r="N703" s="6" t="n">
        <v>8</v>
      </c>
      <c r="O703" s="6" t="n">
        <v>3</v>
      </c>
      <c r="P703" s="6" t="n">
        <v>6666</v>
      </c>
      <c r="Q703" s="6" t="n">
        <v>1</v>
      </c>
      <c r="R703">
        <f>M703+IF(N703&gt;1,N(O703)*(N703-1),0)</f>
        <v/>
      </c>
      <c r="S703">
        <f>IFERROR(L703*MAX(N703,1)/R703*IF(ISBLANK(K701),1,K701),0)</f>
        <v/>
      </c>
      <c r="AB703" s="7" t="inlineStr">
        <is>
          <t>^Warhead_Flame_Light, ^Warhead_Flame_Medium, ^Warhead_Flame_Heavy</t>
        </is>
      </c>
    </row>
    <row r="704">
      <c r="B704" s="7" t="inlineStr">
        <is>
          <t xml:space="preserve">  ↳ SyndicateFireballLauncher</t>
        </is>
      </c>
      <c r="C704" s="7" t="inlineStr">
        <is>
          <t>Armament@GARRISONED</t>
        </is>
      </c>
      <c r="L704" s="6" t="n">
        <v>6000</v>
      </c>
      <c r="M704" s="6" t="n">
        <v>44</v>
      </c>
      <c r="N704" s="6" t="n">
        <v>4</v>
      </c>
      <c r="O704" s="6" t="n">
        <v>4</v>
      </c>
      <c r="P704" s="6" t="n">
        <v>5555</v>
      </c>
      <c r="Q704" s="6" t="n">
        <v>1</v>
      </c>
      <c r="R704">
        <f>M704+IF(N704&gt;1,N(O704)*(N704-1),0)</f>
        <v/>
      </c>
      <c r="S704">
        <f>IFERROR(L704*MAX(N704,1)/R704*IF(ISBLANK(K701),1,K701),0)</f>
        <v/>
      </c>
      <c r="AB704" s="7" t="inlineStr">
        <is>
          <t>^Warhead_Flame_Light, ^Warhead_Flame_Medium, ^Warhead_Flame_Heavy</t>
        </is>
      </c>
    </row>
    <row r="705">
      <c r="B705" s="7" t="inlineStr">
        <is>
          <t xml:space="preserve">  ↳ SyndicateFireballLauncher_elite</t>
        </is>
      </c>
      <c r="C705" s="7" t="inlineStr">
        <is>
          <t>Armament@GARRISONEDELITE</t>
        </is>
      </c>
      <c r="L705" s="6" t="n">
        <v>6000</v>
      </c>
      <c r="M705" s="6" t="n">
        <v>44</v>
      </c>
      <c r="N705" s="6" t="n">
        <v>8</v>
      </c>
      <c r="O705" s="6" t="n">
        <v>3</v>
      </c>
      <c r="P705" s="6" t="n">
        <v>6666</v>
      </c>
      <c r="Q705" s="6" t="n">
        <v>1</v>
      </c>
      <c r="R705">
        <f>M705+IF(N705&gt;1,N(O705)*(N705-1),0)</f>
        <v/>
      </c>
      <c r="S705">
        <f>IFERROR(L705*MAX(N705,1)/R705*IF(ISBLANK(K701),1,K701),0)</f>
        <v/>
      </c>
      <c r="AB705" s="7" t="inlineStr">
        <is>
          <t>^Warhead_Flame_Light, ^Warhead_Flame_Medium, ^Warhead_Flame_Heavy</t>
        </is>
      </c>
    </row>
    <row r="706">
      <c r="A706" t="inlineStr">
        <is>
          <t>redalert2mod</t>
        </is>
      </c>
      <c r="B706" t="inlineStr">
        <is>
          <t>naxis_naxiflamer</t>
        </is>
      </c>
      <c r="C706" t="inlineStr">
        <is>
          <t>Naxi Flamer</t>
        </is>
      </c>
      <c r="D706" s="6" t="inlineStr">
        <is>
          <t>HeavyInfantry</t>
        </is>
      </c>
      <c r="E706" s="6" t="n">
        <v>24000</v>
      </c>
      <c r="F706" s="6" t="n">
        <v>48</v>
      </c>
      <c r="G706" t="inlineStr">
        <is>
          <t>Plate</t>
        </is>
      </c>
      <c r="H706" s="6" t="n">
        <v>0.7466</v>
      </c>
      <c r="I706" s="6" t="n">
        <v>1</v>
      </c>
      <c r="J706" s="6" t="n">
        <v>1</v>
      </c>
      <c r="K706" s="6" t="n"/>
      <c r="P706">
        <f>MAX(P707,P708)</f>
        <v/>
      </c>
      <c r="S706">
        <f>S707+S708</f>
        <v/>
      </c>
      <c r="T706">
        <f>(E706/100000+F706/100+(P706/1000)*J706/5+S706/200)*200*I706*H706</f>
        <v/>
      </c>
      <c r="U706">
        <f>((E706*F706/25000)+((P706/1000)*J706*S706/2.5))*I706*H706</f>
        <v/>
      </c>
      <c r="V706">
        <f>(E706*F706*(P706/1000)*J706*S706*I706*H706)/12500000</f>
        <v/>
      </c>
      <c r="W706">
        <f>(T706+U706+V706)/3</f>
        <v/>
      </c>
      <c r="X706" s="6" t="n">
        <v>225</v>
      </c>
      <c r="Y706">
        <f>IFERROR(W706-X706,"")</f>
        <v/>
      </c>
      <c r="Z706">
        <f>IFERROR(ABS(Y706)/MAX(X706,1),"")</f>
        <v/>
      </c>
      <c r="AA706">
        <f>IFERROR((X706-(((E706/100000+F706/100+S706/200)*200*I706*H706)+((E706*F706/25000)*I706*H706))/3)/(((J706/5)*200*I706*H706)+((J706*S706/2.5)*I706*H706)+((E706*F706*J706*S706*I706*H706)/12500000))/3*1000,"")</f>
        <v/>
      </c>
    </row>
    <row r="707">
      <c r="B707" s="7" t="inlineStr">
        <is>
          <t xml:space="preserve">  ↳ NaxiFlamerTroop</t>
        </is>
      </c>
      <c r="C707" s="7" t="inlineStr">
        <is>
          <t>Armament@PRIMARY</t>
        </is>
      </c>
      <c r="L707" s="6" t="n">
        <v>4000</v>
      </c>
      <c r="M707" s="6" t="n">
        <v>60</v>
      </c>
      <c r="N707" s="6" t="n">
        <v>3</v>
      </c>
      <c r="O707" s="6" t="n">
        <v>3</v>
      </c>
      <c r="P707" s="6" t="n">
        <v>4830</v>
      </c>
      <c r="Q707" s="6" t="n">
        <v>0.75</v>
      </c>
      <c r="R707">
        <f>M707+IF(N707&gt;1,N(O707)*(N707-1),0)</f>
        <v/>
      </c>
      <c r="S707">
        <f>IFERROR(L707*MAX(N707,1)/R707*IF(ISBLANK(K706),1,K706),0)</f>
        <v/>
      </c>
      <c r="AB707" s="7" t="inlineStr">
        <is>
          <t>^Warhead_Flame_Light</t>
        </is>
      </c>
    </row>
    <row r="708">
      <c r="B708" s="7" t="inlineStr">
        <is>
          <t xml:space="preserve">  ↳ NaxiFlamerTroop_elite</t>
        </is>
      </c>
      <c r="C708" s="7" t="inlineStr">
        <is>
          <t>Armament@ELITE</t>
        </is>
      </c>
      <c r="L708" s="6" t="n">
        <v>4000</v>
      </c>
      <c r="M708" s="6" t="n">
        <v>60</v>
      </c>
      <c r="N708" s="6" t="n">
        <v>6</v>
      </c>
      <c r="O708" s="6" t="n">
        <v>3</v>
      </c>
      <c r="P708" s="6" t="n">
        <v>5830</v>
      </c>
      <c r="Q708" s="6" t="n">
        <v>0.75</v>
      </c>
      <c r="R708">
        <f>M708+IF(N708&gt;1,N(O708)*(N708-1),0)</f>
        <v/>
      </c>
      <c r="S708">
        <f>IFERROR(L708*MAX(N708,1)/R708*IF(ISBLANK(K706),1,K706),0)</f>
        <v/>
      </c>
      <c r="AB708" s="7" t="inlineStr">
        <is>
          <t>^Warhead_Flame_Light</t>
        </is>
      </c>
    </row>
    <row r="709">
      <c r="B709" s="7" t="inlineStr">
        <is>
          <t xml:space="preserve">  ↳ NaxiFlamerTroop</t>
        </is>
      </c>
      <c r="C709" s="7" t="inlineStr">
        <is>
          <t>Armament@GARRISONED</t>
        </is>
      </c>
      <c r="L709" s="6" t="n">
        <v>4000</v>
      </c>
      <c r="M709" s="6" t="n">
        <v>60</v>
      </c>
      <c r="N709" s="6" t="n">
        <v>3</v>
      </c>
      <c r="O709" s="6" t="n">
        <v>3</v>
      </c>
      <c r="P709" s="6" t="n">
        <v>4830</v>
      </c>
      <c r="Q709" s="6" t="n">
        <v>0.75</v>
      </c>
      <c r="R709">
        <f>M709+IF(N709&gt;1,N(O709)*(N709-1),0)</f>
        <v/>
      </c>
      <c r="S709">
        <f>IFERROR(L709*MAX(N709,1)/R709*IF(ISBLANK(K706),1,K706),0)</f>
        <v/>
      </c>
      <c r="AB709" s="7" t="inlineStr">
        <is>
          <t>^Warhead_Flame_Light</t>
        </is>
      </c>
    </row>
    <row r="710">
      <c r="B710" s="7" t="inlineStr">
        <is>
          <t xml:space="preserve">  ↳ NaxiFlamerTroop_elite</t>
        </is>
      </c>
      <c r="C710" s="7" t="inlineStr">
        <is>
          <t>Armament@GARRISONEDELITE</t>
        </is>
      </c>
      <c r="L710" s="6" t="n">
        <v>4000</v>
      </c>
      <c r="M710" s="6" t="n">
        <v>60</v>
      </c>
      <c r="N710" s="6" t="n">
        <v>6</v>
      </c>
      <c r="O710" s="6" t="n">
        <v>3</v>
      </c>
      <c r="P710" s="6" t="n">
        <v>5830</v>
      </c>
      <c r="Q710" s="6" t="n">
        <v>0.75</v>
      </c>
      <c r="R710">
        <f>M710+IF(N710&gt;1,N(O710)*(N710-1),0)</f>
        <v/>
      </c>
      <c r="S710">
        <f>IFERROR(L710*MAX(N710,1)/R710*IF(ISBLANK(K706),1,K706),0)</f>
        <v/>
      </c>
      <c r="AB710" s="7" t="inlineStr">
        <is>
          <t>^Warhead_Flame_Light</t>
        </is>
      </c>
    </row>
    <row r="711">
      <c r="A711" t="inlineStr">
        <is>
          <t>redalert2mod</t>
        </is>
      </c>
      <c r="B711" t="inlineStr">
        <is>
          <t>naxis_naximachinegunners</t>
        </is>
      </c>
      <c r="C711" t="inlineStr">
        <is>
          <t>Naxi Machinegunners</t>
        </is>
      </c>
      <c r="D711" s="6" t="inlineStr">
        <is>
          <t>HeavyInfantry</t>
        </is>
      </c>
      <c r="E711" s="6" t="n">
        <v>60000</v>
      </c>
      <c r="F711" s="6" t="n">
        <v>55</v>
      </c>
      <c r="G711" t="inlineStr">
        <is>
          <t>Plate</t>
        </is>
      </c>
      <c r="H711" s="6" t="n">
        <v>0.75</v>
      </c>
      <c r="I711" s="6" t="n">
        <v>0.8</v>
      </c>
      <c r="J711" s="6" t="n">
        <v>1.25</v>
      </c>
      <c r="K711" s="6" t="n"/>
      <c r="P711">
        <f>MAX(P713,P714)</f>
        <v/>
      </c>
      <c r="S711">
        <f>S713+S714</f>
        <v/>
      </c>
      <c r="T711">
        <f>(E711/100000+F711/100+(P711/1000)*J711/5+S711/200)*200*I711*H711</f>
        <v/>
      </c>
      <c r="U711">
        <f>((E711*F711/25000)+((P711/1000)*J711*S711/2.5))*I711*H711</f>
        <v/>
      </c>
      <c r="V711">
        <f>(E711*F711*(P711/1000)*J711*S711*I711*H711)/12500000</f>
        <v/>
      </c>
      <c r="W711">
        <f>(T711+U711+V711)/3</f>
        <v/>
      </c>
      <c r="X711" s="6" t="n">
        <v>600</v>
      </c>
      <c r="Y711">
        <f>IFERROR(W711-X711,"")</f>
        <v/>
      </c>
      <c r="Z711">
        <f>IFERROR(ABS(Y711)/MAX(X711,1),"")</f>
        <v/>
      </c>
      <c r="AA711">
        <f>IFERROR((X711-(((E711/100000+F711/100+S711/200)*200*I711*H711)+((E711*F711/25000)*I711*H711))/3)/(((J711/5)*200*I711*H711)+((J711*S711/2.5)*I711*H711)+((E711*F711*J711*S711*I711*H711)/12500000))/3*1000,"")</f>
        <v/>
      </c>
    </row>
    <row r="712">
      <c r="B712" s="7" t="inlineStr">
        <is>
          <t xml:space="preserve">  ↳ NaxiWW2MachinegunnerTargeting</t>
        </is>
      </c>
      <c r="C712" s="7" t="inlineStr">
        <is>
          <t>Armament@Dummy</t>
        </is>
      </c>
      <c r="L712" s="6" t="n"/>
      <c r="M712" s="6" t="n">
        <v>50</v>
      </c>
      <c r="N712" s="6" t="n">
        <v>1</v>
      </c>
      <c r="O712" s="6" t="n"/>
      <c r="P712" s="6" t="n">
        <v>8970</v>
      </c>
      <c r="Q712" s="6" t="n">
        <v>1</v>
      </c>
      <c r="R712">
        <f>M712+IF(N712&gt;1,N(O712)*(N712-1),0)</f>
        <v/>
      </c>
      <c r="S712">
        <f>IFERROR(L712*MAX(N712,1)/R712*IF(ISBLANK(K711),1,K711),0)</f>
        <v/>
      </c>
      <c r="AB712" s="7" t="inlineStr">
        <is>
          <t>^DeployTargeting</t>
        </is>
      </c>
    </row>
    <row r="713">
      <c r="B713" s="7" t="inlineStr">
        <is>
          <t xml:space="preserve">  ↳ NaxiWW2Machinegunner</t>
        </is>
      </c>
      <c r="C713" s="7" t="inlineStr">
        <is>
          <t>Armament@Deployed</t>
        </is>
      </c>
      <c r="L713" s="6" t="n">
        <v>8000</v>
      </c>
      <c r="M713" s="6" t="n">
        <v>90</v>
      </c>
      <c r="N713" s="6" t="n">
        <v>10</v>
      </c>
      <c r="O713" s="6" t="n">
        <v>5</v>
      </c>
      <c r="P713" s="6" t="n">
        <v>8970</v>
      </c>
      <c r="Q713" s="6" t="n">
        <v>0.875</v>
      </c>
      <c r="R713">
        <f>M713+IF(N713&gt;1,N(O713)*(N713-1),0)</f>
        <v/>
      </c>
      <c r="S713">
        <f>IFERROR(L713*MAX(N713,1)/R713*IF(ISBLANK(K711),1,K711),0)</f>
        <v/>
      </c>
      <c r="AB713" s="7" t="inlineStr">
        <is>
          <t>^Warhead_Bullet_Light, ^Warhead_Bullet_Medium</t>
        </is>
      </c>
    </row>
    <row r="714">
      <c r="B714" s="7" t="inlineStr">
        <is>
          <t xml:space="preserve">  ↳ NaxiWW2Machinegunner_elite</t>
        </is>
      </c>
      <c r="C714" s="7" t="inlineStr">
        <is>
          <t>Armament@DEPLOYEDELITE</t>
        </is>
      </c>
      <c r="L714" s="6" t="n">
        <v>8000</v>
      </c>
      <c r="M714" s="6" t="n">
        <v>90</v>
      </c>
      <c r="N714" s="6" t="n">
        <v>20</v>
      </c>
      <c r="O714" s="6" t="n">
        <v>3</v>
      </c>
      <c r="P714" s="6" t="n">
        <v>9970</v>
      </c>
      <c r="Q714" s="6" t="n">
        <v>0.875</v>
      </c>
      <c r="R714">
        <f>M714+IF(N714&gt;1,N(O714)*(N714-1),0)</f>
        <v/>
      </c>
      <c r="S714">
        <f>IFERROR(L714*MAX(N714,1)/R714*IF(ISBLANK(K711),1,K711),0)</f>
        <v/>
      </c>
      <c r="AB714" s="7" t="inlineStr">
        <is>
          <t>^Warhead_Bullet_Light, ^Warhead_Bullet_Medium</t>
        </is>
      </c>
    </row>
    <row r="715">
      <c r="B715" s="7" t="inlineStr">
        <is>
          <t xml:space="preserve">  ↳ NaxiWW2Machinegunner</t>
        </is>
      </c>
      <c r="C715" s="7" t="inlineStr">
        <is>
          <t>Armament@GARRISONED</t>
        </is>
      </c>
      <c r="L715" s="6" t="n">
        <v>8000</v>
      </c>
      <c r="M715" s="6" t="n">
        <v>90</v>
      </c>
      <c r="N715" s="6" t="n">
        <v>10</v>
      </c>
      <c r="O715" s="6" t="n">
        <v>5</v>
      </c>
      <c r="P715" s="6" t="n">
        <v>8970</v>
      </c>
      <c r="Q715" s="6" t="n">
        <v>0.875</v>
      </c>
      <c r="R715">
        <f>M715+IF(N715&gt;1,N(O715)*(N715-1),0)</f>
        <v/>
      </c>
      <c r="S715">
        <f>IFERROR(L715*MAX(N715,1)/R715*IF(ISBLANK(K711),1,K711),0)</f>
        <v/>
      </c>
      <c r="AB715" s="7" t="inlineStr">
        <is>
          <t>^Warhead_Bullet_Light, ^Warhead_Bullet_Medium</t>
        </is>
      </c>
    </row>
    <row r="716">
      <c r="B716" s="7" t="inlineStr">
        <is>
          <t xml:space="preserve">  ↳ NaxiWW2Machinegunner_elite</t>
        </is>
      </c>
      <c r="C716" s="7" t="inlineStr">
        <is>
          <t>Armament@GARRISONEDELITE</t>
        </is>
      </c>
      <c r="L716" s="6" t="n">
        <v>8000</v>
      </c>
      <c r="M716" s="6" t="n">
        <v>90</v>
      </c>
      <c r="N716" s="6" t="n">
        <v>20</v>
      </c>
      <c r="O716" s="6" t="n">
        <v>3</v>
      </c>
      <c r="P716" s="6" t="n">
        <v>9970</v>
      </c>
      <c r="Q716" s="6" t="n">
        <v>0.875</v>
      </c>
      <c r="R716">
        <f>M716+IF(N716&gt;1,N(O716)*(N716-1),0)</f>
        <v/>
      </c>
      <c r="S716">
        <f>IFERROR(L716*MAX(N716,1)/R716*IF(ISBLANK(K711),1,K711),0)</f>
        <v/>
      </c>
      <c r="AB716" s="7" t="inlineStr">
        <is>
          <t>^Warhead_Bullet_Light, ^Warhead_Bullet_Medium</t>
        </is>
      </c>
    </row>
    <row r="717">
      <c r="A717" t="inlineStr">
        <is>
          <t>redalert2mod</t>
        </is>
      </c>
      <c r="B717" t="inlineStr">
        <is>
          <t>naxis_panzerfausttrooper</t>
        </is>
      </c>
      <c r="C717" t="inlineStr">
        <is>
          <t>Panzerfaust Trooper</t>
        </is>
      </c>
      <c r="D717" s="6" t="inlineStr">
        <is>
          <t>HeavyInfantry</t>
        </is>
      </c>
      <c r="E717" s="6" t="n">
        <v>36000</v>
      </c>
      <c r="F717" s="6" t="n">
        <v>46</v>
      </c>
      <c r="G717" t="inlineStr">
        <is>
          <t>Plate</t>
        </is>
      </c>
      <c r="H717" s="6" t="n">
        <v>1</v>
      </c>
      <c r="I717" s="6" t="n">
        <v>0.8</v>
      </c>
      <c r="J717" s="6" t="n">
        <v>1</v>
      </c>
      <c r="K717" s="6" t="n"/>
      <c r="P717">
        <f>MAX(P718,P719)</f>
        <v/>
      </c>
      <c r="S717">
        <f>S718+S719</f>
        <v/>
      </c>
      <c r="T717">
        <f>(E717/100000+F717/100+(P717/1000)*J717/5+S717/200)*200*I717*H717</f>
        <v/>
      </c>
      <c r="U717">
        <f>((E717*F717/25000)+((P717/1000)*J717*S717/2.5))*I717*H717</f>
        <v/>
      </c>
      <c r="V717">
        <f>(E717*F717*(P717/1000)*J717*S717*I717*H717)/12500000</f>
        <v/>
      </c>
      <c r="W717">
        <f>(T717+U717+V717)/3</f>
        <v/>
      </c>
      <c r="X717" s="6" t="n">
        <v>400</v>
      </c>
      <c r="Y717">
        <f>IFERROR(W717-X717,"")</f>
        <v/>
      </c>
      <c r="Z717">
        <f>IFERROR(ABS(Y717)/MAX(X717,1),"")</f>
        <v/>
      </c>
      <c r="AA717">
        <f>IFERROR((X717-(((E717/100000+F717/100+S717/200)*200*I717*H717)+((E717*F717/25000)*I717*H717))/3)/(((J717/5)*200*I717*H717)+((J717*S717/2.5)*I717*H717)+((E717*F717*J717*S717*I717*H717)/12500000))/3*1000,"")</f>
        <v/>
      </c>
    </row>
    <row r="718">
      <c r="B718" s="7" t="inlineStr">
        <is>
          <t xml:space="preserve">  ↳ NaxiShrekCons</t>
        </is>
      </c>
      <c r="C718" s="7" t="inlineStr">
        <is>
          <t>Armament@PRIMARY</t>
        </is>
      </c>
      <c r="L718" s="6" t="n">
        <v>36000</v>
      </c>
      <c r="M718" s="6" t="n">
        <v>135</v>
      </c>
      <c r="N718" s="6" t="n">
        <v>1</v>
      </c>
      <c r="O718" s="6" t="n"/>
      <c r="P718" s="6" t="n">
        <v>5512</v>
      </c>
      <c r="Q718" s="6" t="n">
        <v>1</v>
      </c>
      <c r="R718">
        <f>M718+IF(N718&gt;1,N(O718)*(N718-1),0)</f>
        <v/>
      </c>
      <c r="S718">
        <f>IFERROR(L718*MAX(N718,1)/R718*IF(ISBLANK(K717),1,K717),0)</f>
        <v/>
      </c>
      <c r="AB718" s="7" t="inlineStr">
        <is>
          <t>^Warhead_MissileAP_Medium</t>
        </is>
      </c>
    </row>
    <row r="719">
      <c r="B719" s="7" t="inlineStr">
        <is>
          <t xml:space="preserve">  ↳ NaxiShrekCons_elite</t>
        </is>
      </c>
      <c r="C719" s="7" t="inlineStr">
        <is>
          <t>Armament@ELITE</t>
        </is>
      </c>
      <c r="L719" s="6" t="n">
        <v>36000</v>
      </c>
      <c r="M719" s="6" t="n">
        <v>135</v>
      </c>
      <c r="N719" s="6" t="n">
        <v>2</v>
      </c>
      <c r="O719" s="6" t="n">
        <v>3</v>
      </c>
      <c r="P719" s="6" t="n">
        <v>6512</v>
      </c>
      <c r="Q719" s="6" t="n">
        <v>1</v>
      </c>
      <c r="R719">
        <f>M719+IF(N719&gt;1,N(O719)*(N719-1),0)</f>
        <v/>
      </c>
      <c r="S719">
        <f>IFERROR(L719*MAX(N719,1)/R719*IF(ISBLANK(K717),1,K717),0)</f>
        <v/>
      </c>
      <c r="AB719" s="7" t="inlineStr">
        <is>
          <t>^Warhead_MissileAP_Medium</t>
        </is>
      </c>
    </row>
    <row r="720">
      <c r="B720" s="7" t="inlineStr">
        <is>
          <t xml:space="preserve">  ↳ NaxiShrekCons</t>
        </is>
      </c>
      <c r="C720" s="7" t="inlineStr">
        <is>
          <t>Armament@GARRISONED</t>
        </is>
      </c>
      <c r="L720" s="6" t="n">
        <v>36000</v>
      </c>
      <c r="M720" s="6" t="n">
        <v>135</v>
      </c>
      <c r="N720" s="6" t="n">
        <v>1</v>
      </c>
      <c r="O720" s="6" t="n"/>
      <c r="P720" s="6" t="n">
        <v>5512</v>
      </c>
      <c r="Q720" s="6" t="n">
        <v>1</v>
      </c>
      <c r="R720">
        <f>M720+IF(N720&gt;1,N(O720)*(N720-1),0)</f>
        <v/>
      </c>
      <c r="S720">
        <f>IFERROR(L720*MAX(N720,1)/R720*IF(ISBLANK(K717),1,K717),0)</f>
        <v/>
      </c>
      <c r="AB720" s="7" t="inlineStr">
        <is>
          <t>^Warhead_MissileAP_Medium</t>
        </is>
      </c>
    </row>
    <row r="721">
      <c r="B721" s="7" t="inlineStr">
        <is>
          <t xml:space="preserve">  ↳ NaxiShrekCons_elite</t>
        </is>
      </c>
      <c r="C721" s="7" t="inlineStr">
        <is>
          <t>Armament@GARRISONEDELITE</t>
        </is>
      </c>
      <c r="L721" s="6" t="n">
        <v>36000</v>
      </c>
      <c r="M721" s="6" t="n">
        <v>135</v>
      </c>
      <c r="N721" s="6" t="n">
        <v>2</v>
      </c>
      <c r="O721" s="6" t="n">
        <v>3</v>
      </c>
      <c r="P721" s="6" t="n">
        <v>6512</v>
      </c>
      <c r="Q721" s="6" t="n">
        <v>1</v>
      </c>
      <c r="R721">
        <f>M721+IF(N721&gt;1,N(O721)*(N721-1),0)</f>
        <v/>
      </c>
      <c r="S721">
        <f>IFERROR(L721*MAX(N721,1)/R721*IF(ISBLANK(K717),1,K717),0)</f>
        <v/>
      </c>
      <c r="AB721" s="7" t="inlineStr">
        <is>
          <t>^Warhead_MissileAP_Medium</t>
        </is>
      </c>
    </row>
    <row r="722">
      <c r="A722" t="inlineStr">
        <is>
          <t>redalert2mod</t>
        </is>
      </c>
      <c r="B722" t="inlineStr">
        <is>
          <t>naxis_panzerschreck</t>
        </is>
      </c>
      <c r="C722" t="inlineStr">
        <is>
          <t>Panzerschreck</t>
        </is>
      </c>
      <c r="D722" s="6" t="inlineStr">
        <is>
          <t>HeavyInfantry</t>
        </is>
      </c>
      <c r="E722" s="6" t="n">
        <v>96000</v>
      </c>
      <c r="F722" s="6" t="n">
        <v>42</v>
      </c>
      <c r="G722" t="inlineStr">
        <is>
          <t>Plate</t>
        </is>
      </c>
      <c r="H722" s="6" t="n">
        <v>0.75</v>
      </c>
      <c r="I722" s="6" t="n">
        <v>0.8</v>
      </c>
      <c r="J722" s="6" t="n">
        <v>1</v>
      </c>
      <c r="K722" s="6" t="n"/>
      <c r="P722">
        <f>MAX(P723,P724)</f>
        <v/>
      </c>
      <c r="S722">
        <f>S723+S724</f>
        <v/>
      </c>
      <c r="T722">
        <f>(E722/100000+F722/100+(P722/1000)*J722/5+S722/200)*200*I722*H722</f>
        <v/>
      </c>
      <c r="U722">
        <f>((E722*F722/25000)+((P722/1000)*J722*S722/2.5))*I722*H722</f>
        <v/>
      </c>
      <c r="V722">
        <f>(E722*F722*(P722/1000)*J722*S722*I722*H722)/12500000</f>
        <v/>
      </c>
      <c r="W722">
        <f>(T722+U722+V722)/3</f>
        <v/>
      </c>
      <c r="X722" s="6" t="n">
        <v>600</v>
      </c>
      <c r="Y722">
        <f>IFERROR(W722-X722,"")</f>
        <v/>
      </c>
      <c r="Z722">
        <f>IFERROR(ABS(Y722)/MAX(X722,1),"")</f>
        <v/>
      </c>
      <c r="AA722">
        <f>IFERROR((X722-(((E722/100000+F722/100+S722/200)*200*I722*H722)+((E722*F722/25000)*I722*H722))/3)/(((J722/5)*200*I722*H722)+((J722*S722/2.5)*I722*H722)+((E722*F722*J722*S722*I722*H722)/12500000))/3*1000,"")</f>
        <v/>
      </c>
    </row>
    <row r="723">
      <c r="B723" s="7" t="inlineStr">
        <is>
          <t xml:space="preserve">  ↳ NaxiShrek</t>
        </is>
      </c>
      <c r="C723" s="7" t="inlineStr">
        <is>
          <t>Armament@PRIMARY</t>
        </is>
      </c>
      <c r="L723" s="6" t="n">
        <v>48000</v>
      </c>
      <c r="M723" s="6" t="n">
        <v>124</v>
      </c>
      <c r="N723" s="6" t="n">
        <v>1</v>
      </c>
      <c r="O723" s="6" t="n"/>
      <c r="P723" s="6" t="n">
        <v>6805</v>
      </c>
      <c r="Q723" s="6" t="n">
        <v>1</v>
      </c>
      <c r="R723">
        <f>M723+IF(N723&gt;1,N(O723)*(N723-1),0)</f>
        <v/>
      </c>
      <c r="S723">
        <f>IFERROR(L723*MAX(N723,1)/R723*IF(ISBLANK(K722),1,K722),0)</f>
        <v/>
      </c>
      <c r="AB723" s="7" t="inlineStr">
        <is>
          <t>^Warhead_MissileAP_Medium</t>
        </is>
      </c>
    </row>
    <row r="724">
      <c r="B724" s="7" t="inlineStr">
        <is>
          <t xml:space="preserve">  ↳ NaxiShrek_elite</t>
        </is>
      </c>
      <c r="C724" s="7" t="inlineStr">
        <is>
          <t>Armament@ELITE</t>
        </is>
      </c>
      <c r="L724" s="6" t="n">
        <v>48000</v>
      </c>
      <c r="M724" s="6" t="n">
        <v>124</v>
      </c>
      <c r="N724" s="6" t="n">
        <v>2</v>
      </c>
      <c r="O724" s="6" t="n">
        <v>3</v>
      </c>
      <c r="P724" s="6" t="n">
        <v>7805</v>
      </c>
      <c r="Q724" s="6" t="n">
        <v>1</v>
      </c>
      <c r="R724">
        <f>M724+IF(N724&gt;1,N(O724)*(N724-1),0)</f>
        <v/>
      </c>
      <c r="S724">
        <f>IFERROR(L724*MAX(N724,1)/R724*IF(ISBLANK(K722),1,K722),0)</f>
        <v/>
      </c>
      <c r="AB724" s="7" t="inlineStr">
        <is>
          <t>^Warhead_MissileAP_Medium</t>
        </is>
      </c>
    </row>
    <row r="725">
      <c r="B725" s="7" t="inlineStr">
        <is>
          <t xml:space="preserve">  ↳ NaxiShrek</t>
        </is>
      </c>
      <c r="C725" s="7" t="inlineStr">
        <is>
          <t>Armament@GARRISONED</t>
        </is>
      </c>
      <c r="L725" s="6" t="n">
        <v>48000</v>
      </c>
      <c r="M725" s="6" t="n">
        <v>124</v>
      </c>
      <c r="N725" s="6" t="n">
        <v>1</v>
      </c>
      <c r="O725" s="6" t="n"/>
      <c r="P725" s="6" t="n">
        <v>6805</v>
      </c>
      <c r="Q725" s="6" t="n">
        <v>1</v>
      </c>
      <c r="R725">
        <f>M725+IF(N725&gt;1,N(O725)*(N725-1),0)</f>
        <v/>
      </c>
      <c r="S725">
        <f>IFERROR(L725*MAX(N725,1)/R725*IF(ISBLANK(K722),1,K722),0)</f>
        <v/>
      </c>
      <c r="AB725" s="7" t="inlineStr">
        <is>
          <t>^Warhead_MissileAP_Medium</t>
        </is>
      </c>
    </row>
    <row r="726">
      <c r="B726" s="7" t="inlineStr">
        <is>
          <t xml:space="preserve">  ↳ NaxiShrek_elite</t>
        </is>
      </c>
      <c r="C726" s="7" t="inlineStr">
        <is>
          <t>Armament@GARRISONED_E</t>
        </is>
      </c>
      <c r="L726" s="6" t="n">
        <v>48000</v>
      </c>
      <c r="M726" s="6" t="n">
        <v>124</v>
      </c>
      <c r="N726" s="6" t="n">
        <v>2</v>
      </c>
      <c r="O726" s="6" t="n">
        <v>3</v>
      </c>
      <c r="P726" s="6" t="n">
        <v>7805</v>
      </c>
      <c r="Q726" s="6" t="n">
        <v>1</v>
      </c>
      <c r="R726">
        <f>M726+IF(N726&gt;1,N(O726)*(N726-1),0)</f>
        <v/>
      </c>
      <c r="S726">
        <f>IFERROR(L726*MAX(N726,1)/R726*IF(ISBLANK(K722),1,K722),0)</f>
        <v/>
      </c>
      <c r="AB726" s="7" t="inlineStr">
        <is>
          <t>^Warhead_MissileAP_Medium</t>
        </is>
      </c>
    </row>
    <row r="727">
      <c r="A727" t="inlineStr">
        <is>
          <t>redalert2mod</t>
        </is>
      </c>
      <c r="B727" t="inlineStr">
        <is>
          <t>schwarzermond_noidmgarmor</t>
        </is>
      </c>
      <c r="C727" t="inlineStr">
        <is>
          <t>Noid MG Armor</t>
        </is>
      </c>
      <c r="D727" s="6" t="inlineStr">
        <is>
          <t>HeavyInfantry</t>
        </is>
      </c>
      <c r="E727" s="6" t="n">
        <v>50000</v>
      </c>
      <c r="F727" s="6" t="n">
        <v>40</v>
      </c>
      <c r="G727" t="inlineStr">
        <is>
          <t>Plate</t>
        </is>
      </c>
      <c r="H727" s="6" t="n">
        <v>1</v>
      </c>
      <c r="I727" s="6" t="n">
        <v>0.8</v>
      </c>
      <c r="J727" s="6" t="n">
        <v>1</v>
      </c>
      <c r="K727" s="6" t="n"/>
      <c r="P727">
        <f>MAX(P728,P729,P730,P731,P732,P733)</f>
        <v/>
      </c>
      <c r="S727">
        <f>S728+S729+S730+S731+S732+S733</f>
        <v/>
      </c>
      <c r="T727">
        <f>(E727/100000+F727/100+(P727/1000)*J727/5+S727/200)*200*I727*H727</f>
        <v/>
      </c>
      <c r="U727">
        <f>((E727*F727/25000)+((P727/1000)*J727*S727/2.5))*I727*H727</f>
        <v/>
      </c>
      <c r="V727">
        <f>(E727*F727*(P727/1000)*J727*S727*I727*H727)/12500000</f>
        <v/>
      </c>
      <c r="W727">
        <f>(T727+U727+V727)/3</f>
        <v/>
      </c>
      <c r="X727" s="6" t="n">
        <v>500</v>
      </c>
      <c r="Y727">
        <f>IFERROR(W727-X727,"")</f>
        <v/>
      </c>
      <c r="Z727">
        <f>IFERROR(ABS(Y727)/MAX(X727,1),"")</f>
        <v/>
      </c>
      <c r="AA727">
        <f>IFERROR((X727-(((E727/100000+F727/100+S727/200)*200*I727*H727)+((E727*F727/25000)*I727*H727))/3)/(((J727/5)*200*I727*H727)+((J727*S727/2.5)*I727*H727)+((E727*F727*J727*S727*I727*H727)/12500000))/3*1000,"")</f>
        <v/>
      </c>
    </row>
    <row r="728">
      <c r="B728" s="7" t="inlineStr">
        <is>
          <t xml:space="preserve">  ↳ NaxiMP40Laser</t>
        </is>
      </c>
      <c r="C728" s="7" t="inlineStr">
        <is>
          <t>Armament@PRIMARY</t>
        </is>
      </c>
      <c r="L728" s="6" t="n">
        <v>12000</v>
      </c>
      <c r="M728" s="6" t="n">
        <v>100</v>
      </c>
      <c r="N728" s="6" t="n">
        <v>5</v>
      </c>
      <c r="O728" s="6" t="n">
        <v>5</v>
      </c>
      <c r="P728" s="6" t="n">
        <v>4384</v>
      </c>
      <c r="Q728" s="6" t="n">
        <v>1</v>
      </c>
      <c r="R728">
        <f>M728+IF(N728&gt;1,N(O728)*(N728-1),0)</f>
        <v/>
      </c>
      <c r="S728">
        <f>IFERROR(L728*MAX(N728,1)/R728*IF(ISBLANK(K727),1,K727),0)</f>
        <v/>
      </c>
      <c r="AB728" s="7" t="inlineStr">
        <is>
          <t>^Warhead_Bullet_Light, ^Warhead_Concussion_Light, ^Warhead_CannonHE_Heavy, ^Warhead_Bullet_Medium, ^Warhead_Laser_Heavy</t>
        </is>
      </c>
    </row>
    <row r="729">
      <c r="B729" s="7" t="inlineStr">
        <is>
          <t xml:space="preserve">  ↳ NaxiMP40Laser_elite</t>
        </is>
      </c>
      <c r="C729" s="7" t="inlineStr">
        <is>
          <t>Armament@ELITE</t>
        </is>
      </c>
      <c r="L729" s="6" t="n">
        <v>12000</v>
      </c>
      <c r="M729" s="6" t="n">
        <v>100</v>
      </c>
      <c r="N729" s="6" t="n">
        <v>10</v>
      </c>
      <c r="O729" s="6" t="n">
        <v>3</v>
      </c>
      <c r="P729" s="6" t="n">
        <v>5384</v>
      </c>
      <c r="Q729" s="6" t="n">
        <v>1</v>
      </c>
      <c r="R729">
        <f>M729+IF(N729&gt;1,N(O729)*(N729-1),0)</f>
        <v/>
      </c>
      <c r="S729">
        <f>IFERROR(L729*MAX(N729,1)/R729*IF(ISBLANK(K727),1,K727),0)</f>
        <v/>
      </c>
      <c r="AB729" s="7" t="inlineStr">
        <is>
          <t>^Warhead_Bullet_Light, ^Warhead_Concussion_Light, ^Warhead_CannonHE_Heavy, ^Warhead_Bullet_Medium, ^Warhead_Laser_Heavy</t>
        </is>
      </c>
    </row>
    <row r="730">
      <c r="B730" s="7" t="inlineStr">
        <is>
          <t xml:space="preserve">  ↳ Lunar_YellowMP40Laser</t>
        </is>
      </c>
      <c r="C730" s="7" t="inlineStr">
        <is>
          <t>Armament@PRIMARY_UP</t>
        </is>
      </c>
      <c r="L730" s="6" t="n">
        <v>12000</v>
      </c>
      <c r="M730" s="6" t="n">
        <v>100</v>
      </c>
      <c r="N730" s="6" t="n">
        <v>6</v>
      </c>
      <c r="O730" s="6" t="n">
        <v>3</v>
      </c>
      <c r="P730" s="6" t="n">
        <v>4384</v>
      </c>
      <c r="Q730" s="6" t="n">
        <v>1</v>
      </c>
      <c r="R730">
        <f>M730+IF(N730&gt;1,N(O730)*(N730-1),0)</f>
        <v/>
      </c>
      <c r="S730">
        <f>IFERROR(L730*MAX(N730,1)/R730*IF(ISBLANK(K727),1,K727),0)</f>
        <v/>
      </c>
      <c r="AB730" s="7" t="inlineStr">
        <is>
          <t>^Warhead_Bullet_Light, ^Warhead_Concussion_Light, ^Warhead_CannonHE_Heavy, ^Warhead_Bullet_Medium, ^Warhead_Laser_Heavy</t>
        </is>
      </c>
    </row>
    <row r="731">
      <c r="B731" s="7" t="inlineStr">
        <is>
          <t xml:space="preserve">  ↳ Lunar_YellowMP40Laser_elite</t>
        </is>
      </c>
      <c r="C731" s="7" t="inlineStr">
        <is>
          <t>Armament@ELITE_UP</t>
        </is>
      </c>
      <c r="L731" s="6" t="n">
        <v>12000</v>
      </c>
      <c r="M731" s="6" t="n">
        <v>100</v>
      </c>
      <c r="N731" s="6" t="n">
        <v>11</v>
      </c>
      <c r="O731" s="6" t="n">
        <v>3</v>
      </c>
      <c r="P731" s="6" t="n">
        <v>5384</v>
      </c>
      <c r="Q731" s="6" t="n">
        <v>1</v>
      </c>
      <c r="R731">
        <f>M731+IF(N731&gt;1,N(O731)*(N731-1),0)</f>
        <v/>
      </c>
      <c r="S731">
        <f>IFERROR(L731*MAX(N731,1)/R731*IF(ISBLANK(K727),1,K727),0)</f>
        <v/>
      </c>
      <c r="AB731" s="7" t="inlineStr">
        <is>
          <t>^Warhead_Bullet_Light, ^Warhead_Concussion_Light, ^Warhead_CannonHE_Heavy, ^Warhead_Bullet_Medium, ^Warhead_Laser_Heavy</t>
        </is>
      </c>
    </row>
    <row r="732">
      <c r="B732" s="7" t="inlineStr">
        <is>
          <t xml:space="preserve">  ↳ Lunar_AmplifiedMP40Laser</t>
        </is>
      </c>
      <c r="C732" s="7" t="inlineStr">
        <is>
          <t>Armament@PRIMARY_AMP</t>
        </is>
      </c>
      <c r="L732" s="6" t="n">
        <v>12000</v>
      </c>
      <c r="M732" s="6" t="n">
        <v>100</v>
      </c>
      <c r="N732" s="6" t="n">
        <v>7</v>
      </c>
      <c r="O732" s="6" t="n">
        <v>3</v>
      </c>
      <c r="P732" s="6" t="n">
        <v>4384</v>
      </c>
      <c r="Q732" s="6" t="n">
        <v>1</v>
      </c>
      <c r="R732">
        <f>M732+IF(N732&gt;1,N(O732)*(N732-1),0)</f>
        <v/>
      </c>
      <c r="S732">
        <f>IFERROR(L732*MAX(N732,1)/R732*IF(ISBLANK(K727),1,K727),0)</f>
        <v/>
      </c>
      <c r="AB732" s="7" t="inlineStr">
        <is>
          <t>^Warhead_Bullet_Light, ^Warhead_Concussion_Light, ^Warhead_CannonHE_Heavy, ^Warhead_Bullet_Medium, ^Warhead_Laser_Heavy</t>
        </is>
      </c>
    </row>
    <row r="733">
      <c r="B733" s="7" t="inlineStr">
        <is>
          <t xml:space="preserve">  ↳ Lunar_AmplifiedMP40Laser_elite</t>
        </is>
      </c>
      <c r="C733" s="7" t="inlineStr">
        <is>
          <t>Armament@ELITE_AMP</t>
        </is>
      </c>
      <c r="L733" s="6" t="n">
        <v>12000</v>
      </c>
      <c r="M733" s="6" t="n">
        <v>100</v>
      </c>
      <c r="N733" s="6" t="n">
        <v>12</v>
      </c>
      <c r="O733" s="6" t="n">
        <v>3</v>
      </c>
      <c r="P733" s="6" t="n">
        <v>5384</v>
      </c>
      <c r="Q733" s="6" t="n">
        <v>1</v>
      </c>
      <c r="R733">
        <f>M733+IF(N733&gt;1,N(O733)*(N733-1),0)</f>
        <v/>
      </c>
      <c r="S733">
        <f>IFERROR(L733*MAX(N733,1)/R733*IF(ISBLANK(K727),1,K727),0)</f>
        <v/>
      </c>
      <c r="AB733" s="7" t="inlineStr">
        <is>
          <t>^Warhead_Bullet_Light, ^Warhead_Concussion_Light, ^Warhead_CannonHE_Heavy, ^Warhead_Bullet_Medium, ^Warhead_Laser_Heavy</t>
        </is>
      </c>
    </row>
    <row r="734">
      <c r="A734" t="inlineStr">
        <is>
          <t>redalert2mod</t>
        </is>
      </c>
      <c r="B734" t="inlineStr">
        <is>
          <t>schwarzermond_ubermensch</t>
        </is>
      </c>
      <c r="C734" t="inlineStr">
        <is>
          <t>Übermensch</t>
        </is>
      </c>
      <c r="D734" s="6" t="inlineStr">
        <is>
          <t>HeavyInfantry</t>
        </is>
      </c>
      <c r="E734" s="6" t="n">
        <v>64000</v>
      </c>
      <c r="F734" s="6" t="n">
        <v>64</v>
      </c>
      <c r="G734" t="inlineStr">
        <is>
          <t>Plate</t>
        </is>
      </c>
      <c r="H734" s="6" t="n">
        <v>0.75</v>
      </c>
      <c r="I734" s="6" t="n">
        <v>0.8</v>
      </c>
      <c r="J734" s="6" t="n">
        <v>1</v>
      </c>
      <c r="K734" s="6" t="n"/>
      <c r="P734">
        <f>MAX(P735,P736,P739,P740,P743,P744)</f>
        <v/>
      </c>
      <c r="S734">
        <f>S735+S736+S739+S740+S743+S744</f>
        <v/>
      </c>
      <c r="T734">
        <f>(E734/100000+F734/100+(P734/1000)*J734/5+S734/200)*200*I734*H734</f>
        <v/>
      </c>
      <c r="U734">
        <f>((E734*F734/25000)+((P734/1000)*J734*S734/2.5))*I734*H734</f>
        <v/>
      </c>
      <c r="V734">
        <f>(E734*F734*(P734/1000)*J734*S734*I734*H734)/12500000</f>
        <v/>
      </c>
      <c r="W734">
        <f>(T734+U734+V734)/3</f>
        <v/>
      </c>
      <c r="X734" s="6" t="n">
        <v>700</v>
      </c>
      <c r="Y734">
        <f>IFERROR(W734-X734,"")</f>
        <v/>
      </c>
      <c r="Z734">
        <f>IFERROR(ABS(Y734)/MAX(X734,1),"")</f>
        <v/>
      </c>
      <c r="AA734">
        <f>IFERROR((X734-(((E734/100000+F734/100+S734/200)*200*I734*H734)+((E734*F734/25000)*I734*H734))/3)/(((J734/5)*200*I734*H734)+((J734*S734/2.5)*I734*H734)+((E734*F734*J734*S734*I734*H734)/12500000))/3*1000,"")</f>
        <v/>
      </c>
    </row>
    <row r="735">
      <c r="B735" s="7" t="inlineStr">
        <is>
          <t xml:space="preserve">  ↳ UbermenschLaser</t>
        </is>
      </c>
      <c r="C735" s="7" t="inlineStr">
        <is>
          <t>Armament@PRIMARY</t>
        </is>
      </c>
      <c r="L735" s="6" t="n">
        <v>16000</v>
      </c>
      <c r="M735" s="6" t="n">
        <v>30</v>
      </c>
      <c r="N735" s="6" t="n">
        <v>2</v>
      </c>
      <c r="O735" s="6" t="n">
        <v>3</v>
      </c>
      <c r="P735" s="6" t="n">
        <v>5801</v>
      </c>
      <c r="Q735" s="6" t="n">
        <v>1.125</v>
      </c>
      <c r="R735">
        <f>M735+IF(N735&gt;1,N(O735)*(N735-1),0)</f>
        <v/>
      </c>
      <c r="S735">
        <f>IFERROR(L735*MAX(N735,1)/R735*IF(ISBLANK(K734),1,K734),0)</f>
        <v/>
      </c>
      <c r="AB735" s="7" t="inlineStr">
        <is>
          <t>^Warhead_Tesla_Heavy, ^Warhead_CannonHE_Medium</t>
        </is>
      </c>
    </row>
    <row r="736">
      <c r="B736" s="7" t="inlineStr">
        <is>
          <t xml:space="preserve">  ↳ UbermenschLaser_elite</t>
        </is>
      </c>
      <c r="C736" s="7" t="inlineStr">
        <is>
          <t>Armament@ELITE</t>
        </is>
      </c>
      <c r="L736" s="6" t="n">
        <v>16000</v>
      </c>
      <c r="M736" s="6" t="n">
        <v>30</v>
      </c>
      <c r="N736" s="6" t="n">
        <v>4</v>
      </c>
      <c r="O736" s="6" t="n">
        <v>3</v>
      </c>
      <c r="P736" s="6" t="n">
        <v>6801</v>
      </c>
      <c r="Q736" s="6" t="n">
        <v>1.125</v>
      </c>
      <c r="R736">
        <f>M736+IF(N736&gt;1,N(O736)*(N736-1),0)</f>
        <v/>
      </c>
      <c r="S736">
        <f>IFERROR(L736*MAX(N736,1)/R736*IF(ISBLANK(K734),1,K734),0)</f>
        <v/>
      </c>
      <c r="AB736" s="7" t="inlineStr">
        <is>
          <t>^Warhead_Tesla_Heavy, ^Warhead_CannonHE_Medium</t>
        </is>
      </c>
    </row>
    <row r="737">
      <c r="B737" s="7" t="inlineStr">
        <is>
          <t xml:space="preserve">  ↳ UbermenschLaser</t>
        </is>
      </c>
      <c r="C737" s="7" t="inlineStr">
        <is>
          <t>Armament@GARRISONED</t>
        </is>
      </c>
      <c r="L737" s="6" t="n">
        <v>16000</v>
      </c>
      <c r="M737" s="6" t="n">
        <v>30</v>
      </c>
      <c r="N737" s="6" t="n">
        <v>2</v>
      </c>
      <c r="O737" s="6" t="n">
        <v>3</v>
      </c>
      <c r="P737" s="6" t="n">
        <v>5801</v>
      </c>
      <c r="Q737" s="6" t="n">
        <v>1.125</v>
      </c>
      <c r="R737">
        <f>M737+IF(N737&gt;1,N(O737)*(N737-1),0)</f>
        <v/>
      </c>
      <c r="S737">
        <f>IFERROR(L737*MAX(N737,1)/R737*IF(ISBLANK(K734),1,K734),0)</f>
        <v/>
      </c>
      <c r="AB737" s="7" t="inlineStr">
        <is>
          <t>^Warhead_Tesla_Heavy, ^Warhead_CannonHE_Medium</t>
        </is>
      </c>
    </row>
    <row r="738">
      <c r="B738" s="7" t="inlineStr">
        <is>
          <t xml:space="preserve">  ↳ UbermenschLaser_elite</t>
        </is>
      </c>
      <c r="C738" s="7" t="inlineStr">
        <is>
          <t>Armament@GARRISONEDELITE</t>
        </is>
      </c>
      <c r="L738" s="6" t="n">
        <v>16000</v>
      </c>
      <c r="M738" s="6" t="n">
        <v>30</v>
      </c>
      <c r="N738" s="6" t="n">
        <v>4</v>
      </c>
      <c r="O738" s="6" t="n">
        <v>3</v>
      </c>
      <c r="P738" s="6" t="n">
        <v>6801</v>
      </c>
      <c r="Q738" s="6" t="n">
        <v>1.125</v>
      </c>
      <c r="R738">
        <f>M738+IF(N738&gt;1,N(O738)*(N738-1),0)</f>
        <v/>
      </c>
      <c r="S738">
        <f>IFERROR(L738*MAX(N738,1)/R738*IF(ISBLANK(K734),1,K734),0)</f>
        <v/>
      </c>
      <c r="AB738" s="7" t="inlineStr">
        <is>
          <t>^Warhead_Tesla_Heavy, ^Warhead_CannonHE_Medium</t>
        </is>
      </c>
    </row>
    <row r="739">
      <c r="B739" s="7" t="inlineStr">
        <is>
          <t xml:space="preserve">  ↳ Lunar_YellowUbermenschLaser</t>
        </is>
      </c>
      <c r="C739" s="7" t="inlineStr">
        <is>
          <t>Armament@PRIMARY_UP</t>
        </is>
      </c>
      <c r="L739" s="6" t="n">
        <v>16000</v>
      </c>
      <c r="M739" s="6" t="n">
        <v>30</v>
      </c>
      <c r="N739" s="6" t="n">
        <v>3</v>
      </c>
      <c r="O739" s="6" t="n">
        <v>3</v>
      </c>
      <c r="P739" s="6" t="n">
        <v>5801</v>
      </c>
      <c r="Q739" s="6" t="n">
        <v>1.125</v>
      </c>
      <c r="R739">
        <f>M739+IF(N739&gt;1,N(O739)*(N739-1),0)</f>
        <v/>
      </c>
      <c r="S739">
        <f>IFERROR(L739*MAX(N739,1)/R739*IF(ISBLANK(K734),1,K734),0)</f>
        <v/>
      </c>
      <c r="AB739" s="7" t="inlineStr">
        <is>
          <t>^Warhead_Tesla_Heavy, ^Warhead_CannonHE_Medium</t>
        </is>
      </c>
    </row>
    <row r="740">
      <c r="B740" s="7" t="inlineStr">
        <is>
          <t xml:space="preserve">  ↳ Lunar_YellowUbermenschLaser_elite</t>
        </is>
      </c>
      <c r="C740" s="7" t="inlineStr">
        <is>
          <t>Armament@ELITE_UP</t>
        </is>
      </c>
      <c r="L740" s="6" t="n">
        <v>16000</v>
      </c>
      <c r="M740" s="6" t="n">
        <v>30</v>
      </c>
      <c r="N740" s="6" t="n">
        <v>5</v>
      </c>
      <c r="O740" s="6" t="n">
        <v>3</v>
      </c>
      <c r="P740" s="6" t="n">
        <v>6801</v>
      </c>
      <c r="Q740" s="6" t="n">
        <v>1.125</v>
      </c>
      <c r="R740">
        <f>M740+IF(N740&gt;1,N(O740)*(N740-1),0)</f>
        <v/>
      </c>
      <c r="S740">
        <f>IFERROR(L740*MAX(N740,1)/R740*IF(ISBLANK(K734),1,K734),0)</f>
        <v/>
      </c>
      <c r="AB740" s="7" t="inlineStr">
        <is>
          <t>^Warhead_Tesla_Heavy, ^Warhead_CannonHE_Medium</t>
        </is>
      </c>
    </row>
    <row r="741">
      <c r="B741" s="7" t="inlineStr">
        <is>
          <t xml:space="preserve">  ↳ Lunar_YellowUbermenschLaser</t>
        </is>
      </c>
      <c r="C741" s="7" t="inlineStr">
        <is>
          <t>Armament@GARRISONED_UP</t>
        </is>
      </c>
      <c r="L741" s="6" t="n">
        <v>16000</v>
      </c>
      <c r="M741" s="6" t="n">
        <v>30</v>
      </c>
      <c r="N741" s="6" t="n">
        <v>3</v>
      </c>
      <c r="O741" s="6" t="n">
        <v>3</v>
      </c>
      <c r="P741" s="6" t="n">
        <v>5801</v>
      </c>
      <c r="Q741" s="6" t="n">
        <v>1.125</v>
      </c>
      <c r="R741">
        <f>M741+IF(N741&gt;1,N(O741)*(N741-1),0)</f>
        <v/>
      </c>
      <c r="S741">
        <f>IFERROR(L741*MAX(N741,1)/R741*IF(ISBLANK(K734),1,K734),0)</f>
        <v/>
      </c>
      <c r="AB741" s="7" t="inlineStr">
        <is>
          <t>^Warhead_Tesla_Heavy, ^Warhead_CannonHE_Medium</t>
        </is>
      </c>
    </row>
    <row r="742">
      <c r="B742" s="7" t="inlineStr">
        <is>
          <t xml:space="preserve">  ↳ Lunar_YellowUbermenschLaser_elite</t>
        </is>
      </c>
      <c r="C742" s="7" t="inlineStr">
        <is>
          <t>Armament@GARRISONEDELITE_UP</t>
        </is>
      </c>
      <c r="L742" s="6" t="n">
        <v>16000</v>
      </c>
      <c r="M742" s="6" t="n">
        <v>30</v>
      </c>
      <c r="N742" s="6" t="n">
        <v>5</v>
      </c>
      <c r="O742" s="6" t="n">
        <v>3</v>
      </c>
      <c r="P742" s="6" t="n">
        <v>6801</v>
      </c>
      <c r="Q742" s="6" t="n">
        <v>1.125</v>
      </c>
      <c r="R742">
        <f>M742+IF(N742&gt;1,N(O742)*(N742-1),0)</f>
        <v/>
      </c>
      <c r="S742">
        <f>IFERROR(L742*MAX(N742,1)/R742*IF(ISBLANK(K734),1,K734),0)</f>
        <v/>
      </c>
      <c r="AB742" s="7" t="inlineStr">
        <is>
          <t>^Warhead_Tesla_Heavy, ^Warhead_CannonHE_Medium</t>
        </is>
      </c>
    </row>
    <row r="743">
      <c r="B743" s="7" t="inlineStr">
        <is>
          <t xml:space="preserve">  ↳ Lunar_AmplifiedUbermenschLaser</t>
        </is>
      </c>
      <c r="C743" s="7" t="inlineStr">
        <is>
          <t>Armament@PRIMARY_AMP</t>
        </is>
      </c>
      <c r="L743" s="6" t="n">
        <v>16000</v>
      </c>
      <c r="M743" s="6" t="n">
        <v>30</v>
      </c>
      <c r="N743" s="6" t="n">
        <v>4</v>
      </c>
      <c r="O743" s="6" t="n">
        <v>3</v>
      </c>
      <c r="P743" s="6" t="n">
        <v>5801</v>
      </c>
      <c r="Q743" s="6" t="n">
        <v>1.125</v>
      </c>
      <c r="R743">
        <f>M743+IF(N743&gt;1,N(O743)*(N743-1),0)</f>
        <v/>
      </c>
      <c r="S743">
        <f>IFERROR(L743*MAX(N743,1)/R743*IF(ISBLANK(K734),1,K734),0)</f>
        <v/>
      </c>
      <c r="AB743" s="7" t="inlineStr">
        <is>
          <t>^Warhead_Tesla_Heavy, ^Warhead_CannonHE_Medium</t>
        </is>
      </c>
    </row>
    <row r="744">
      <c r="B744" s="7" t="inlineStr">
        <is>
          <t xml:space="preserve">  ↳ Lunar_AmplifiedUbermenschLaser_elite</t>
        </is>
      </c>
      <c r="C744" s="7" t="inlineStr">
        <is>
          <t>Armament@ELITE_AMP</t>
        </is>
      </c>
      <c r="L744" s="6" t="n">
        <v>16000</v>
      </c>
      <c r="M744" s="6" t="n">
        <v>30</v>
      </c>
      <c r="N744" s="6" t="n">
        <v>6</v>
      </c>
      <c r="O744" s="6" t="n">
        <v>3</v>
      </c>
      <c r="P744" s="6" t="n">
        <v>6801</v>
      </c>
      <c r="Q744" s="6" t="n">
        <v>1.125</v>
      </c>
      <c r="R744">
        <f>M744+IF(N744&gt;1,N(O744)*(N744-1),0)</f>
        <v/>
      </c>
      <c r="S744">
        <f>IFERROR(L744*MAX(N744,1)/R744*IF(ISBLANK(K734),1,K734),0)</f>
        <v/>
      </c>
      <c r="AB744" s="7" t="inlineStr">
        <is>
          <t>^Warhead_Tesla_Heavy, ^Warhead_CannonHE_Medium</t>
        </is>
      </c>
    </row>
    <row r="745">
      <c r="B745" s="7" t="inlineStr">
        <is>
          <t xml:space="preserve">  ↳ Lunar_AmplifiedUbermenschLaser</t>
        </is>
      </c>
      <c r="C745" s="7" t="inlineStr">
        <is>
          <t>Armament@GARRISONED_AMP</t>
        </is>
      </c>
      <c r="L745" s="6" t="n">
        <v>16000</v>
      </c>
      <c r="M745" s="6" t="n">
        <v>30</v>
      </c>
      <c r="N745" s="6" t="n">
        <v>4</v>
      </c>
      <c r="O745" s="6" t="n">
        <v>3</v>
      </c>
      <c r="P745" s="6" t="n">
        <v>5801</v>
      </c>
      <c r="Q745" s="6" t="n">
        <v>1.125</v>
      </c>
      <c r="R745">
        <f>M745+IF(N745&gt;1,N(O745)*(N745-1),0)</f>
        <v/>
      </c>
      <c r="S745">
        <f>IFERROR(L745*MAX(N745,1)/R745*IF(ISBLANK(K734),1,K734),0)</f>
        <v/>
      </c>
      <c r="AB745" s="7" t="inlineStr">
        <is>
          <t>^Warhead_Tesla_Heavy, ^Warhead_CannonHE_Medium</t>
        </is>
      </c>
    </row>
    <row r="746">
      <c r="B746" s="7" t="inlineStr">
        <is>
          <t xml:space="preserve">  ↳ Lunar_AmplifiedUbermenschLaser_elite</t>
        </is>
      </c>
      <c r="C746" s="7" t="inlineStr">
        <is>
          <t>Armament@GARRISONEDELITE_AMP</t>
        </is>
      </c>
      <c r="L746" s="6" t="n">
        <v>16000</v>
      </c>
      <c r="M746" s="6" t="n">
        <v>30</v>
      </c>
      <c r="N746" s="6" t="n">
        <v>6</v>
      </c>
      <c r="O746" s="6" t="n">
        <v>3</v>
      </c>
      <c r="P746" s="6" t="n">
        <v>6801</v>
      </c>
      <c r="Q746" s="6" t="n">
        <v>1.125</v>
      </c>
      <c r="R746">
        <f>M746+IF(N746&gt;1,N(O746)*(N746-1),0)</f>
        <v/>
      </c>
      <c r="S746">
        <f>IFERROR(L746*MAX(N746,1)/R746*IF(ISBLANK(K734),1,K734),0)</f>
        <v/>
      </c>
      <c r="AB746" s="7" t="inlineStr">
        <is>
          <t>^Warhead_Tesla_Heavy, ^Warhead_CannonHE_Medium</t>
        </is>
      </c>
    </row>
    <row r="747">
      <c r="A747" t="inlineStr">
        <is>
          <t>redalert2mod</t>
        </is>
      </c>
      <c r="B747" t="inlineStr">
        <is>
          <t>tkm_juggernaut</t>
        </is>
      </c>
      <c r="C747" t="inlineStr">
        <is>
          <t>Juggernaut</t>
        </is>
      </c>
      <c r="D747" s="6" t="inlineStr">
        <is>
          <t>HeavyInfantry</t>
        </is>
      </c>
      <c r="E747" s="6" t="n">
        <v>36000</v>
      </c>
      <c r="F747" s="6" t="n">
        <v>45</v>
      </c>
      <c r="G747" t="inlineStr">
        <is>
          <t>Plate</t>
        </is>
      </c>
      <c r="H747" s="6" t="n">
        <v>0.6522</v>
      </c>
      <c r="I747" s="6" t="n">
        <v>1</v>
      </c>
      <c r="J747" s="6" t="n">
        <v>1</v>
      </c>
      <c r="K747" s="6" t="n"/>
      <c r="P747">
        <f>MAX(P748,P749)</f>
        <v/>
      </c>
      <c r="S747">
        <f>S748+S749</f>
        <v/>
      </c>
      <c r="T747">
        <f>(E747/100000+F747/100+(P747/1000)*J747/5+S747/200)*200*I747*H747</f>
        <v/>
      </c>
      <c r="U747">
        <f>((E747*F747/25000)+((P747/1000)*J747*S747/2.5))*I747*H747</f>
        <v/>
      </c>
      <c r="V747">
        <f>(E747*F747*(P747/1000)*J747*S747*I747*H747)/12500000</f>
        <v/>
      </c>
      <c r="W747">
        <f>(T747+U747+V747)/3</f>
        <v/>
      </c>
      <c r="X747" s="6" t="n">
        <v>650</v>
      </c>
      <c r="Y747">
        <f>IFERROR(W747-X747,"")</f>
        <v/>
      </c>
      <c r="Z747">
        <f>IFERROR(ABS(Y747)/MAX(X747,1),"")</f>
        <v/>
      </c>
      <c r="AA747">
        <f>IFERROR((X747-(((E747/100000+F747/100+S747/200)*200*I747*H747)+((E747*F747/25000)*I747*H747))/3)/(((J747/5)*200*I747*H747)+((J747*S747/2.5)*I747*H747)+((E747*F747*J747*S747*I747*H747)/12500000))/3*1000,"")</f>
        <v/>
      </c>
    </row>
    <row r="748">
      <c r="B748" s="7" t="inlineStr">
        <is>
          <t xml:space="preserve">  ↳ tkm_juggernaut</t>
        </is>
      </c>
      <c r="C748" s="7" t="inlineStr">
        <is>
          <t>Armament@PRIMARY</t>
        </is>
      </c>
      <c r="L748" s="6" t="n">
        <v>4000</v>
      </c>
      <c r="M748" s="6" t="n">
        <v>8</v>
      </c>
      <c r="N748" s="6" t="n">
        <v>1</v>
      </c>
      <c r="O748" s="6" t="n"/>
      <c r="P748" s="6" t="n">
        <v>4490</v>
      </c>
      <c r="Q748" s="6" t="n">
        <v>1</v>
      </c>
      <c r="R748">
        <f>M748+IF(N748&gt;1,N(O748)*(N748-1),0)</f>
        <v/>
      </c>
      <c r="S748">
        <f>IFERROR(L748*MAX(N748,1)/R748*IF(ISBLANK(K747),1,K747),0)</f>
        <v/>
      </c>
      <c r="AB748" s="7" t="inlineStr">
        <is>
          <t>^Warhead_Bullet_Medium</t>
        </is>
      </c>
    </row>
    <row r="749">
      <c r="B749" s="7" t="inlineStr">
        <is>
          <t xml:space="preserve">  ↳ tkmjuggap</t>
        </is>
      </c>
      <c r="C749" s="7" t="inlineStr">
        <is>
          <t>Armament@PRIMARYUPGRADE</t>
        </is>
      </c>
      <c r="L749" s="6" t="n">
        <v>8000</v>
      </c>
      <c r="M749" s="6" t="n">
        <v>9</v>
      </c>
      <c r="N749" s="6" t="n">
        <v>3</v>
      </c>
      <c r="O749" s="6" t="n">
        <v>6</v>
      </c>
      <c r="P749" s="6" t="n">
        <v>4792</v>
      </c>
      <c r="Q749" s="6" t="n">
        <v>0.75</v>
      </c>
      <c r="R749">
        <f>M749+IF(N749&gt;1,N(O749)*(N749-1),0)</f>
        <v/>
      </c>
      <c r="S749">
        <f>IFERROR(L749*MAX(N749,1)/R749*IF(ISBLANK(K747),1,K747),0)</f>
        <v/>
      </c>
      <c r="AB749" s="7" t="inlineStr">
        <is>
          <t>^Warhead_Bullet_Light, ^Warhead_Demolition_Light</t>
        </is>
      </c>
    </row>
    <row r="750">
      <c r="B750" s="7" t="inlineStr">
        <is>
          <t xml:space="preserve">  ↳ tkm_juggernaut</t>
        </is>
      </c>
      <c r="C750" s="7" t="inlineStr">
        <is>
          <t>Armament@GARRISONED</t>
        </is>
      </c>
      <c r="L750" s="6" t="n">
        <v>4000</v>
      </c>
      <c r="M750" s="6" t="n">
        <v>8</v>
      </c>
      <c r="N750" s="6" t="n">
        <v>1</v>
      </c>
      <c r="O750" s="6" t="n"/>
      <c r="P750" s="6" t="n">
        <v>4490</v>
      </c>
      <c r="Q750" s="6" t="n">
        <v>1</v>
      </c>
      <c r="R750">
        <f>M750+IF(N750&gt;1,N(O750)*(N750-1),0)</f>
        <v/>
      </c>
      <c r="S750">
        <f>IFERROR(L750*MAX(N750,1)/R750*IF(ISBLANK(K747),1,K747),0)</f>
        <v/>
      </c>
      <c r="AB750" s="7" t="inlineStr">
        <is>
          <t>^Warhead_Bullet_Medium</t>
        </is>
      </c>
    </row>
    <row r="751">
      <c r="B751" s="7" t="inlineStr">
        <is>
          <t xml:space="preserve">  ↳ tkmjuggap</t>
        </is>
      </c>
      <c r="C751" s="7" t="inlineStr">
        <is>
          <t>Armament@GARRISONEDUPGRADE</t>
        </is>
      </c>
      <c r="L751" s="6" t="n">
        <v>8000</v>
      </c>
      <c r="M751" s="6" t="n">
        <v>9</v>
      </c>
      <c r="N751" s="6" t="n">
        <v>3</v>
      </c>
      <c r="O751" s="6" t="n">
        <v>6</v>
      </c>
      <c r="P751" s="6" t="n">
        <v>4792</v>
      </c>
      <c r="Q751" s="6" t="n">
        <v>0.75</v>
      </c>
      <c r="R751">
        <f>M751+IF(N751&gt;1,N(O751)*(N751-1),0)</f>
        <v/>
      </c>
      <c r="S751">
        <f>IFERROR(L751*MAX(N751,1)/R751*IF(ISBLANK(K747),1,K747),0)</f>
        <v/>
      </c>
      <c r="AB751" s="7" t="inlineStr">
        <is>
          <t>^Warhead_Bullet_Light, ^Warhead_Demolition_Light</t>
        </is>
      </c>
    </row>
    <row r="752">
      <c r="A752" t="inlineStr">
        <is>
          <t>d2k</t>
        </is>
      </c>
      <c r="B752" t="inlineStr">
        <is>
          <t>ordos_chemicaltrooper</t>
        </is>
      </c>
      <c r="C752" t="inlineStr">
        <is>
          <t>Ordos Chemical Trooper</t>
        </is>
      </c>
      <c r="D752" s="6" t="inlineStr">
        <is>
          <t>HeavyInfantry</t>
        </is>
      </c>
      <c r="E752" s="6" t="n">
        <v>30000</v>
      </c>
      <c r="F752" s="6" t="n">
        <v>45</v>
      </c>
      <c r="G752" t="inlineStr">
        <is>
          <t>Plate</t>
        </is>
      </c>
      <c r="H752" s="6" t="n">
        <v>1</v>
      </c>
      <c r="I752" s="6" t="n">
        <v>0.8</v>
      </c>
      <c r="J752" s="6" t="n">
        <v>1</v>
      </c>
      <c r="K752" s="6" t="n"/>
      <c r="P752">
        <f>MAX(P753)</f>
        <v/>
      </c>
      <c r="S752">
        <f>S753</f>
        <v/>
      </c>
      <c r="T752">
        <f>(E752/100000+F752/100+(P752/1000)*J752/5+S752/200)*200*I752*H752</f>
        <v/>
      </c>
      <c r="U752">
        <f>((E752*F752/25000)+((P752/1000)*J752*S752/2.5))*I752*H752</f>
        <v/>
      </c>
      <c r="V752">
        <f>(E752*F752*(P752/1000)*J752*S752*I752*H752)/12500000</f>
        <v/>
      </c>
      <c r="W752">
        <f>(T752+U752+V752)/3</f>
        <v/>
      </c>
      <c r="X752" s="6" t="n">
        <v>400</v>
      </c>
      <c r="Y752">
        <f>IFERROR(W752-X752,"")</f>
        <v/>
      </c>
      <c r="Z752">
        <f>IFERROR(ABS(Y752)/MAX(X752,1),"")</f>
        <v/>
      </c>
      <c r="AA752">
        <f>IFERROR((X752-(((E752/100000+F752/100+S752/200)*200*I752*H752)+((E752*F752/25000)*I752*H752))/3)/(((J752/5)*200*I752*H752)+((J752*S752/2.5)*I752*H752)+((E752*F752*J752*S752*I752*H752)/12500000))/3*1000,"")</f>
        <v/>
      </c>
    </row>
    <row r="753">
      <c r="B753" s="7" t="inlineStr">
        <is>
          <t xml:space="preserve">  ↳ d2k_chemgun</t>
        </is>
      </c>
      <c r="C753" s="7" t="inlineStr">
        <is>
          <t>Armament@PRIMARY</t>
        </is>
      </c>
      <c r="L753" s="6" t="n">
        <v>30000</v>
      </c>
      <c r="M753" s="6" t="n">
        <v>75</v>
      </c>
      <c r="N753" s="6" t="n">
        <v>1</v>
      </c>
      <c r="O753" s="6" t="n"/>
      <c r="P753" s="6" t="n">
        <v>5177</v>
      </c>
      <c r="Q753" s="6" t="n">
        <v>0.75</v>
      </c>
      <c r="R753">
        <f>M753+IF(N753&gt;1,N(O753)*(N753-1),0)</f>
        <v/>
      </c>
      <c r="S753">
        <f>IFERROR(L753*MAX(N753,1)/R753*IF(ISBLANK(K752),1,K752),0)</f>
        <v/>
      </c>
      <c r="AB753" s="7" t="inlineStr">
        <is>
          <t>^Warhead_Chemical_Light</t>
        </is>
      </c>
    </row>
    <row r="754">
      <c r="B754" s="7" t="inlineStr">
        <is>
          <t xml:space="preserve">  ↳ d2k_chemgun</t>
        </is>
      </c>
      <c r="C754" s="7" t="inlineStr">
        <is>
          <t>Armament@GARRISONED</t>
        </is>
      </c>
      <c r="L754" s="6" t="n">
        <v>30000</v>
      </c>
      <c r="M754" s="6" t="n">
        <v>75</v>
      </c>
      <c r="N754" s="6" t="n">
        <v>1</v>
      </c>
      <c r="O754" s="6" t="n"/>
      <c r="P754" s="6" t="n">
        <v>5177</v>
      </c>
      <c r="Q754" s="6" t="n">
        <v>0.75</v>
      </c>
      <c r="R754">
        <f>M754+IF(N754&gt;1,N(O754)*(N754-1),0)</f>
        <v/>
      </c>
      <c r="S754">
        <f>IFERROR(L754*MAX(N754,1)/R754*IF(ISBLANK(K752),1,K752),0)</f>
        <v/>
      </c>
      <c r="AB754" s="7" t="inlineStr">
        <is>
          <t>^Warhead_Chemical_Light</t>
        </is>
      </c>
    </row>
    <row r="755">
      <c r="A755" t="inlineStr">
        <is>
          <t>d2k</t>
        </is>
      </c>
      <c r="B755" t="inlineStr">
        <is>
          <t>ixian_shockinfantry</t>
        </is>
      </c>
      <c r="C755" t="inlineStr">
        <is>
          <t>Shock Infantry</t>
        </is>
      </c>
      <c r="D755" s="6" t="inlineStr">
        <is>
          <t>HeavyInfantry</t>
        </is>
      </c>
      <c r="E755" s="6" t="n">
        <v>36000</v>
      </c>
      <c r="F755" s="6" t="n">
        <v>45</v>
      </c>
      <c r="G755" t="inlineStr">
        <is>
          <t>Plate</t>
        </is>
      </c>
      <c r="H755" s="6" t="n">
        <v>0.5238</v>
      </c>
      <c r="I755" s="6" t="n">
        <v>1</v>
      </c>
      <c r="J755" s="6" t="n">
        <v>1</v>
      </c>
      <c r="K755" s="6" t="n"/>
      <c r="P755">
        <f>MAX(P756)</f>
        <v/>
      </c>
      <c r="S755">
        <f>S756</f>
        <v/>
      </c>
      <c r="T755">
        <f>(E755/100000+F755/100+(P755/1000)*J755/5+S755/200)*200*I755*H755</f>
        <v/>
      </c>
      <c r="U755">
        <f>((E755*F755/25000)+((P755/1000)*J755*S755/2.5))*I755*H755</f>
        <v/>
      </c>
      <c r="V755">
        <f>(E755*F755*(P755/1000)*J755*S755*I755*H755)/12500000</f>
        <v/>
      </c>
      <c r="W755">
        <f>(T755+U755+V755)/3</f>
        <v/>
      </c>
      <c r="X755" s="6" t="n">
        <v>500</v>
      </c>
      <c r="Y755">
        <f>IFERROR(W755-X755,"")</f>
        <v/>
      </c>
      <c r="Z755">
        <f>IFERROR(ABS(Y755)/MAX(X755,1),"")</f>
        <v/>
      </c>
      <c r="AA755">
        <f>IFERROR((X755-(((E755/100000+F755/100+S755/200)*200*I755*H755)+((E755*F755/25000)*I755*H755))/3)/(((J755/5)*200*I755*H755)+((J755*S755/2.5)*I755*H755)+((E755*F755*J755*S755*I755*H755)/12500000))/3*1000,"")</f>
        <v/>
      </c>
    </row>
    <row r="756">
      <c r="B756" s="7" t="inlineStr">
        <is>
          <t xml:space="preserve">  ↳ D2K_ShockGunInf</t>
        </is>
      </c>
      <c r="C756" s="7" t="inlineStr">
        <is>
          <t>Armament@PRIMARY</t>
        </is>
      </c>
      <c r="L756" s="6" t="n">
        <v>18000</v>
      </c>
      <c r="M756" s="6" t="n">
        <v>45</v>
      </c>
      <c r="N756" s="6" t="n">
        <v>1</v>
      </c>
      <c r="O756" s="6" t="n"/>
      <c r="P756" s="6" t="n">
        <v>5818</v>
      </c>
      <c r="Q756" s="6" t="n">
        <v>1.25</v>
      </c>
      <c r="R756">
        <f>M756+IF(N756&gt;1,N(O756)*(N756-1),0)</f>
        <v/>
      </c>
      <c r="S756">
        <f>IFERROR(L756*MAX(N756,1)/R756*IF(ISBLANK(K755),1,K755),0)</f>
        <v/>
      </c>
      <c r="AB756" s="7" t="inlineStr">
        <is>
          <t>^Warhead_Storm_Heavy</t>
        </is>
      </c>
    </row>
    <row r="757">
      <c r="B757" s="7" t="inlineStr">
        <is>
          <t xml:space="preserve">  ↳ D2K_ShockGunInf</t>
        </is>
      </c>
      <c r="C757" s="7" t="inlineStr">
        <is>
          <t>Armament@GARRISONED</t>
        </is>
      </c>
      <c r="L757" s="6" t="n">
        <v>18000</v>
      </c>
      <c r="M757" s="6" t="n">
        <v>45</v>
      </c>
      <c r="N757" s="6" t="n">
        <v>1</v>
      </c>
      <c r="O757" s="6" t="n"/>
      <c r="P757" s="6" t="n">
        <v>5818</v>
      </c>
      <c r="Q757" s="6" t="n">
        <v>1.25</v>
      </c>
      <c r="R757">
        <f>M757+IF(N757&gt;1,N(O757)*(N757-1),0)</f>
        <v/>
      </c>
      <c r="S757">
        <f>IFERROR(L757*MAX(N757,1)/R757*IF(ISBLANK(K755),1,K755),0)</f>
        <v/>
      </c>
      <c r="AB757" s="7" t="inlineStr">
        <is>
          <t>^Warhead_Storm_Heavy</t>
        </is>
      </c>
    </row>
    <row r="758">
      <c r="A758" t="inlineStr">
        <is>
          <t>d2k</t>
        </is>
      </c>
      <c r="B758" t="inlineStr">
        <is>
          <t>ixian_storminfantry</t>
        </is>
      </c>
      <c r="C758" t="inlineStr">
        <is>
          <t>Storm Infantry</t>
        </is>
      </c>
      <c r="D758" s="6" t="inlineStr">
        <is>
          <t>HeavyInfantry</t>
        </is>
      </c>
      <c r="E758" s="6" t="n">
        <v>44000</v>
      </c>
      <c r="F758" s="6" t="n">
        <v>44</v>
      </c>
      <c r="G758" t="inlineStr">
        <is>
          <t>Plate</t>
        </is>
      </c>
      <c r="H758" s="6" t="n">
        <v>0.5238</v>
      </c>
      <c r="I758" s="6" t="n">
        <v>1</v>
      </c>
      <c r="J758" s="6" t="n">
        <v>1</v>
      </c>
      <c r="K758" s="6" t="n"/>
      <c r="P758">
        <f>MAX(P759)</f>
        <v/>
      </c>
      <c r="S758">
        <f>S759</f>
        <v/>
      </c>
      <c r="T758">
        <f>(E758/100000+F758/100+(P758/1000)*J758/5+S758/200)*200*I758*H758</f>
        <v/>
      </c>
      <c r="U758">
        <f>((E758*F758/25000)+((P758/1000)*J758*S758/2.5))*I758*H758</f>
        <v/>
      </c>
      <c r="V758">
        <f>(E758*F758*(P758/1000)*J758*S758*I758*H758)/12500000</f>
        <v/>
      </c>
      <c r="W758">
        <f>(T758+U758+V758)/3</f>
        <v/>
      </c>
      <c r="X758" s="6" t="n">
        <v>800</v>
      </c>
      <c r="Y758">
        <f>IFERROR(W758-X758,"")</f>
        <v/>
      </c>
      <c r="Z758">
        <f>IFERROR(ABS(Y758)/MAX(X758,1),"")</f>
        <v/>
      </c>
      <c r="AA758">
        <f>IFERROR((X758-(((E758/100000+F758/100+S758/200)*200*I758*H758)+((E758*F758/25000)*I758*H758))/3)/(((J758/5)*200*I758*H758)+((J758*S758/2.5)*I758*H758)+((E758*F758*J758*S758*I758*H758)/12500000))/3*1000,"")</f>
        <v/>
      </c>
    </row>
    <row r="759">
      <c r="B759" s="7" t="inlineStr">
        <is>
          <t xml:space="preserve">  ↳ D2K_StormGunInf</t>
        </is>
      </c>
      <c r="C759" s="7" t="inlineStr">
        <is>
          <t>Armament@PRIMARY</t>
        </is>
      </c>
      <c r="L759" s="6" t="n">
        <v>24000</v>
      </c>
      <c r="M759" s="6" t="n">
        <v>66</v>
      </c>
      <c r="N759" s="6" t="n">
        <v>1</v>
      </c>
      <c r="O759" s="6" t="n"/>
      <c r="P759" s="6" t="n">
        <v>6275</v>
      </c>
      <c r="Q759" s="6" t="n">
        <v>1.25</v>
      </c>
      <c r="R759">
        <f>M759+IF(N759&gt;1,N(O759)*(N759-1),0)</f>
        <v/>
      </c>
      <c r="S759">
        <f>IFERROR(L759*MAX(N759,1)/R759*IF(ISBLANK(K758),1,K758),0)</f>
        <v/>
      </c>
      <c r="AB759" s="7" t="inlineStr">
        <is>
          <t>^Warhead_Storm_Heavy</t>
        </is>
      </c>
    </row>
    <row r="760">
      <c r="B760" s="7" t="inlineStr">
        <is>
          <t xml:space="preserve">  ↳ D2K_StormGunInf</t>
        </is>
      </c>
      <c r="C760" s="7" t="inlineStr">
        <is>
          <t>Armament@GARRISONED</t>
        </is>
      </c>
      <c r="L760" s="6" t="n">
        <v>24000</v>
      </c>
      <c r="M760" s="6" t="n">
        <v>66</v>
      </c>
      <c r="N760" s="6" t="n">
        <v>1</v>
      </c>
      <c r="O760" s="6" t="n"/>
      <c r="P760" s="6" t="n">
        <v>6275</v>
      </c>
      <c r="Q760" s="6" t="n">
        <v>1.25</v>
      </c>
      <c r="R760">
        <f>M760+IF(N760&gt;1,N(O760)*(N760-1),0)</f>
        <v/>
      </c>
      <c r="S760">
        <f>IFERROR(L760*MAX(N760,1)/R760*IF(ISBLANK(K758),1,K758),0)</f>
        <v/>
      </c>
      <c r="AB760" s="7" t="inlineStr">
        <is>
          <t>^Warhead_Storm_Heavy</t>
        </is>
      </c>
    </row>
    <row r="761">
      <c r="A761" t="inlineStr">
        <is>
          <t>starcraft</t>
        </is>
      </c>
      <c r="B761" t="inlineStr">
        <is>
          <t>protoss_adept</t>
        </is>
      </c>
      <c r="C761" t="inlineStr">
        <is>
          <t>Adept</t>
        </is>
      </c>
      <c r="D761" s="6" t="inlineStr">
        <is>
          <t>HeavyInfantry</t>
        </is>
      </c>
      <c r="E761" s="6" t="n">
        <v>30000</v>
      </c>
      <c r="F761" s="6" t="n">
        <v>70</v>
      </c>
      <c r="G761" t="inlineStr">
        <is>
          <t>Plate</t>
        </is>
      </c>
      <c r="H761" s="6" t="n">
        <v>1</v>
      </c>
      <c r="I761" s="6" t="n">
        <v>1</v>
      </c>
      <c r="J761" s="6" t="n">
        <v>1</v>
      </c>
      <c r="K761" s="6" t="n"/>
      <c r="P761">
        <f>MAX(P762)</f>
        <v/>
      </c>
      <c r="S761">
        <f>S762</f>
        <v/>
      </c>
      <c r="T761">
        <f>(E761/100000+F761/100+(P761/1000)*J761/5+S761/200)*200*I761*H761</f>
        <v/>
      </c>
      <c r="U761">
        <f>((E761*F761/25000)+((P761/1000)*J761*S761/2.5))*I761*H761</f>
        <v/>
      </c>
      <c r="V761">
        <f>(E761*F761*(P761/1000)*J761*S761*I761*H761)/12500000</f>
        <v/>
      </c>
      <c r="W761">
        <f>(T761+U761+V761)/3</f>
        <v/>
      </c>
      <c r="X761" s="6" t="n">
        <v>650</v>
      </c>
      <c r="Y761">
        <f>IFERROR(W761-X761,"")</f>
        <v/>
      </c>
      <c r="Z761">
        <f>IFERROR(ABS(Y761)/MAX(X761,1),"")</f>
        <v/>
      </c>
      <c r="AA761">
        <f>IFERROR((X761-(((E761/100000+F761/100+S761/200)*200*I761*H761)+((E761*F761/25000)*I761*H761))/3)/(((J761/5)*200*I761*H761)+((J761*S761/2.5)*I761*H761)+((E761*F761*J761*S761*I761*H761)/12500000))/3*1000,"")</f>
        <v/>
      </c>
    </row>
    <row r="762">
      <c r="B762" s="7" t="inlineStr">
        <is>
          <t xml:space="preserve">  ↳ GlaveCanon</t>
        </is>
      </c>
      <c r="C762" s="7" t="inlineStr">
        <is>
          <t>Armament</t>
        </is>
      </c>
      <c r="L762" s="6" t="n">
        <v>16000</v>
      </c>
      <c r="M762" s="6" t="n">
        <v>40</v>
      </c>
      <c r="N762" s="6" t="n">
        <v>1</v>
      </c>
      <c r="O762" s="6" t="n"/>
      <c r="P762" s="6" t="n">
        <v>5250</v>
      </c>
      <c r="Q762" s="6" t="n">
        <v>1</v>
      </c>
      <c r="R762">
        <f>M762+IF(N762&gt;1,N(O762)*(N762-1),0)</f>
        <v/>
      </c>
      <c r="S762">
        <f>IFERROR(L762*MAX(N762,1)/R762*IF(ISBLANK(K761),1,K761),0)</f>
        <v/>
      </c>
      <c r="AB762" s="7" t="inlineStr">
        <is>
          <t>^Warhead_Demolition_Light, ^Warhead_Railgun_Heavy</t>
        </is>
      </c>
    </row>
    <row r="763">
      <c r="B763" s="7" t="inlineStr">
        <is>
          <t xml:space="preserve">  ↳ GlaveCanon</t>
        </is>
      </c>
      <c r="C763" s="7" t="inlineStr">
        <is>
          <t>Armament@GARRISONED</t>
        </is>
      </c>
      <c r="L763" s="6" t="n">
        <v>16000</v>
      </c>
      <c r="M763" s="6" t="n">
        <v>40</v>
      </c>
      <c r="N763" s="6" t="n">
        <v>1</v>
      </c>
      <c r="O763" s="6" t="n"/>
      <c r="P763" s="6" t="n">
        <v>5250</v>
      </c>
      <c r="Q763" s="6" t="n">
        <v>1</v>
      </c>
      <c r="R763">
        <f>M763+IF(N763&gt;1,N(O763)*(N763-1),0)</f>
        <v/>
      </c>
      <c r="S763">
        <f>IFERROR(L763*MAX(N763,1)/R763*IF(ISBLANK(K761),1,K761),0)</f>
        <v/>
      </c>
      <c r="AB763" s="7" t="inlineStr">
        <is>
          <t>^Warhead_Demolition_Light, ^Warhead_Railgun_Heavy</t>
        </is>
      </c>
    </row>
    <row r="764">
      <c r="A764" t="inlineStr">
        <is>
          <t>starcraft</t>
        </is>
      </c>
      <c r="B764" t="inlineStr">
        <is>
          <t>terran_marauder</t>
        </is>
      </c>
      <c r="C764" t="inlineStr">
        <is>
          <t>Marauder</t>
        </is>
      </c>
      <c r="D764" s="6" t="inlineStr">
        <is>
          <t>HeavyInfantry</t>
        </is>
      </c>
      <c r="E764" s="6" t="n">
        <v>90000</v>
      </c>
      <c r="F764" s="6" t="n">
        <v>45</v>
      </c>
      <c r="G764" t="inlineStr">
        <is>
          <t>Plate</t>
        </is>
      </c>
      <c r="H764" s="6" t="n">
        <v>1</v>
      </c>
      <c r="I764" s="6" t="n">
        <v>0.8</v>
      </c>
      <c r="J764" s="6" t="n">
        <v>1</v>
      </c>
      <c r="K764" s="6" t="n"/>
      <c r="P764">
        <f>MAX(P765)</f>
        <v/>
      </c>
      <c r="S764">
        <f>S765</f>
        <v/>
      </c>
      <c r="T764">
        <f>(E764/100000+F764/100+(P764/1000)*J764/5+S764/200)*200*I764*H764</f>
        <v/>
      </c>
      <c r="U764">
        <f>((E764*F764/25000)+((P764/1000)*J764*S764/2.5))*I764*H764</f>
        <v/>
      </c>
      <c r="V764">
        <f>(E764*F764*(P764/1000)*J764*S764*I764*H764)/12500000</f>
        <v/>
      </c>
      <c r="W764">
        <f>(((E764/50000)+(F764/50)+(S764/1000)+((P764/5000)*J764))*800/4+(((E764/50000)*(F764/50))+(((P764/5000)*J764)*(S764/1000)))*800/2+((E764/50000)*(F764/50)*((P764/5000)*J764)*(S764/1000))*800)*(H764/0.75)/3</f>
        <v/>
      </c>
      <c r="X764" s="6" t="n">
        <v>1000</v>
      </c>
      <c r="Y764">
        <f>IFERROR(W764-X764,"")</f>
        <v/>
      </c>
      <c r="Z764">
        <f>IFERROR(ABS(Y764)/MAX(X764,1),"")</f>
        <v/>
      </c>
      <c r="AA764">
        <f>IFERROR(ROUND(((3*X764-(((E764/50000)+(F764/50)+(S764/1000))*800/4+((E764/50000)*(F764/50))*800/2)*(H764/0.75))/(800/4+((S764/1000))*800/2+((E764/50000)*(F764/50)*(S764/1000))*800)*(H764/0.75)*5000)/J764,-1),"")</f>
        <v/>
      </c>
    </row>
    <row r="765">
      <c r="B765" s="7" t="inlineStr">
        <is>
          <t xml:space="preserve">  ↳ MarauderMissiles</t>
        </is>
      </c>
      <c r="C765" s="7" t="inlineStr">
        <is>
          <t>Armament@1</t>
        </is>
      </c>
      <c r="L765" s="6" t="n">
        <v>30000</v>
      </c>
      <c r="M765" s="6" t="n">
        <v>60</v>
      </c>
      <c r="N765" s="6" t="n">
        <v>1</v>
      </c>
      <c r="O765" s="6" t="n"/>
      <c r="P765" s="6" t="n">
        <v>7010</v>
      </c>
      <c r="Q765" s="6" t="n">
        <v>1.25</v>
      </c>
      <c r="R765">
        <f>M765+IF(N765&gt;1,N(O765)*(N765-1),0)</f>
        <v/>
      </c>
      <c r="S765">
        <f>IFERROR(L765*MAX(N765,1)/R765*IF(ISBLANK(K764),1,K764),0)</f>
        <v/>
      </c>
      <c r="AB765" s="7" t="inlineStr">
        <is>
          <t>^Warhead_CannonHE_Heavy</t>
        </is>
      </c>
    </row>
    <row r="766">
      <c r="B766" s="7" t="inlineStr">
        <is>
          <t xml:space="preserve">  ↳ MarauderMissiles</t>
        </is>
      </c>
      <c r="C766" s="7" t="inlineStr">
        <is>
          <t>Armament@GARRISONED1</t>
        </is>
      </c>
      <c r="L766" s="6" t="n">
        <v>30000</v>
      </c>
      <c r="M766" s="6" t="n">
        <v>60</v>
      </c>
      <c r="N766" s="6" t="n">
        <v>1</v>
      </c>
      <c r="O766" s="6" t="n"/>
      <c r="P766" s="6" t="n">
        <v>7010</v>
      </c>
      <c r="Q766" s="6" t="n">
        <v>1.25</v>
      </c>
      <c r="R766">
        <f>M766+IF(N766&gt;1,N(O766)*(N766-1),0)</f>
        <v/>
      </c>
      <c r="S766">
        <f>IFERROR(L766*MAX(N766,1)/R766*IF(ISBLANK(K764),1,K764),0)</f>
        <v/>
      </c>
      <c r="AB766" s="7" t="inlineStr">
        <is>
          <t>^Warhead_CannonHE_Heavy</t>
        </is>
      </c>
    </row>
    <row r="767">
      <c r="A767" t="inlineStr">
        <is>
          <t>warcraft2</t>
        </is>
      </c>
      <c r="B767" t="inlineStr">
        <is>
          <t>wc2_humans_dwarvenrifleman</t>
        </is>
      </c>
      <c r="C767" t="inlineStr">
        <is>
          <t>Dwarven Rifleman</t>
        </is>
      </c>
      <c r="D767" s="6" t="inlineStr">
        <is>
          <t>HeavyInfantry</t>
        </is>
      </c>
      <c r="E767" s="6" t="n">
        <v>24000</v>
      </c>
      <c r="F767" s="6" t="n">
        <v>64</v>
      </c>
      <c r="G767" t="inlineStr">
        <is>
          <t>Plate</t>
        </is>
      </c>
      <c r="H767" s="6" t="n">
        <v>1</v>
      </c>
      <c r="I767" s="6" t="n">
        <v>0.8</v>
      </c>
      <c r="J767" s="6" t="n">
        <v>1</v>
      </c>
      <c r="K767" s="6" t="n">
        <v>0.005</v>
      </c>
      <c r="P767">
        <f>MAX(P768)</f>
        <v/>
      </c>
      <c r="S767">
        <f>S768</f>
        <v/>
      </c>
      <c r="T767">
        <f>(E767/100000+F767/100+(P767/1000)*J767/5+S767/200)*200*I767*H767</f>
        <v/>
      </c>
      <c r="U767">
        <f>((E767*F767/25000)+((P767/1000)*J767*S767/2.5))*I767*H767</f>
        <v/>
      </c>
      <c r="V767">
        <f>(E767*F767*(P767/1000)*J767*S767*I767*H767)/12500000</f>
        <v/>
      </c>
      <c r="W767">
        <f>(T767+U767+V767)/3</f>
        <v/>
      </c>
      <c r="X767" s="6" t="n">
        <v>600</v>
      </c>
      <c r="Y767">
        <f>IFERROR(W767-X767,"")</f>
        <v/>
      </c>
      <c r="Z767">
        <f>IFERROR(ABS(Y767)/MAX(X767,1),"")</f>
        <v/>
      </c>
      <c r="AA767">
        <f>IFERROR((X767-(((E767/100000+F767/100+S767/200)*200*I767*H767)+((E767*F767/25000)*I767*H767))/3)/(((J767/5)*200*I767*H767)+((J767*S767/2.5)*I767*H767)+((E767*F767*J767*S767*I767*H767)/12500000))/3*1000,"")</f>
        <v/>
      </c>
    </row>
    <row r="768">
      <c r="B768" s="7" t="inlineStr">
        <is>
          <t xml:space="preserve">  ↳ wc2_dwarf_Rifle</t>
        </is>
      </c>
      <c r="C768" s="7" t="inlineStr">
        <is>
          <t>Armament</t>
        </is>
      </c>
      <c r="L768" s="6" t="n">
        <v>24000</v>
      </c>
      <c r="M768" s="6" t="n">
        <v>60</v>
      </c>
      <c r="N768" s="6" t="n">
        <v>1</v>
      </c>
      <c r="O768" s="6" t="n"/>
      <c r="P768" s="6" t="n">
        <v>6936</v>
      </c>
      <c r="Q768" s="6" t="n">
        <v>1</v>
      </c>
      <c r="R768">
        <f>M768+IF(N768&gt;1,N(O768)*(N768-1),0)</f>
        <v/>
      </c>
      <c r="S768">
        <f>IFERROR(L768*MAX(N768,1)/R768*IF(ISBLANK(K767),1,K767),0)</f>
        <v/>
      </c>
      <c r="AB768" s="7" t="inlineStr">
        <is>
          <t>^RailgunWeapon, ^MediumMissile, ^TankDestroyerCannon</t>
        </is>
      </c>
    </row>
    <row r="769">
      <c r="B769" s="7" t="inlineStr">
        <is>
          <t xml:space="preserve">  ↳ wc2_dwarf_Rifle</t>
        </is>
      </c>
      <c r="C769" s="7" t="inlineStr">
        <is>
          <t>Armament@GARRISONED</t>
        </is>
      </c>
      <c r="L769" s="6" t="n">
        <v>24000</v>
      </c>
      <c r="M769" s="6" t="n">
        <v>60</v>
      </c>
      <c r="N769" s="6" t="n">
        <v>1</v>
      </c>
      <c r="O769" s="6" t="n"/>
      <c r="P769" s="6" t="n">
        <v>6936</v>
      </c>
      <c r="Q769" s="6" t="n">
        <v>1</v>
      </c>
      <c r="R769">
        <f>M769+IF(N769&gt;1,N(O769)*(N769-1),0)</f>
        <v/>
      </c>
      <c r="S769">
        <f>IFERROR(L769*MAX(N769,1)/R769*IF(ISBLANK(K767),1,K767),0)</f>
        <v/>
      </c>
      <c r="AB769" s="7" t="inlineStr">
        <is>
          <t>^RailgunWeapon, ^MediumMissile, ^TankDestroyerCannon</t>
        </is>
      </c>
    </row>
    <row r="770">
      <c r="A770" s="4" t="inlineStr">
        <is>
          <t>MeleeInfantry</t>
        </is>
      </c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</row>
    <row r="771">
      <c r="A771" t="inlineStr">
        <is>
          <t>tiberiandawn</t>
        </is>
      </c>
      <c r="B771" t="inlineStr">
        <is>
          <t>td_nod_chemicalwarrior</t>
        </is>
      </c>
      <c r="C771" t="inlineStr">
        <is>
          <t>Chemical Warrior</t>
        </is>
      </c>
      <c r="D771" s="6" t="inlineStr">
        <is>
          <t>MeleeInfantry</t>
        </is>
      </c>
      <c r="E771" s="6" t="n">
        <v>48000</v>
      </c>
      <c r="F771" s="6" t="n">
        <v>48</v>
      </c>
      <c r="G771" t="inlineStr">
        <is>
          <t>Plate</t>
        </is>
      </c>
      <c r="H771" s="6" t="n">
        <v>0.75</v>
      </c>
      <c r="I771" s="6" t="n">
        <v>0.75</v>
      </c>
      <c r="J771" s="6" t="n">
        <v>1</v>
      </c>
      <c r="K771" s="6" t="n"/>
      <c r="P771">
        <f>MAX(P772)</f>
        <v/>
      </c>
      <c r="S771">
        <f>S772</f>
        <v/>
      </c>
      <c r="T771">
        <f>(E771/100000+F771/100+(P771/1000)*J771/5+S771/200)*200*I771*H771</f>
        <v/>
      </c>
      <c r="U771">
        <f>((E771*F771/25000)+((P771/1000)*J771*S771/2.5))*I771*H771</f>
        <v/>
      </c>
      <c r="V771">
        <f>(E771*F771*(P771/1000)*J771*S771*I771*H771)/12500000</f>
        <v/>
      </c>
      <c r="W771">
        <f>(T771+U771+V771)/3</f>
        <v/>
      </c>
      <c r="X771" s="6" t="n">
        <v>500</v>
      </c>
      <c r="Y771">
        <f>IFERROR(W771-X771,"")</f>
        <v/>
      </c>
      <c r="Z771">
        <f>IFERROR(ABS(Y771)/MAX(X771,1),"")</f>
        <v/>
      </c>
      <c r="AA771">
        <f>IFERROR((X771-(((E771/100000+F771/100+S771/200)*200*I771*H771)+((E771*F771/25000)*I771*H771))/3)/(((J771/5)*200*I771*H771)+((J771*S771/2.5)*I771*H771)+((E771*F771*J771*S771*I771*H771)/12500000))/3*1000,"")</f>
        <v/>
      </c>
    </row>
    <row r="772">
      <c r="B772" s="7" t="inlineStr">
        <is>
          <t xml:space="preserve">  ↳ Chemspray</t>
        </is>
      </c>
      <c r="C772" s="7" t="inlineStr">
        <is>
          <t>Armament</t>
        </is>
      </c>
      <c r="L772" s="6" t="n">
        <v>48000</v>
      </c>
      <c r="M772" s="6" t="n">
        <v>48</v>
      </c>
      <c r="N772" s="6" t="n">
        <v>1</v>
      </c>
      <c r="O772" s="6" t="n"/>
      <c r="P772" s="6" t="n">
        <v>3414</v>
      </c>
      <c r="Q772" s="6" t="n">
        <v>0.75</v>
      </c>
      <c r="R772">
        <f>M772+IF(N772&gt;1,N(O772)*(N772-1),0)</f>
        <v/>
      </c>
      <c r="S772">
        <f>IFERROR(L772*MAX(N772,1)/R772*IF(ISBLANK(K771),1,K771),0)</f>
        <v/>
      </c>
      <c r="AB772" s="7" t="inlineStr">
        <is>
          <t>^Warhead_Chemical_Light</t>
        </is>
      </c>
    </row>
    <row r="773">
      <c r="B773" s="7" t="inlineStr">
        <is>
          <t xml:space="preserve">  ↳ Chemspray</t>
        </is>
      </c>
      <c r="C773" s="7" t="inlineStr">
        <is>
          <t>Armament@GARRISONED</t>
        </is>
      </c>
      <c r="L773" s="6" t="n">
        <v>48000</v>
      </c>
      <c r="M773" s="6" t="n">
        <v>48</v>
      </c>
      <c r="N773" s="6" t="n">
        <v>1</v>
      </c>
      <c r="O773" s="6" t="n"/>
      <c r="P773" s="6" t="n">
        <v>3414</v>
      </c>
      <c r="Q773" s="6" t="n">
        <v>0.75</v>
      </c>
      <c r="R773">
        <f>M773+IF(N773&gt;1,N(O773)*(N773-1),0)</f>
        <v/>
      </c>
      <c r="S773">
        <f>IFERROR(L773*MAX(N773,1)/R773*IF(ISBLANK(K771),1,K771),0)</f>
        <v/>
      </c>
      <c r="AB773" s="7" t="inlineStr">
        <is>
          <t>^Warhead_Chemical_Light</t>
        </is>
      </c>
    </row>
    <row r="774">
      <c r="A774" t="inlineStr">
        <is>
          <t>tiberiandawn</t>
        </is>
      </c>
      <c r="B774" t="inlineStr">
        <is>
          <t>td_nod_flamethrower</t>
        </is>
      </c>
      <c r="C774" t="inlineStr">
        <is>
          <t>Nod Flamethrower</t>
        </is>
      </c>
      <c r="D774" s="6" t="inlineStr">
        <is>
          <t>MeleeInfantry</t>
        </is>
      </c>
      <c r="E774" s="6" t="n">
        <v>20000</v>
      </c>
      <c r="F774" s="6" t="n">
        <v>60</v>
      </c>
      <c r="G774" t="inlineStr">
        <is>
          <t>Plate</t>
        </is>
      </c>
      <c r="H774" s="6" t="n">
        <v>1</v>
      </c>
      <c r="I774" s="6" t="n">
        <v>0.75</v>
      </c>
      <c r="J774" s="6" t="n">
        <v>1</v>
      </c>
      <c r="K774" s="6" t="n"/>
      <c r="P774">
        <f>MAX(P775)</f>
        <v/>
      </c>
      <c r="S774">
        <f>S775</f>
        <v/>
      </c>
      <c r="T774">
        <f>(E774/100000+F774/100+(P774/1000)*J774/5+S774/200)*200*I774*H774</f>
        <v/>
      </c>
      <c r="U774">
        <f>((E774*F774/25000)+((P774/1000)*J774*S774/2.5))*I774*H774</f>
        <v/>
      </c>
      <c r="V774">
        <f>(E774*F774*(P774/1000)*J774*S774*I774*H774)/12500000</f>
        <v/>
      </c>
      <c r="W774">
        <f>(T774+U774+V774)/3</f>
        <v/>
      </c>
      <c r="X774" s="6" t="n">
        <v>200</v>
      </c>
      <c r="Y774">
        <f>IFERROR(W774-X774,"")</f>
        <v/>
      </c>
      <c r="Z774">
        <f>IFERROR(ABS(Y774)/MAX(X774,1),"")</f>
        <v/>
      </c>
      <c r="AA774">
        <f>IFERROR((X774-(((E774/100000+F774/100+S774/200)*200*I774*H774)+((E774*F774/25000)*I774*H774))/3)/(((J774/5)*200*I774*H774)+((J774*S774/2.5)*I774*H774)+((E774*F774*J774*S774*I774*H774)/12500000))/3*1000,"")</f>
        <v/>
      </c>
    </row>
    <row r="775">
      <c r="B775" s="7" t="inlineStr">
        <is>
          <t xml:space="preserve">  ↳ Flamethrower</t>
        </is>
      </c>
      <c r="C775" s="7" t="inlineStr">
        <is>
          <t>Armament</t>
        </is>
      </c>
      <c r="L775" s="6" t="n">
        <v>20000</v>
      </c>
      <c r="M775" s="6" t="n">
        <v>60</v>
      </c>
      <c r="N775" s="6" t="n">
        <v>1</v>
      </c>
      <c r="O775" s="6" t="n"/>
      <c r="P775" s="6" t="n">
        <v>2085</v>
      </c>
      <c r="Q775" s="6" t="n">
        <v>0.75</v>
      </c>
      <c r="R775">
        <f>M775+IF(N775&gt;1,N(O775)*(N775-1),0)</f>
        <v/>
      </c>
      <c r="S775">
        <f>IFERROR(L775*MAX(N775,1)/R775*IF(ISBLANK(K774),1,K774),0)</f>
        <v/>
      </c>
      <c r="AB775" s="7" t="inlineStr">
        <is>
          <t>^Warhead_Flame_Light</t>
        </is>
      </c>
    </row>
    <row r="776">
      <c r="B776" s="7" t="inlineStr">
        <is>
          <t xml:space="preserve">  ↳ Flamethrower</t>
        </is>
      </c>
      <c r="C776" s="7" t="inlineStr">
        <is>
          <t>Armament@GARRISONED</t>
        </is>
      </c>
      <c r="L776" s="6" t="n">
        <v>20000</v>
      </c>
      <c r="M776" s="6" t="n">
        <v>60</v>
      </c>
      <c r="N776" s="6" t="n">
        <v>1</v>
      </c>
      <c r="O776" s="6" t="n"/>
      <c r="P776" s="6" t="n">
        <v>2085</v>
      </c>
      <c r="Q776" s="6" t="n">
        <v>0.75</v>
      </c>
      <c r="R776">
        <f>M776+IF(N776&gt;1,N(O776)*(N776-1),0)</f>
        <v/>
      </c>
      <c r="S776">
        <f>IFERROR(L776*MAX(N776,1)/R776*IF(ISBLANK(K774),1,K774),0)</f>
        <v/>
      </c>
      <c r="AB776" s="7" t="inlineStr">
        <is>
          <t>^Warhead_Flame_Light</t>
        </is>
      </c>
    </row>
    <row r="777">
      <c r="A777" t="inlineStr">
        <is>
          <t>redalert</t>
        </is>
      </c>
      <c r="B777" t="inlineStr">
        <is>
          <t>japan_samurai</t>
        </is>
      </c>
      <c r="C777" t="inlineStr">
        <is>
          <t>Samurai</t>
        </is>
      </c>
      <c r="D777" s="6" t="inlineStr">
        <is>
          <t>MeleeInfantry</t>
        </is>
      </c>
      <c r="E777" s="6" t="n">
        <v>35000</v>
      </c>
      <c r="F777" s="6" t="n">
        <v>65</v>
      </c>
      <c r="G777" t="inlineStr">
        <is>
          <t>Plate</t>
        </is>
      </c>
      <c r="H777" s="6" t="n">
        <v>1</v>
      </c>
      <c r="I777" s="6" t="n">
        <v>0.75</v>
      </c>
      <c r="J777" s="6" t="n">
        <v>1</v>
      </c>
      <c r="K777" s="6" t="n"/>
      <c r="P777">
        <f>MAX(P778,P780)</f>
        <v/>
      </c>
      <c r="S777">
        <f>S778+S780</f>
        <v/>
      </c>
      <c r="T777">
        <f>(E777/100000+F777/100+(P777/1000)*J777/5+S777/200)*200*I777*H777</f>
        <v/>
      </c>
      <c r="U777">
        <f>((E777*F777/25000)+((P777/1000)*J777*S777/2.5))*I777*H777</f>
        <v/>
      </c>
      <c r="V777">
        <f>(E777*F777*(P777/1000)*J777*S777*I777*H777)/12500000</f>
        <v/>
      </c>
      <c r="W777">
        <f>(T777+U777+V777)/3</f>
        <v/>
      </c>
      <c r="X777" s="6" t="n">
        <v>300</v>
      </c>
      <c r="Y777">
        <f>IFERROR(W777-X777,"")</f>
        <v/>
      </c>
      <c r="Z777">
        <f>IFERROR(ABS(Y777)/MAX(X777,1),"")</f>
        <v/>
      </c>
      <c r="AA777">
        <f>IFERROR((X777-(((E777/100000+F777/100+S777/200)*200*I777*H777)+((E777*F777/25000)*I777*H777))/3)/(((J777/5)*200*I777*H777)+((J777*S777/2.5)*I777*H777)+((E777*F777*J777*S777*I777*H777)/12500000))/3*1000,"")</f>
        <v/>
      </c>
    </row>
    <row r="778">
      <c r="B778" s="7" t="inlineStr">
        <is>
          <t xml:space="preserve">  ↳ SamuraiBlade</t>
        </is>
      </c>
      <c r="C778" s="7" t="inlineStr">
        <is>
          <t>Armament@PRIMARY</t>
        </is>
      </c>
      <c r="L778" s="6" t="n">
        <v>10000</v>
      </c>
      <c r="M778" s="6" t="n">
        <v>20</v>
      </c>
      <c r="N778" s="6" t="n">
        <v>1</v>
      </c>
      <c r="O778" s="6" t="n"/>
      <c r="P778" s="6" t="n">
        <v>1637</v>
      </c>
      <c r="Q778" s="6" t="n">
        <v>1</v>
      </c>
      <c r="R778">
        <f>M778+IF(N778&gt;1,N(O778)*(N778-1),0)</f>
        <v/>
      </c>
      <c r="S778">
        <f>IFERROR(L778*MAX(N778,1)/R778*IF(ISBLANK(K777),1,K777),0)</f>
        <v/>
      </c>
      <c r="AB778" s="7" t="inlineStr">
        <is>
          <t>^Warhead_Melee_Medium</t>
        </is>
      </c>
    </row>
    <row r="779">
      <c r="B779" s="7" t="inlineStr">
        <is>
          <t xml:space="preserve">  ↳ SamuraiBlade</t>
        </is>
      </c>
      <c r="C779" s="7" t="inlineStr">
        <is>
          <t>Armament@GARRISONED</t>
        </is>
      </c>
      <c r="L779" s="6" t="n">
        <v>10000</v>
      </c>
      <c r="M779" s="6" t="n">
        <v>20</v>
      </c>
      <c r="N779" s="6" t="n">
        <v>1</v>
      </c>
      <c r="O779" s="6" t="n"/>
      <c r="P779" s="6" t="n">
        <v>1637</v>
      </c>
      <c r="Q779" s="6" t="n">
        <v>1</v>
      </c>
      <c r="R779">
        <f>M779+IF(N779&gt;1,N(O779)*(N779-1),0)</f>
        <v/>
      </c>
      <c r="S779">
        <f>IFERROR(L779*MAX(N779,1)/R779*IF(ISBLANK(K777),1,K777),0)</f>
        <v/>
      </c>
      <c r="AB779" s="7" t="inlineStr">
        <is>
          <t>^Warhead_Melee_Medium</t>
        </is>
      </c>
    </row>
    <row r="780">
      <c r="B780" s="7" t="inlineStr">
        <is>
          <t xml:space="preserve">  ↳ SamuraiBladeCharged</t>
        </is>
      </c>
      <c r="C780" s="7" t="inlineStr">
        <is>
          <t>Armament@Upgrade</t>
        </is>
      </c>
      <c r="L780" s="6" t="n">
        <v>20000</v>
      </c>
      <c r="M780" s="6" t="n">
        <v>20</v>
      </c>
      <c r="N780" s="6" t="n">
        <v>1</v>
      </c>
      <c r="O780" s="6" t="n"/>
      <c r="P780" s="6" t="n">
        <v>1637</v>
      </c>
      <c r="Q780" s="6" t="n">
        <v>1</v>
      </c>
      <c r="R780">
        <f>M780+IF(N780&gt;1,N(O780)*(N780-1),0)</f>
        <v/>
      </c>
      <c r="S780">
        <f>IFERROR(L780*MAX(N780,1)/R780*IF(ISBLANK(K777),1,K777),0)</f>
        <v/>
      </c>
      <c r="AB780" s="7" t="inlineStr">
        <is>
          <t>^TeslaWeapon, ^SwordWeapon</t>
        </is>
      </c>
    </row>
    <row r="781">
      <c r="B781" s="7" t="inlineStr">
        <is>
          <t xml:space="preserve">  ↳ SamuraiBladeCharged</t>
        </is>
      </c>
      <c r="C781" s="7" t="inlineStr">
        <is>
          <t>Armament@UpgradeGARRISONED</t>
        </is>
      </c>
      <c r="L781" s="6" t="n">
        <v>20000</v>
      </c>
      <c r="M781" s="6" t="n">
        <v>20</v>
      </c>
      <c r="N781" s="6" t="n">
        <v>1</v>
      </c>
      <c r="O781" s="6" t="n"/>
      <c r="P781" s="6" t="n">
        <v>1637</v>
      </c>
      <c r="Q781" s="6" t="n">
        <v>1</v>
      </c>
      <c r="R781">
        <f>M781+IF(N781&gt;1,N(O781)*(N781-1),0)</f>
        <v/>
      </c>
      <c r="S781">
        <f>IFERROR(L781*MAX(N781,1)/R781*IF(ISBLANK(K777),1,K777),0)</f>
        <v/>
      </c>
      <c r="AB781" s="7" t="inlineStr">
        <is>
          <t>^TeslaWeapon, ^SwordWeapon</t>
        </is>
      </c>
    </row>
    <row r="782">
      <c r="A782" t="inlineStr">
        <is>
          <t>tiberiansun</t>
        </is>
      </c>
      <c r="B782" t="inlineStr">
        <is>
          <t>ts_nod_chameleonspy</t>
        </is>
      </c>
      <c r="C782" t="inlineStr">
        <is>
          <t>Chameleon Spy</t>
        </is>
      </c>
      <c r="D782" s="6" t="inlineStr">
        <is>
          <t>MeleeInfantry</t>
        </is>
      </c>
      <c r="E782" s="6" t="n">
        <v>30000</v>
      </c>
      <c r="F782" s="6" t="n">
        <v>90</v>
      </c>
      <c r="G782" t="inlineStr">
        <is>
          <t>Plate</t>
        </is>
      </c>
      <c r="H782" s="6" t="n">
        <v>1</v>
      </c>
      <c r="I782" s="6" t="n">
        <v>1</v>
      </c>
      <c r="J782" s="6" t="n">
        <v>1</v>
      </c>
      <c r="K782" s="6" t="n"/>
      <c r="P782">
        <f>MAX(P783)</f>
        <v/>
      </c>
      <c r="S782">
        <f>S783</f>
        <v/>
      </c>
      <c r="T782">
        <f>(E782/100000+F782/100+(P782/1000)*J782/5+S782/200)*200*I782*H782</f>
        <v/>
      </c>
      <c r="U782">
        <f>((E782*F782/25000)+((P782/1000)*J782*S782/2.5))*I782*H782</f>
        <v/>
      </c>
      <c r="V782">
        <f>(E782*F782*(P782/1000)*J782*S782*I782*H782)/12500000</f>
        <v/>
      </c>
      <c r="W782">
        <f>(T782+U782+V782)/3</f>
        <v/>
      </c>
      <c r="X782" s="6" t="n">
        <v>500</v>
      </c>
      <c r="Y782">
        <f>IFERROR(W782-X782,"")</f>
        <v/>
      </c>
      <c r="Z782">
        <f>IFERROR(ABS(Y782)/MAX(X782,1),"")</f>
        <v/>
      </c>
      <c r="AA782">
        <f>IFERROR((X782-(((E782/100000+F782/100+S782/200)*200*I782*H782)+((E782*F782/25000)*I782*H782))/3)/(((J782/5)*200*I782*H782)+((J782*S782/2.5)*I782*H782)+((E782*F782*J782*S782*I782*H782)/12500000))/3*1000,"")</f>
        <v/>
      </c>
    </row>
    <row r="783">
      <c r="B783" s="7" t="inlineStr">
        <is>
          <t xml:space="preserve">  ↳ ChamBlade</t>
        </is>
      </c>
      <c r="C783" s="7" t="inlineStr">
        <is>
          <t>Armament@PRIMARY</t>
        </is>
      </c>
      <c r="L783" s="6" t="n">
        <v>50000</v>
      </c>
      <c r="M783" s="6" t="n">
        <v>52</v>
      </c>
      <c r="N783" s="6" t="n">
        <v>1</v>
      </c>
      <c r="O783" s="6" t="n"/>
      <c r="P783" s="6" t="n">
        <v>1538</v>
      </c>
      <c r="Q783" s="6" t="n">
        <v>0.75</v>
      </c>
      <c r="R783">
        <f>M783+IF(N783&gt;1,N(O783)*(N783-1),0)</f>
        <v/>
      </c>
      <c r="S783">
        <f>IFERROR(L783*MAX(N783,1)/R783*IF(ISBLANK(K782),1,K782),0)</f>
        <v/>
      </c>
      <c r="AB783" s="7" t="inlineStr">
        <is>
          <t>^Warhead_Sniper_Light</t>
        </is>
      </c>
    </row>
    <row r="784">
      <c r="A784" t="inlineStr">
        <is>
          <t>tiberiansun</t>
        </is>
      </c>
      <c r="B784" t="inlineStr">
        <is>
          <t>ts_nod_shadowteam</t>
        </is>
      </c>
      <c r="C784" t="inlineStr">
        <is>
          <t>actor_ts_nod_shadowteam.name</t>
        </is>
      </c>
      <c r="D784" s="6" t="inlineStr">
        <is>
          <t>MeleeInfantry</t>
        </is>
      </c>
      <c r="E784" s="6" t="n">
        <v>30000</v>
      </c>
      <c r="F784" s="6" t="n">
        <v>60</v>
      </c>
      <c r="G784" t="inlineStr">
        <is>
          <t>Plate</t>
        </is>
      </c>
      <c r="H784" s="6" t="n">
        <v>0.7269</v>
      </c>
      <c r="I784" s="6" t="n">
        <v>1</v>
      </c>
      <c r="J784" s="6" t="n">
        <v>1</v>
      </c>
      <c r="K784" s="6" t="n"/>
      <c r="P784">
        <f>MAX(P785)</f>
        <v/>
      </c>
      <c r="S784">
        <f>S785</f>
        <v/>
      </c>
      <c r="T784">
        <f>(E784/100000+F784/100+(P784/1000)*J784/5+S784/200)*200*I784*H784</f>
        <v/>
      </c>
      <c r="U784">
        <f>((E784*F784/25000)+((P784/1000)*J784*S784/2.5))*I784*H784</f>
        <v/>
      </c>
      <c r="V784">
        <f>(E784*F784*(P784/1000)*J784*S784*I784*H784)/12500000</f>
        <v/>
      </c>
      <c r="W784">
        <f>(T784+U784+V784)/3</f>
        <v/>
      </c>
      <c r="X784" s="6" t="n">
        <v>900</v>
      </c>
      <c r="Y784">
        <f>IFERROR(W784-X784,"")</f>
        <v/>
      </c>
      <c r="Z784">
        <f>IFERROR(ABS(Y784)/MAX(X784,1),"")</f>
        <v/>
      </c>
      <c r="AA784">
        <f>IFERROR((X784-(((E784/100000+F784/100+S784/200)*200*I784*H784)+((E784*F784/25000)*I784*H784))/3)/(((J784/5)*200*I784*H784)+((J784*S784/2.5)*I784*H784)+((E784*F784*J784*S784*I784*H784)/12500000))/3*1000,"")</f>
        <v/>
      </c>
    </row>
    <row r="785">
      <c r="B785" s="7" t="inlineStr">
        <is>
          <t xml:space="preserve">  ↳ TSShadowTeamPistols</t>
        </is>
      </c>
      <c r="C785" s="7" t="inlineStr">
        <is>
          <t>Armament@PRIMARY</t>
        </is>
      </c>
      <c r="L785" s="6" t="n">
        <v>7000</v>
      </c>
      <c r="M785" s="6" t="n">
        <v>12</v>
      </c>
      <c r="N785" s="6" t="n">
        <v>2</v>
      </c>
      <c r="O785" s="6" t="n">
        <v>3</v>
      </c>
      <c r="P785" s="6" t="n">
        <v>8000</v>
      </c>
      <c r="Q785" s="6" t="n">
        <v>0.75</v>
      </c>
      <c r="R785">
        <f>M785+IF(N785&gt;1,N(O785)*(N785-1),0)</f>
        <v/>
      </c>
      <c r="S785">
        <f>IFERROR(L785*MAX(N785,1)/R785*IF(ISBLANK(K784),1,K784),0)</f>
        <v/>
      </c>
      <c r="AB785" s="7" t="inlineStr">
        <is>
          <t>^Warhead_Sniper_Light</t>
        </is>
      </c>
    </row>
    <row r="786">
      <c r="B786" s="7" t="inlineStr">
        <is>
          <t xml:space="preserve">  ↳ TSShadowTeamPistols</t>
        </is>
      </c>
      <c r="C786" s="7" t="inlineStr">
        <is>
          <t>Armament@GARRISONED</t>
        </is>
      </c>
      <c r="L786" s="6" t="n">
        <v>7000</v>
      </c>
      <c r="M786" s="6" t="n">
        <v>12</v>
      </c>
      <c r="N786" s="6" t="n">
        <v>2</v>
      </c>
      <c r="O786" s="6" t="n">
        <v>3</v>
      </c>
      <c r="P786" s="6" t="n">
        <v>8000</v>
      </c>
      <c r="Q786" s="6" t="n">
        <v>0.75</v>
      </c>
      <c r="R786">
        <f>M786+IF(N786&gt;1,N(O786)*(N786-1),0)</f>
        <v/>
      </c>
      <c r="S786">
        <f>IFERROR(L786*MAX(N786,1)/R786*IF(ISBLANK(K784),1,K784),0)</f>
        <v/>
      </c>
      <c r="AB786" s="7" t="inlineStr">
        <is>
          <t>^Warhead_Sniper_Light</t>
        </is>
      </c>
    </row>
    <row r="787">
      <c r="B787" s="7" t="inlineStr">
        <is>
          <t xml:space="preserve">  ↳ TSShadowTeamAttach</t>
        </is>
      </c>
      <c r="C787" s="7" t="inlineStr">
        <is>
          <t>Armament@C4</t>
        </is>
      </c>
      <c r="L787" s="6" t="n"/>
      <c r="M787" s="6" t="n">
        <v>20</v>
      </c>
      <c r="N787" s="6" t="n">
        <v>1</v>
      </c>
      <c r="O787" s="6" t="n"/>
      <c r="P787" s="6" t="n">
        <v>2000</v>
      </c>
      <c r="Q787" s="6" t="n">
        <v>1</v>
      </c>
      <c r="R787">
        <f>M787+IF(N787&gt;1,N(O787)*(N787-1),0)</f>
        <v/>
      </c>
      <c r="S787">
        <f>IFERROR(L787*MAX(N787,1)/R787*IF(ISBLANK(K784),1,K784),0)</f>
        <v/>
      </c>
      <c r="AB787" s="7" t="inlineStr"/>
    </row>
    <row r="788">
      <c r="A788" t="inlineStr">
        <is>
          <t>tiberiansun</t>
        </is>
      </c>
      <c r="B788" t="inlineStr">
        <is>
          <t>ts_gdi_riottrooper</t>
        </is>
      </c>
      <c r="C788" t="inlineStr">
        <is>
          <t>Riot Trooper</t>
        </is>
      </c>
      <c r="D788" s="6" t="inlineStr">
        <is>
          <t>MeleeInfantry</t>
        </is>
      </c>
      <c r="E788" s="6" t="n">
        <v>54000</v>
      </c>
      <c r="F788" s="6" t="n">
        <v>60</v>
      </c>
      <c r="G788" t="inlineStr">
        <is>
          <t>Plate</t>
        </is>
      </c>
      <c r="H788" s="6" t="n">
        <v>1</v>
      </c>
      <c r="I788" s="6" t="n">
        <v>1</v>
      </c>
      <c r="J788" s="6" t="n">
        <v>1</v>
      </c>
      <c r="K788" s="6" t="n"/>
      <c r="P788">
        <f>MAX(P789)</f>
        <v/>
      </c>
      <c r="S788">
        <f>S789</f>
        <v/>
      </c>
      <c r="T788">
        <f>(E788/100000+F788/100+(P788/1000)*J788/5+S788/200)*200*I788*H788</f>
        <v/>
      </c>
      <c r="U788">
        <f>((E788*F788/25000)+((P788/1000)*J788*S788/2.5))*I788*H788</f>
        <v/>
      </c>
      <c r="V788">
        <f>(E788*F788*(P788/1000)*J788*S788*I788*H788)/12500000</f>
        <v/>
      </c>
      <c r="W788">
        <f>(T788+U788+V788)/3</f>
        <v/>
      </c>
      <c r="X788" s="6" t="n">
        <v>700</v>
      </c>
      <c r="Y788">
        <f>IFERROR(W788-X788,"")</f>
        <v/>
      </c>
      <c r="Z788">
        <f>IFERROR(ABS(Y788)/MAX(X788,1),"")</f>
        <v/>
      </c>
      <c r="AA788">
        <f>IFERROR((X788-(((E788/100000+F788/100+S788/200)*200*I788*H788)+((E788*F788/25000)*I788*H788))/3)/(((J788/5)*200*I788*H788)+((J788*S788/2.5)*I788*H788)+((E788*F788*J788*S788*I788*H788)/12500000))/3*1000,"")</f>
        <v/>
      </c>
    </row>
    <row r="789">
      <c r="B789" s="7" t="inlineStr">
        <is>
          <t xml:space="preserve">  ↳ TSShotgun</t>
        </is>
      </c>
      <c r="C789" s="7" t="inlineStr">
        <is>
          <t>Armament@PRIMARY</t>
        </is>
      </c>
      <c r="L789" s="6" t="n">
        <v>24000</v>
      </c>
      <c r="M789" s="6" t="n">
        <v>46</v>
      </c>
      <c r="N789" s="6" t="n">
        <v>1</v>
      </c>
      <c r="O789" s="6" t="n"/>
      <c r="P789" s="6" t="n">
        <v>4002</v>
      </c>
      <c r="Q789" s="6" t="n">
        <v>1</v>
      </c>
      <c r="R789">
        <f>M789+IF(N789&gt;1,N(O789)*(N789-1),0)</f>
        <v/>
      </c>
      <c r="S789">
        <f>IFERROR(L789*MAX(N789,1)/R789*IF(ISBLANK(K788),1,K788),0)</f>
        <v/>
      </c>
      <c r="AB789" s="7" t="inlineStr">
        <is>
          <t>^Warhead_CannonHE_Medium</t>
        </is>
      </c>
    </row>
    <row r="790">
      <c r="B790" s="7" t="inlineStr">
        <is>
          <t xml:space="preserve">  ↳ TSShotgun</t>
        </is>
      </c>
      <c r="C790" s="7" t="inlineStr">
        <is>
          <t>Armament@GARRISONED</t>
        </is>
      </c>
      <c r="L790" s="6" t="n">
        <v>24000</v>
      </c>
      <c r="M790" s="6" t="n">
        <v>46</v>
      </c>
      <c r="N790" s="6" t="n">
        <v>1</v>
      </c>
      <c r="O790" s="6" t="n"/>
      <c r="P790" s="6" t="n">
        <v>4002</v>
      </c>
      <c r="Q790" s="6" t="n">
        <v>1</v>
      </c>
      <c r="R790">
        <f>M790+IF(N790&gt;1,N(O790)*(N790-1),0)</f>
        <v/>
      </c>
      <c r="S790">
        <f>IFERROR(L790*MAX(N790,1)/R790*IF(ISBLANK(K788),1,K788),0)</f>
        <v/>
      </c>
      <c r="AB790" s="7" t="inlineStr">
        <is>
          <t>^Warhead_CannonHE_Medium</t>
        </is>
      </c>
    </row>
    <row r="791">
      <c r="A791" t="inlineStr">
        <is>
          <t>tiberiansun</t>
        </is>
      </c>
      <c r="B791" t="inlineStr">
        <is>
          <t>forgotten_chemsprayinfantry</t>
        </is>
      </c>
      <c r="C791" t="inlineStr">
        <is>
          <t>actor_forgotten_chemsprayinfantry.name</t>
        </is>
      </c>
      <c r="D791" s="6" t="inlineStr">
        <is>
          <t>MeleeInfantry</t>
        </is>
      </c>
      <c r="E791" s="6" t="n">
        <v>64000</v>
      </c>
      <c r="F791" s="6" t="n">
        <v>55</v>
      </c>
      <c r="G791" t="inlineStr">
        <is>
          <t>Plate</t>
        </is>
      </c>
      <c r="H791" s="6" t="n">
        <v>0.8376</v>
      </c>
      <c r="I791" s="6" t="n">
        <v>1</v>
      </c>
      <c r="J791" s="6" t="n">
        <v>1</v>
      </c>
      <c r="K791" s="6" t="n"/>
      <c r="P791">
        <f>MAX(P792,P793)</f>
        <v/>
      </c>
      <c r="S791">
        <f>S792+S793</f>
        <v/>
      </c>
      <c r="T791">
        <f>(E791/100000+F791/100+(P791/1000)*J791/5+S791/200)*200*I791*H791</f>
        <v/>
      </c>
      <c r="U791">
        <f>((E791*F791/25000)+((P791/1000)*J791*S791/2.5))*I791*H791</f>
        <v/>
      </c>
      <c r="V791">
        <f>(E791*F791*(P791/1000)*J791*S791*I791*H791)/12500000</f>
        <v/>
      </c>
      <c r="W791">
        <f>(T791+U791+V791)/3</f>
        <v/>
      </c>
      <c r="X791" s="6" t="n">
        <v>700</v>
      </c>
      <c r="Y791">
        <f>IFERROR(W791-X791,"")</f>
        <v/>
      </c>
      <c r="Z791">
        <f>IFERROR(ABS(Y791)/MAX(X791,1),"")</f>
        <v/>
      </c>
      <c r="AA791">
        <f>IFERROR((X791-(((E791/100000+F791/100+S791/200)*200*I791*H791)+((E791*F791/25000)*I791*H791))/3)/(((J791/5)*200*I791*H791)+((J791*S791/2.5)*I791*H791)+((E791*F791*J791*S791*I791*H791)/12500000))/3*1000,"")</f>
        <v/>
      </c>
    </row>
    <row r="792">
      <c r="B792" s="7" t="inlineStr">
        <is>
          <t xml:space="preserve">  ↳ TSChemspray</t>
        </is>
      </c>
      <c r="C792" s="7" t="inlineStr">
        <is>
          <t>Armament@PRIMARY</t>
        </is>
      </c>
      <c r="L792" s="6" t="n">
        <v>32000</v>
      </c>
      <c r="M792" s="6" t="n">
        <v>55</v>
      </c>
      <c r="N792" s="6" t="n">
        <v>1</v>
      </c>
      <c r="O792" s="6" t="n"/>
      <c r="P792" s="6" t="n">
        <v>3183</v>
      </c>
      <c r="Q792" s="6" t="n">
        <v>0.75</v>
      </c>
      <c r="R792">
        <f>M792+IF(N792&gt;1,N(O792)*(N792-1),0)</f>
        <v/>
      </c>
      <c r="S792">
        <f>IFERROR(L792*MAX(N792,1)/R792*IF(ISBLANK(K791),1,K791),0)</f>
        <v/>
      </c>
      <c r="AB792" s="7" t="inlineStr">
        <is>
          <t>^Warhead_Chemical_Light</t>
        </is>
      </c>
    </row>
    <row r="793">
      <c r="B793" s="7" t="inlineStr">
        <is>
          <t xml:space="preserve">  ↳ TSChemsprayUp</t>
        </is>
      </c>
      <c r="C793" s="7" t="inlineStr">
        <is>
          <t>Armament@UPGRADE</t>
        </is>
      </c>
      <c r="L793" s="6" t="n">
        <v>96000</v>
      </c>
      <c r="M793" s="6" t="n">
        <v>55</v>
      </c>
      <c r="N793" s="6" t="n">
        <v>1</v>
      </c>
      <c r="O793" s="6" t="n"/>
      <c r="P793" s="6" t="n">
        <v>3183</v>
      </c>
      <c r="Q793" s="6" t="n">
        <v>1</v>
      </c>
      <c r="R793">
        <f>M793+IF(N793&gt;1,N(O793)*(N793-1),0)</f>
        <v/>
      </c>
      <c r="S793">
        <f>IFERROR(L793*MAX(N793,1)/R793*IF(ISBLANK(K791),1,K791),0)</f>
        <v/>
      </c>
      <c r="AB793" s="7" t="inlineStr">
        <is>
          <t>^LightChemicalWeapon, ^MediumChemicalWeapon, ^HeavyChemicalWeapon</t>
        </is>
      </c>
    </row>
    <row r="794">
      <c r="B794" s="7" t="inlineStr">
        <is>
          <t xml:space="preserve">  ↳ TSChemspray</t>
        </is>
      </c>
      <c r="C794" s="7" t="inlineStr">
        <is>
          <t>Armament@GARRISONED</t>
        </is>
      </c>
      <c r="L794" s="6" t="n">
        <v>32000</v>
      </c>
      <c r="M794" s="6" t="n">
        <v>55</v>
      </c>
      <c r="N794" s="6" t="n">
        <v>1</v>
      </c>
      <c r="O794" s="6" t="n"/>
      <c r="P794" s="6" t="n">
        <v>3183</v>
      </c>
      <c r="Q794" s="6" t="n">
        <v>0.75</v>
      </c>
      <c r="R794">
        <f>M794+IF(N794&gt;1,N(O794)*(N794-1),0)</f>
        <v/>
      </c>
      <c r="S794">
        <f>IFERROR(L794*MAX(N794,1)/R794*IF(ISBLANK(K791),1,K791),0)</f>
        <v/>
      </c>
      <c r="AB794" s="7" t="inlineStr">
        <is>
          <t>^Warhead_Chemical_Light</t>
        </is>
      </c>
    </row>
    <row r="795">
      <c r="B795" s="7" t="inlineStr">
        <is>
          <t xml:space="preserve">  ↳ TSChemsprayUP</t>
        </is>
      </c>
      <c r="C795" s="7" t="inlineStr">
        <is>
          <t>Armament@GARRISONEDUPGRADE</t>
        </is>
      </c>
      <c r="L795" s="6" t="n">
        <v>96000</v>
      </c>
      <c r="M795" s="6" t="n">
        <v>55</v>
      </c>
      <c r="N795" s="6" t="n">
        <v>1</v>
      </c>
      <c r="O795" s="6" t="n"/>
      <c r="P795" s="6" t="n">
        <v>3183</v>
      </c>
      <c r="Q795" s="6" t="n">
        <v>1</v>
      </c>
      <c r="R795">
        <f>M795+IF(N795&gt;1,N(O795)*(N795-1),0)</f>
        <v/>
      </c>
      <c r="S795">
        <f>IFERROR(L795*MAX(N795,1)/R795*IF(ISBLANK(K791),1,K791),0)</f>
        <v/>
      </c>
      <c r="AB795" s="7" t="inlineStr">
        <is>
          <t>^LightChemicalWeapon, ^MediumChemicalWeapon, ^HeavyChemicalWeapon</t>
        </is>
      </c>
    </row>
    <row r="796">
      <c r="A796" t="inlineStr">
        <is>
          <t>tiberiansun</t>
        </is>
      </c>
      <c r="B796" t="inlineStr">
        <is>
          <t>forgotten_runnershotgal</t>
        </is>
      </c>
      <c r="C796" t="inlineStr">
        <is>
          <t>actor_forgotten_runnershotgal.name</t>
        </is>
      </c>
      <c r="D796" s="6" t="inlineStr">
        <is>
          <t>MeleeInfantry</t>
        </is>
      </c>
      <c r="E796" s="6" t="n">
        <v>30000</v>
      </c>
      <c r="F796" s="6" t="n">
        <v>85</v>
      </c>
      <c r="G796" t="inlineStr">
        <is>
          <t>Plate</t>
        </is>
      </c>
      <c r="H796" s="6" t="n">
        <v>1</v>
      </c>
      <c r="I796" s="6" t="n">
        <v>1</v>
      </c>
      <c r="J796" s="6" t="n">
        <v>1</v>
      </c>
      <c r="K796" s="6" t="n"/>
      <c r="P796">
        <f>MAX(P797)</f>
        <v/>
      </c>
      <c r="S796">
        <f>S797</f>
        <v/>
      </c>
      <c r="T796">
        <f>(E796/100000+F796/100+(P796/1000)*J796/5+S796/200)*200*I796*H796</f>
        <v/>
      </c>
      <c r="U796">
        <f>((E796*F796/25000)+((P796/1000)*J796*S796/2.5))*I796*H796</f>
        <v/>
      </c>
      <c r="V796">
        <f>(E796*F796*(P796/1000)*J796*S796*I796*H796)/12500000</f>
        <v/>
      </c>
      <c r="W796">
        <f>(T796+U796+V796)/3</f>
        <v/>
      </c>
      <c r="X796" s="6" t="n">
        <v>750</v>
      </c>
      <c r="Y796">
        <f>IFERROR(W796-X796,"")</f>
        <v/>
      </c>
      <c r="Z796">
        <f>IFERROR(ABS(Y796)/MAX(X796,1),"")</f>
        <v/>
      </c>
      <c r="AA796">
        <f>IFERROR((X796-(((E796/100000+F796/100+S796/200)*200*I796*H796)+((E796*F796/25000)*I796*H796))/3)/(((J796/5)*200*I796*H796)+((J796*S796/2.5)*I796*H796)+((E796*F796*J796*S796*I796*H796)/12500000))/3*1000,"")</f>
        <v/>
      </c>
    </row>
    <row r="797">
      <c r="B797" s="7" t="inlineStr">
        <is>
          <t xml:space="preserve">  ↳ TSMutShotgun</t>
        </is>
      </c>
      <c r="C797" s="7" t="inlineStr">
        <is>
          <t>Armament@PRIMARY</t>
        </is>
      </c>
      <c r="L797" s="6" t="n">
        <v>24000</v>
      </c>
      <c r="M797" s="6" t="n">
        <v>32</v>
      </c>
      <c r="N797" s="6" t="n">
        <v>1</v>
      </c>
      <c r="O797" s="6" t="n"/>
      <c r="P797" s="6" t="n">
        <v>3112</v>
      </c>
      <c r="Q797" s="6" t="n">
        <v>1</v>
      </c>
      <c r="R797">
        <f>M797+IF(N797&gt;1,N(O797)*(N797-1),0)</f>
        <v/>
      </c>
      <c r="S797">
        <f>IFERROR(L797*MAX(N797,1)/R797*IF(ISBLANK(K796),1,K796),0)</f>
        <v/>
      </c>
      <c r="AB797" s="7" t="inlineStr">
        <is>
          <t>^Warhead_CannonHE_Medium</t>
        </is>
      </c>
    </row>
    <row r="798">
      <c r="B798" s="7" t="inlineStr">
        <is>
          <t xml:space="preserve">  ↳ TSMutShotgun</t>
        </is>
      </c>
      <c r="C798" s="7" t="inlineStr">
        <is>
          <t>Armament@GARRISONED</t>
        </is>
      </c>
      <c r="L798" s="6" t="n">
        <v>24000</v>
      </c>
      <c r="M798" s="6" t="n">
        <v>32</v>
      </c>
      <c r="N798" s="6" t="n">
        <v>1</v>
      </c>
      <c r="O798" s="6" t="n"/>
      <c r="P798" s="6" t="n">
        <v>3112</v>
      </c>
      <c r="Q798" s="6" t="n">
        <v>1</v>
      </c>
      <c r="R798">
        <f>M798+IF(N798&gt;1,N(O798)*(N798-1),0)</f>
        <v/>
      </c>
      <c r="S798">
        <f>IFERROR(L798*MAX(N798,1)/R798*IF(ISBLANK(K796),1,K796),0)</f>
        <v/>
      </c>
      <c r="AB798" s="7" t="inlineStr">
        <is>
          <t>^Warhead_CannonHE_Medium</t>
        </is>
      </c>
    </row>
    <row r="799">
      <c r="A799" t="inlineStr">
        <is>
          <t>tiberiansun</t>
        </is>
      </c>
      <c r="B799" t="inlineStr">
        <is>
          <t>forgotten_visceroid</t>
        </is>
      </c>
      <c r="C799" t="inlineStr">
        <is>
          <t>Spray'em</t>
        </is>
      </c>
      <c r="D799" s="6" t="inlineStr">
        <is>
          <t>MeleeInfantry</t>
        </is>
      </c>
      <c r="E799" s="6" t="n">
        <v>50000</v>
      </c>
      <c r="F799" s="6" t="n">
        <v>80</v>
      </c>
      <c r="G799" t="inlineStr">
        <is>
          <t>Plate</t>
        </is>
      </c>
      <c r="H799" s="6" t="n">
        <v>1</v>
      </c>
      <c r="I799" s="6" t="n">
        <v>1</v>
      </c>
      <c r="J799" s="6" t="n">
        <v>1</v>
      </c>
      <c r="K799" s="6" t="n"/>
      <c r="P799">
        <f>MAX(P800,P802)</f>
        <v/>
      </c>
      <c r="S799">
        <f>S800+S802</f>
        <v/>
      </c>
      <c r="T799">
        <f>(E799/100000+F799/100+(P799/1000)*J799/5+S799/200)*200*I799*H799</f>
        <v/>
      </c>
      <c r="U799">
        <f>((E799*F799/25000)+((P799/1000)*J799*S799/2.5))*I799*H799</f>
        <v/>
      </c>
      <c r="V799">
        <f>(E799*F799*(P799/1000)*J799*S799*I799*H799)/12500000</f>
        <v/>
      </c>
      <c r="W799">
        <f>(T799+U799+V799)/3</f>
        <v/>
      </c>
      <c r="X799" s="6" t="n">
        <v>500</v>
      </c>
      <c r="Y799">
        <f>IFERROR(W799-X799,"")</f>
        <v/>
      </c>
      <c r="Z799">
        <f>IFERROR(ABS(Y799)/MAX(X799,1),"")</f>
        <v/>
      </c>
      <c r="AA799">
        <f>IFERROR((X799-(((E799/100000+F799/100+S799/200)*200*I799*H799)+((E799*F799/25000)*I799*H799))/3)/(((J799/5)*200*I799*H799)+((J799*S799/2.5)*I799*H799)+((E799*F799*J799*S799*I799*H799)/12500000))/3*1000,"")</f>
        <v/>
      </c>
    </row>
    <row r="800">
      <c r="B800" s="7" t="inlineStr">
        <is>
          <t xml:space="preserve">  ↳ TSVisceroidSpray</t>
        </is>
      </c>
      <c r="C800" s="7" t="inlineStr">
        <is>
          <t>Armament@PRIMARY</t>
        </is>
      </c>
      <c r="L800" s="6" t="n">
        <v>10000</v>
      </c>
      <c r="M800" s="6" t="n">
        <v>25</v>
      </c>
      <c r="N800" s="6" t="n">
        <v>1</v>
      </c>
      <c r="O800" s="6" t="n"/>
      <c r="P800" s="6" t="n">
        <v>1618</v>
      </c>
      <c r="Q800" s="6" t="n">
        <v>0.75</v>
      </c>
      <c r="R800">
        <f>M800+IF(N800&gt;1,N(O800)*(N800-1),0)</f>
        <v/>
      </c>
      <c r="S800">
        <f>IFERROR(L800*MAX(N800,1)/R800*IF(ISBLANK(K799),1,K799),0)</f>
        <v/>
      </c>
      <c r="AB800" s="7" t="inlineStr">
        <is>
          <t>^Warhead_Chemical_Light</t>
        </is>
      </c>
    </row>
    <row r="801">
      <c r="B801" s="7" t="inlineStr">
        <is>
          <t xml:space="preserve">  ↳ TSVisceroidSpray</t>
        </is>
      </c>
      <c r="C801" s="7" t="inlineStr">
        <is>
          <t>Armament@GARRISONED</t>
        </is>
      </c>
      <c r="L801" s="6" t="n">
        <v>10000</v>
      </c>
      <c r="M801" s="6" t="n">
        <v>25</v>
      </c>
      <c r="N801" s="6" t="n">
        <v>1</v>
      </c>
      <c r="O801" s="6" t="n"/>
      <c r="P801" s="6" t="n">
        <v>1618</v>
      </c>
      <c r="Q801" s="6" t="n">
        <v>0.75</v>
      </c>
      <c r="R801">
        <f>M801+IF(N801&gt;1,N(O801)*(N801-1),0)</f>
        <v/>
      </c>
      <c r="S801">
        <f>IFERROR(L801*MAX(N801,1)/R801*IF(ISBLANK(K799),1,K799),0)</f>
        <v/>
      </c>
      <c r="AB801" s="7" t="inlineStr">
        <is>
          <t>^Warhead_Chemical_Light</t>
        </is>
      </c>
    </row>
    <row r="802">
      <c r="B802" s="7" t="inlineStr">
        <is>
          <t xml:space="preserve">  ↳ TSVisceroidSprayUP</t>
        </is>
      </c>
      <c r="C802" s="7" t="inlineStr">
        <is>
          <t>Armament@UPGRADE</t>
        </is>
      </c>
      <c r="L802" s="6" t="n">
        <v>30000</v>
      </c>
      <c r="M802" s="6" t="n">
        <v>25</v>
      </c>
      <c r="N802" s="6" t="n">
        <v>1</v>
      </c>
      <c r="O802" s="6" t="n"/>
      <c r="P802" s="6" t="n">
        <v>1618</v>
      </c>
      <c r="Q802" s="6" t="n">
        <v>1</v>
      </c>
      <c r="R802">
        <f>M802+IF(N802&gt;1,N(O802)*(N802-1),0)</f>
        <v/>
      </c>
      <c r="S802">
        <f>IFERROR(L802*MAX(N802,1)/R802*IF(ISBLANK(K799),1,K799),0)</f>
        <v/>
      </c>
      <c r="AB802" s="7" t="inlineStr">
        <is>
          <t>^LightChemicalWeapon, ^MediumChemicalWeapon, ^HeavyChemicalWeapon</t>
        </is>
      </c>
    </row>
    <row r="803">
      <c r="B803" s="7" t="inlineStr">
        <is>
          <t xml:space="preserve">  ↳ TSVisceroidSprayUP</t>
        </is>
      </c>
      <c r="C803" s="7" t="inlineStr">
        <is>
          <t>Armament@GARRISONEDUPGRADE</t>
        </is>
      </c>
      <c r="L803" s="6" t="n">
        <v>30000</v>
      </c>
      <c r="M803" s="6" t="n">
        <v>25</v>
      </c>
      <c r="N803" s="6" t="n">
        <v>1</v>
      </c>
      <c r="O803" s="6" t="n"/>
      <c r="P803" s="6" t="n">
        <v>1618</v>
      </c>
      <c r="Q803" s="6" t="n">
        <v>1</v>
      </c>
      <c r="R803">
        <f>M803+IF(N803&gt;1,N(O803)*(N803-1),0)</f>
        <v/>
      </c>
      <c r="S803">
        <f>IFERROR(L803*MAX(N803,1)/R803*IF(ISBLANK(K799),1,K799),0)</f>
        <v/>
      </c>
      <c r="AB803" s="7" t="inlineStr">
        <is>
          <t>^LightChemicalWeapon, ^MediumChemicalWeapon, ^HeavyChemicalWeapon</t>
        </is>
      </c>
    </row>
    <row r="804">
      <c r="A804" t="inlineStr">
        <is>
          <t>tiberiansun</t>
        </is>
      </c>
      <c r="B804" t="inlineStr">
        <is>
          <t>forgotten_zombiemutant</t>
        </is>
      </c>
      <c r="C804" t="inlineStr">
        <is>
          <t>actor_forgotten_zombiemutant.name</t>
        </is>
      </c>
      <c r="D804" s="6" t="inlineStr">
        <is>
          <t>MeleeInfantry</t>
        </is>
      </c>
      <c r="E804" s="6" t="n">
        <v>45000</v>
      </c>
      <c r="F804" s="6" t="n">
        <v>100</v>
      </c>
      <c r="G804" t="inlineStr">
        <is>
          <t>Plate</t>
        </is>
      </c>
      <c r="H804" s="6" t="n">
        <v>1</v>
      </c>
      <c r="I804" s="6" t="n">
        <v>1</v>
      </c>
      <c r="J804" s="6" t="n">
        <v>1</v>
      </c>
      <c r="K804" s="6" t="n"/>
      <c r="P804">
        <f>MAX(P805)</f>
        <v/>
      </c>
      <c r="S804">
        <f>S805</f>
        <v/>
      </c>
      <c r="T804">
        <f>(E804/100000+F804/100+(P804/1000)*J804/5+S804/200)*200*I804*H804</f>
        <v/>
      </c>
      <c r="U804">
        <f>((E804*F804/25000)+((P804/1000)*J804*S804/2.5))*I804*H804</f>
        <v/>
      </c>
      <c r="V804">
        <f>(E804*F804*(P804/1000)*J804*S804*I804*H804)/12500000</f>
        <v/>
      </c>
      <c r="W804">
        <f>(T804+U804+V804)/3</f>
        <v/>
      </c>
      <c r="X804" s="6" t="n">
        <v>500</v>
      </c>
      <c r="Y804">
        <f>IFERROR(W804-X804,"")</f>
        <v/>
      </c>
      <c r="Z804">
        <f>IFERROR(ABS(Y804)/MAX(X804,1),"")</f>
        <v/>
      </c>
      <c r="AA804">
        <f>IFERROR((X804-(((E804/100000+F804/100+S804/200)*200*I804*H804)+((E804*F804/25000)*I804*H804))/3)/(((J804/5)*200*I804*H804)+((J804*S804/2.5)*I804*H804)+((E804*F804*J804*S804*I804*H804)/12500000))/3*1000,"")</f>
        <v/>
      </c>
    </row>
    <row r="805">
      <c r="B805" s="7" t="inlineStr">
        <is>
          <t xml:space="preserve">  ↳ TSZombieAttack</t>
        </is>
      </c>
      <c r="C805" s="7" t="inlineStr">
        <is>
          <t>Armament@PRIMARY</t>
        </is>
      </c>
      <c r="L805" s="6" t="n">
        <v>16000</v>
      </c>
      <c r="M805" s="6" t="n">
        <v>20</v>
      </c>
      <c r="N805" s="6" t="n">
        <v>1</v>
      </c>
      <c r="O805" s="6" t="n"/>
      <c r="P805" s="6" t="n">
        <v>1127</v>
      </c>
      <c r="Q805" s="6" t="n">
        <v>1</v>
      </c>
      <c r="R805">
        <f>M805+IF(N805&gt;1,N(O805)*(N805-1),0)</f>
        <v/>
      </c>
      <c r="S805">
        <f>IFERROR(L805*MAX(N805,1)/R805*IF(ISBLANK(K804),1,K804),0)</f>
        <v/>
      </c>
      <c r="AB805" s="7" t="inlineStr">
        <is>
          <t>^Warhead_Melee_Medium</t>
        </is>
      </c>
    </row>
    <row r="806">
      <c r="B806" s="7" t="inlineStr">
        <is>
          <t xml:space="preserve">  ↳ TSZombieAttack</t>
        </is>
      </c>
      <c r="C806" s="7" t="inlineStr">
        <is>
          <t>Armament@GARRISONED</t>
        </is>
      </c>
      <c r="L806" s="6" t="n">
        <v>16000</v>
      </c>
      <c r="M806" s="6" t="n">
        <v>20</v>
      </c>
      <c r="N806" s="6" t="n">
        <v>1</v>
      </c>
      <c r="O806" s="6" t="n"/>
      <c r="P806" s="6" t="n">
        <v>1127</v>
      </c>
      <c r="Q806" s="6" t="n">
        <v>1</v>
      </c>
      <c r="R806">
        <f>M806+IF(N806&gt;1,N(O806)*(N806-1),0)</f>
        <v/>
      </c>
      <c r="S806">
        <f>IFERROR(L806*MAX(N806,1)/R806*IF(ISBLANK(K804),1,K804),0)</f>
        <v/>
      </c>
      <c r="AB806" s="7" t="inlineStr">
        <is>
          <t>^Warhead_Melee_Medium</t>
        </is>
      </c>
    </row>
    <row r="807">
      <c r="A807" t="inlineStr">
        <is>
          <t>shared</t>
        </is>
      </c>
      <c r="B807" t="inlineStr">
        <is>
          <t>YRSLAV</t>
        </is>
      </c>
      <c r="C807" t="inlineStr">
        <is>
          <t>Slave</t>
        </is>
      </c>
      <c r="D807" s="6" t="inlineStr">
        <is>
          <t>MeleeInfantry</t>
        </is>
      </c>
      <c r="E807" s="6" t="n">
        <v>10000</v>
      </c>
      <c r="F807" s="6" t="n">
        <v>60</v>
      </c>
      <c r="G807" t="inlineStr">
        <is>
          <t>Plate</t>
        </is>
      </c>
      <c r="H807" s="6" t="n">
        <v>1</v>
      </c>
      <c r="I807" s="6" t="n">
        <v>1</v>
      </c>
      <c r="J807" s="6" t="n">
        <v>1</v>
      </c>
      <c r="K807" s="6" t="n"/>
      <c r="P807">
        <f>MAX(P808)</f>
        <v/>
      </c>
      <c r="S807">
        <f>S808</f>
        <v/>
      </c>
      <c r="T807">
        <f>(E807/100000+F807/100+(P807/1000)*J807/5+S807/200)*200*I807*H807</f>
        <v/>
      </c>
      <c r="U807">
        <f>((E807*F807/25000)+((P807/1000)*J807*S807/2.5))*I807*H807</f>
        <v/>
      </c>
      <c r="V807">
        <f>(E807*F807*(P807/1000)*J807*S807*I807*H807)/12500000</f>
        <v/>
      </c>
      <c r="W807">
        <f>(T807+U807+V807)/3</f>
        <v/>
      </c>
      <c r="X807" s="6" t="n">
        <v>250</v>
      </c>
      <c r="Y807">
        <f>IFERROR(W807-X807,"")</f>
        <v/>
      </c>
      <c r="Z807">
        <f>IFERROR(ABS(Y807)/MAX(X807,1),"")</f>
        <v/>
      </c>
      <c r="AA807">
        <f>IFERROR((X807-(((E807/100000+F807/100+S807/200)*200*I807*H807)+((E807*F807/25000)*I807*H807))/3)/(((J807/5)*200*I807*H807)+((J807*S807/2.5)*I807*H807)+((E807*F807*J807*S807*I807*H807)/12500000))/3*1000,"")</f>
        <v/>
      </c>
    </row>
    <row r="808">
      <c r="B808" s="7" t="inlineStr">
        <is>
          <t xml:space="preserve">  ↳ RA2Shovel</t>
        </is>
      </c>
      <c r="C808" s="7" t="inlineStr">
        <is>
          <t>Armament@PRIMARY</t>
        </is>
      </c>
      <c r="L808" s="6" t="n">
        <v>2000</v>
      </c>
      <c r="M808" s="6" t="n">
        <v>30</v>
      </c>
      <c r="N808" s="6" t="n">
        <v>1</v>
      </c>
      <c r="O808" s="6" t="n"/>
      <c r="P808" s="6" t="n">
        <v>1500</v>
      </c>
      <c r="Q808" s="6" t="n">
        <v>1</v>
      </c>
      <c r="R808">
        <f>M808+IF(N808&gt;1,N(O808)*(N808-1),0)</f>
        <v/>
      </c>
      <c r="S808">
        <f>IFERROR(L808*MAX(N808,1)/R808*IF(ISBLANK(K807),1,K807),0)</f>
        <v/>
      </c>
      <c r="AB808" s="7" t="inlineStr">
        <is>
          <t>^Warhead_Melee_Medium</t>
        </is>
      </c>
    </row>
    <row r="809">
      <c r="B809" s="7" t="inlineStr">
        <is>
          <t xml:space="preserve">  ↳ RA2Shovel</t>
        </is>
      </c>
      <c r="C809" s="7" t="inlineStr">
        <is>
          <t>Armament@GARRISONED</t>
        </is>
      </c>
      <c r="L809" s="6" t="n">
        <v>2000</v>
      </c>
      <c r="M809" s="6" t="n">
        <v>30</v>
      </c>
      <c r="N809" s="6" t="n">
        <v>1</v>
      </c>
      <c r="O809" s="6" t="n"/>
      <c r="P809" s="6" t="n">
        <v>1500</v>
      </c>
      <c r="Q809" s="6" t="n">
        <v>1</v>
      </c>
      <c r="R809">
        <f>M809+IF(N809&gt;1,N(O809)*(N809-1),0)</f>
        <v/>
      </c>
      <c r="S809">
        <f>IFERROR(L809*MAX(N809,1)/R809*IF(ISBLANK(K807),1,K807),0)</f>
        <v/>
      </c>
      <c r="AB809" s="7" t="inlineStr">
        <is>
          <t>^Warhead_Melee_Medium</t>
        </is>
      </c>
    </row>
    <row r="810">
      <c r="A810" t="inlineStr">
        <is>
          <t>redalert2</t>
        </is>
      </c>
      <c r="B810" t="inlineStr">
        <is>
          <t>ra2_allies_seal</t>
        </is>
      </c>
      <c r="C810" t="inlineStr">
        <is>
          <t>SEAL</t>
        </is>
      </c>
      <c r="D810" s="6" t="inlineStr">
        <is>
          <t>MeleeInfantry</t>
        </is>
      </c>
      <c r="E810" s="6" t="n">
        <v>31000</v>
      </c>
      <c r="F810" s="6" t="n">
        <v>59</v>
      </c>
      <c r="G810" t="inlineStr">
        <is>
          <t>Plate</t>
        </is>
      </c>
      <c r="H810" s="6" t="n">
        <v>0.75</v>
      </c>
      <c r="I810" s="6" t="n">
        <v>0.75</v>
      </c>
      <c r="J810" s="6" t="n">
        <v>1.25</v>
      </c>
      <c r="K810" s="6" t="n">
        <v>0.009300000000000001</v>
      </c>
      <c r="P810">
        <f>MAX(P811,P812)</f>
        <v/>
      </c>
      <c r="S810">
        <f>S811+S812</f>
        <v/>
      </c>
      <c r="T810">
        <f>(E810/100000+F810/100+(P810/1000)*J810/5+S810/200)*200*I810*H810</f>
        <v/>
      </c>
      <c r="U810">
        <f>((E810*F810/25000)+((P810/1000)*J810*S810/2.5))*I810*H810</f>
        <v/>
      </c>
      <c r="V810">
        <f>(E810*F810*(P810/1000)*J810*S810*I810*H810)/12500000</f>
        <v/>
      </c>
      <c r="W810">
        <f>(((E810/15000)+(F810/50)+(S810/240)+((P810/6000)*J810))*200/4+(((E810/15000)*(F810/50))+(((P810/6000)*J810)*(S810/240)))*200/2+((E810/15000)*(F810/50)*((P810/6000)*J810)*(S810/240))*200)*(H810/1.0)/3</f>
        <v/>
      </c>
      <c r="X810" s="6" t="n">
        <v>1162</v>
      </c>
      <c r="Y810">
        <f>IFERROR(W810-X810,"")</f>
        <v/>
      </c>
      <c r="Z810">
        <f>IFERROR(ABS(Y810)/MAX(X810,1),"")</f>
        <v/>
      </c>
      <c r="AA810">
        <f>IFERROR(ROUND(((3*X810-(((E810/15000)+(F810/50)+(S810/240))*200/4+((E810/15000)*(F810/50))*200/2)*(H810/1.0))/(200/4+((S810/240))*200/2+((E810/15000)*(F810/50)*(S810/240))*200)*(H810/1.0)*6000)/J810,-1),"")</f>
        <v/>
      </c>
    </row>
    <row r="811">
      <c r="B811" s="7" t="inlineStr">
        <is>
          <t xml:space="preserve">  ↳ RA2MP5</t>
        </is>
      </c>
      <c r="C811" s="7" t="inlineStr">
        <is>
          <t>Armament@PRIMARY</t>
        </is>
      </c>
      <c r="L811" s="6" t="n">
        <v>4000</v>
      </c>
      <c r="M811" s="6" t="n">
        <v>10</v>
      </c>
      <c r="N811" s="6" t="n">
        <v>4</v>
      </c>
      <c r="O811" s="6" t="n">
        <v>3</v>
      </c>
      <c r="P811" s="6" t="n">
        <v>6386</v>
      </c>
      <c r="Q811" s="6" t="n">
        <v>0.75</v>
      </c>
      <c r="R811">
        <f>M811+IF(N811&gt;1,N(O811)*(N811-1),0)</f>
        <v/>
      </c>
      <c r="S811">
        <f>IFERROR(L811*MAX(N811,1)/R811*IF(ISBLANK(K810),1,K810),0)</f>
        <v/>
      </c>
      <c r="AB811" s="7" t="inlineStr">
        <is>
          <t>^Warhead_Sniper_Light</t>
        </is>
      </c>
    </row>
    <row r="812">
      <c r="B812" s="7" t="inlineStr">
        <is>
          <t xml:space="preserve">  ↳ RA2MP5_elite</t>
        </is>
      </c>
      <c r="C812" s="7" t="inlineStr">
        <is>
          <t>Armament@ELITE</t>
        </is>
      </c>
      <c r="L812" s="6" t="n">
        <v>4000</v>
      </c>
      <c r="M812" s="6" t="n">
        <v>10</v>
      </c>
      <c r="N812" s="6" t="n">
        <v>8</v>
      </c>
      <c r="O812" s="6" t="n">
        <v>3</v>
      </c>
      <c r="P812" s="6" t="n">
        <v>6000</v>
      </c>
      <c r="Q812" s="6" t="n">
        <v>0.75</v>
      </c>
      <c r="R812">
        <f>M812+IF(N812&gt;1,N(O812)*(N812-1),0)</f>
        <v/>
      </c>
      <c r="S812">
        <f>IFERROR(L812*MAX(N812,1)/R812*IF(ISBLANK(K810),1,K810),0)</f>
        <v/>
      </c>
      <c r="AB812" s="7" t="inlineStr">
        <is>
          <t>^Warhead_Sniper_Light</t>
        </is>
      </c>
    </row>
    <row r="813">
      <c r="B813" s="7" t="inlineStr">
        <is>
          <t xml:space="preserve">  ↳ RA2MP5</t>
        </is>
      </c>
      <c r="C813" s="7" t="inlineStr">
        <is>
          <t>Armament@GARRISONED</t>
        </is>
      </c>
      <c r="L813" s="6" t="n">
        <v>4000</v>
      </c>
      <c r="M813" s="6" t="n">
        <v>10</v>
      </c>
      <c r="N813" s="6" t="n">
        <v>4</v>
      </c>
      <c r="O813" s="6" t="n">
        <v>3</v>
      </c>
      <c r="P813" s="6" t="n">
        <v>6386</v>
      </c>
      <c r="Q813" s="6" t="n">
        <v>0.75</v>
      </c>
      <c r="R813">
        <f>M813+IF(N813&gt;1,N(O813)*(N813-1),0)</f>
        <v/>
      </c>
      <c r="S813">
        <f>IFERROR(L813*MAX(N813,1)/R813*IF(ISBLANK(K810),1,K810),0)</f>
        <v/>
      </c>
      <c r="AB813" s="7" t="inlineStr">
        <is>
          <t>^Warhead_Sniper_Light</t>
        </is>
      </c>
    </row>
    <row r="814">
      <c r="B814" s="7" t="inlineStr">
        <is>
          <t xml:space="preserve">  ↳ RA2MP5_elite</t>
        </is>
      </c>
      <c r="C814" s="7" t="inlineStr">
        <is>
          <t>Armament@GARRISONEDELITE</t>
        </is>
      </c>
      <c r="L814" s="6" t="n">
        <v>4000</v>
      </c>
      <c r="M814" s="6" t="n">
        <v>10</v>
      </c>
      <c r="N814" s="6" t="n">
        <v>8</v>
      </c>
      <c r="O814" s="6" t="n">
        <v>3</v>
      </c>
      <c r="P814" s="6" t="n">
        <v>6000</v>
      </c>
      <c r="Q814" s="6" t="n">
        <v>0.75</v>
      </c>
      <c r="R814">
        <f>M814+IF(N814&gt;1,N(O814)*(N814-1),0)</f>
        <v/>
      </c>
      <c r="S814">
        <f>IFERROR(L814*MAX(N814,1)/R814*IF(ISBLANK(K810),1,K810),0)</f>
        <v/>
      </c>
      <c r="AB814" s="7" t="inlineStr">
        <is>
          <t>^Warhead_Sniper_Light</t>
        </is>
      </c>
    </row>
    <row r="815">
      <c r="B815" s="7" t="inlineStr">
        <is>
          <t xml:space="preserve">  ↳ SEALAttach</t>
        </is>
      </c>
      <c r="C815" s="7" t="inlineStr">
        <is>
          <t>Armament@shipc4</t>
        </is>
      </c>
      <c r="L815" s="6" t="n"/>
      <c r="M815" s="6" t="n">
        <v>20</v>
      </c>
      <c r="N815" s="6" t="n">
        <v>1</v>
      </c>
      <c r="O815" s="6" t="n"/>
      <c r="P815" s="6" t="n">
        <v>2000</v>
      </c>
      <c r="Q815" s="6" t="n">
        <v>1</v>
      </c>
      <c r="R815">
        <f>M815+IF(N815&gt;1,N(O815)*(N815-1),0)</f>
        <v/>
      </c>
      <c r="S815">
        <f>IFERROR(L815*MAX(N815,1)/R815*IF(ISBLANK(K810),1,K810),0)</f>
        <v/>
      </c>
      <c r="AB815" s="7" t="inlineStr">
        <is>
          <t>TanyaAttach</t>
        </is>
      </c>
    </row>
    <row r="816">
      <c r="A816" t="inlineStr">
        <is>
          <t>redalert2</t>
        </is>
      </c>
      <c r="B816" t="inlineStr">
        <is>
          <t>ra2_soviets_crazyivan</t>
        </is>
      </c>
      <c r="C816" t="inlineStr">
        <is>
          <t>Crazy Ivan</t>
        </is>
      </c>
      <c r="D816" s="6" t="inlineStr">
        <is>
          <t>MeleeInfantry</t>
        </is>
      </c>
      <c r="E816" s="6" t="n">
        <v>10000</v>
      </c>
      <c r="F816" s="6" t="n">
        <v>100</v>
      </c>
      <c r="G816" t="inlineStr">
        <is>
          <t>Plate</t>
        </is>
      </c>
      <c r="H816" s="6" t="n">
        <v>0.9322</v>
      </c>
      <c r="I816" s="6" t="n">
        <v>1</v>
      </c>
      <c r="J816" s="6" t="n">
        <v>1</v>
      </c>
      <c r="K816" s="6" t="n"/>
      <c r="X816" s="6" t="n">
        <v>600</v>
      </c>
    </row>
    <row r="817">
      <c r="B817" s="7" t="inlineStr">
        <is>
          <t xml:space="preserve">  ↳ IvanAttach</t>
        </is>
      </c>
      <c r="C817" s="7" t="inlineStr">
        <is>
          <t>Armament</t>
        </is>
      </c>
      <c r="L817" s="6" t="n"/>
      <c r="M817" s="6" t="n">
        <v>20</v>
      </c>
      <c r="N817" s="6" t="n">
        <v>1</v>
      </c>
      <c r="O817" s="6" t="n"/>
      <c r="P817" s="6" t="n">
        <v>2000</v>
      </c>
      <c r="Q817" s="6" t="n">
        <v>1</v>
      </c>
      <c r="R817">
        <f>M817+IF(N817&gt;1,N(O817)*(N817-1),0)</f>
        <v/>
      </c>
      <c r="S817">
        <f>IFERROR(L817*MAX(N817,1)/R817*IF(ISBLANK(K816),1,K816),0)</f>
        <v/>
      </c>
      <c r="AB817" s="7" t="inlineStr"/>
    </row>
    <row r="818">
      <c r="B818" s="7" t="inlineStr">
        <is>
          <t xml:space="preserve">  ↳ IvanAttachAir</t>
        </is>
      </c>
      <c r="C818" s="7" t="inlineStr">
        <is>
          <t>Armament@aa</t>
        </is>
      </c>
      <c r="L818" s="6" t="n"/>
      <c r="M818" s="6" t="n">
        <v>20</v>
      </c>
      <c r="N818" s="6" t="n">
        <v>1</v>
      </c>
      <c r="O818" s="6" t="n"/>
      <c r="P818" s="6" t="n">
        <v>2000</v>
      </c>
      <c r="Q818" s="6" t="n">
        <v>1</v>
      </c>
      <c r="R818">
        <f>M818+IF(N818&gt;1,N(O818)*(N818-1),0)</f>
        <v/>
      </c>
      <c r="S818">
        <f>IFERROR(L818*MAX(N818,1)/R818*IF(ISBLANK(K816),1,K816),0)</f>
        <v/>
      </c>
      <c r="AB818" s="7" t="inlineStr">
        <is>
          <t>IvanAttach</t>
        </is>
      </c>
    </row>
    <row r="819">
      <c r="A819" t="inlineStr">
        <is>
          <t>redalert2</t>
        </is>
      </c>
      <c r="B819" t="inlineStr">
        <is>
          <t>yuri_brute</t>
        </is>
      </c>
      <c r="C819" t="inlineStr">
        <is>
          <t>Brute</t>
        </is>
      </c>
      <c r="D819" s="6" t="inlineStr">
        <is>
          <t>MeleeInfantry</t>
        </is>
      </c>
      <c r="E819" s="6" t="n">
        <v>45000</v>
      </c>
      <c r="F819" s="6" t="n">
        <v>80</v>
      </c>
      <c r="G819" t="inlineStr">
        <is>
          <t>Plate</t>
        </is>
      </c>
      <c r="H819" s="6" t="n">
        <v>1</v>
      </c>
      <c r="I819" s="6" t="n">
        <v>0.75</v>
      </c>
      <c r="J819" s="6" t="n">
        <v>1</v>
      </c>
      <c r="K819" s="6" t="n"/>
      <c r="P819">
        <f>MAX(P820,P821)</f>
        <v/>
      </c>
      <c r="S819">
        <f>S820+S821</f>
        <v/>
      </c>
      <c r="T819">
        <f>(E819/100000+F819/100+(P819/1000)*J819/5+S819/200)*200*I819*H819</f>
        <v/>
      </c>
      <c r="U819">
        <f>((E819*F819/25000)+((P819/1000)*J819*S819/2.5))*I819*H819</f>
        <v/>
      </c>
      <c r="V819">
        <f>(E819*F819*(P819/1000)*J819*S819*I819*H819)/12500000</f>
        <v/>
      </c>
      <c r="W819">
        <f>(T819+U819+V819)/3</f>
        <v/>
      </c>
      <c r="X819" s="6" t="n">
        <v>400</v>
      </c>
      <c r="Y819">
        <f>IFERROR(W819-X819,"")</f>
        <v/>
      </c>
      <c r="Z819">
        <f>IFERROR(ABS(Y819)/MAX(X819,1),"")</f>
        <v/>
      </c>
      <c r="AA819">
        <f>IFERROR((X819-(((E819/100000+F819/100+S819/200)*200*I819*H819)+((E819*F819/25000)*I819*H819))/3)/(((J819/5)*200*I819*H819)+((J819*S819/2.5)*I819*H819)+((E819*F819*J819*S819*I819*H819)/12500000))/3*1000,"")</f>
        <v/>
      </c>
    </row>
    <row r="820">
      <c r="B820" s="7" t="inlineStr">
        <is>
          <t xml:space="preserve">  ↳ RA2BrutePunch</t>
        </is>
      </c>
      <c r="C820" s="7" t="inlineStr">
        <is>
          <t>Armament@PRIMARY</t>
        </is>
      </c>
      <c r="L820" s="6" t="n">
        <v>20000</v>
      </c>
      <c r="M820" s="6" t="n">
        <v>37</v>
      </c>
      <c r="N820" s="6" t="n">
        <v>1</v>
      </c>
      <c r="O820" s="6" t="n"/>
      <c r="P820" s="6" t="n">
        <v>1616</v>
      </c>
      <c r="Q820" s="6" t="n">
        <v>1</v>
      </c>
      <c r="R820">
        <f>M820+IF(N820&gt;1,N(O820)*(N820-1),0)</f>
        <v/>
      </c>
      <c r="S820">
        <f>IFERROR(L820*MAX(N820,1)/R820*IF(ISBLANK(K819),1,K819),0)</f>
        <v/>
      </c>
      <c r="AB820" s="7" t="inlineStr">
        <is>
          <t>^Warhead_Melee_Medium</t>
        </is>
      </c>
    </row>
    <row r="821">
      <c r="B821" s="7" t="inlineStr">
        <is>
          <t xml:space="preserve">  ↳ RA2BrutePunch_elite</t>
        </is>
      </c>
      <c r="C821" s="7" t="inlineStr">
        <is>
          <t>Armament@ELITE</t>
        </is>
      </c>
      <c r="L821" s="6" t="n">
        <v>20000</v>
      </c>
      <c r="M821" s="6" t="n">
        <v>37</v>
      </c>
      <c r="N821" s="6" t="n">
        <v>2</v>
      </c>
      <c r="O821" s="6" t="n">
        <v>3</v>
      </c>
      <c r="P821" s="6" t="n">
        <v>1616</v>
      </c>
      <c r="Q821" s="6" t="n">
        <v>1</v>
      </c>
      <c r="R821">
        <f>M821+IF(N821&gt;1,N(O821)*(N821-1),0)</f>
        <v/>
      </c>
      <c r="S821">
        <f>IFERROR(L821*MAX(N821,1)/R821*IF(ISBLANK(K819),1,K819),0)</f>
        <v/>
      </c>
      <c r="AB821" s="7" t="inlineStr">
        <is>
          <t>^Warhead_Melee_Medium</t>
        </is>
      </c>
    </row>
    <row r="822">
      <c r="A822" t="inlineStr">
        <is>
          <t>redalert2mod</t>
        </is>
      </c>
      <c r="B822" t="inlineStr">
        <is>
          <t>asianalliance_alligator</t>
        </is>
      </c>
      <c r="C822" t="inlineStr">
        <is>
          <t>Alligator</t>
        </is>
      </c>
      <c r="D822" s="6" t="inlineStr">
        <is>
          <t>MeleeInfantry</t>
        </is>
      </c>
      <c r="E822" s="6" t="n">
        <v>27000</v>
      </c>
      <c r="F822" s="6" t="n">
        <v>108</v>
      </c>
      <c r="G822" t="inlineStr">
        <is>
          <t>None</t>
        </is>
      </c>
      <c r="H822" s="6" t="n">
        <v>1</v>
      </c>
      <c r="I822" s="6" t="n">
        <v>0.75</v>
      </c>
      <c r="J822" s="6" t="n">
        <v>1</v>
      </c>
      <c r="K822" s="6" t="n"/>
      <c r="P822">
        <f>MAX(P823,P824)</f>
        <v/>
      </c>
      <c r="S822">
        <f>S823+S824</f>
        <v/>
      </c>
      <c r="T822">
        <f>(E822/100000+F822/100+(P822/1000)*J822/5+S822/200)*200*I822*H822</f>
        <v/>
      </c>
      <c r="U822">
        <f>((E822*F822/25000)+((P822/1000)*J822*S822/2.5))*I822*H822</f>
        <v/>
      </c>
      <c r="V822">
        <f>(E822*F822*(P822/1000)*J822*S822*I822*H822)/12500000</f>
        <v/>
      </c>
      <c r="W822">
        <f>(T822+U822+V822)/3</f>
        <v/>
      </c>
      <c r="X822" s="6" t="n">
        <v>300</v>
      </c>
      <c r="Y822">
        <f>IFERROR(W822-X822,"")</f>
        <v/>
      </c>
      <c r="Z822">
        <f>IFERROR(ABS(Y822)/MAX(X822,1),"")</f>
        <v/>
      </c>
      <c r="AA822">
        <f>IFERROR((X822-(((E822/100000+F822/100+S822/200)*200*I822*H822)+((E822*F822/25000)*I822*H822))/3)/(((J822/5)*200*I822*H822)+((J822*S822/2.5)*I822*H822)+((E822*F822*J822*S822*I822*H822)/12500000))/3*1000,"")</f>
        <v/>
      </c>
    </row>
    <row r="823">
      <c r="B823" s="7" t="inlineStr">
        <is>
          <t xml:space="preserve">  ↳ AsianCrocBite</t>
        </is>
      </c>
      <c r="C823" s="7" t="inlineStr">
        <is>
          <t>Armament@PRIMARY</t>
        </is>
      </c>
      <c r="L823" s="6" t="n">
        <v>16000</v>
      </c>
      <c r="M823" s="6" t="n">
        <v>39</v>
      </c>
      <c r="N823" s="6" t="n">
        <v>1</v>
      </c>
      <c r="O823" s="6" t="n"/>
      <c r="P823" s="6" t="n">
        <v>1345</v>
      </c>
      <c r="Q823" s="6" t="n">
        <v>1</v>
      </c>
      <c r="R823">
        <f>M823+IF(N823&gt;1,N(O823)*(N823-1),0)</f>
        <v/>
      </c>
      <c r="S823">
        <f>IFERROR(L823*MAX(N823,1)/R823*IF(ISBLANK(K822),1,K822),0)</f>
        <v/>
      </c>
      <c r="AB823" s="7" t="inlineStr">
        <is>
          <t>^Warhead_Melee_Medium</t>
        </is>
      </c>
    </row>
    <row r="824">
      <c r="B824" s="7" t="inlineStr">
        <is>
          <t xml:space="preserve">  ↳ AsianCrocBite_elite</t>
        </is>
      </c>
      <c r="C824" s="7" t="inlineStr">
        <is>
          <t>Armament@ELITE</t>
        </is>
      </c>
      <c r="L824" s="6" t="n">
        <v>16000</v>
      </c>
      <c r="M824" s="6" t="n">
        <v>39</v>
      </c>
      <c r="N824" s="6" t="n">
        <v>2</v>
      </c>
      <c r="O824" s="6" t="n">
        <v>3</v>
      </c>
      <c r="P824" s="6" t="n">
        <v>1345</v>
      </c>
      <c r="Q824" s="6" t="n">
        <v>1</v>
      </c>
      <c r="R824">
        <f>M824+IF(N824&gt;1,N(O824)*(N824-1),0)</f>
        <v/>
      </c>
      <c r="S824">
        <f>IFERROR(L824*MAX(N824,1)/R824*IF(ISBLANK(K822),1,K822),0)</f>
        <v/>
      </c>
      <c r="AB824" s="7" t="inlineStr">
        <is>
          <t>^Warhead_Melee_Medium</t>
        </is>
      </c>
    </row>
    <row r="825">
      <c r="A825" t="inlineStr">
        <is>
          <t>redalert2mod</t>
        </is>
      </c>
      <c r="B825" t="inlineStr">
        <is>
          <t>asianalliance_japanesesamurai</t>
        </is>
      </c>
      <c r="C825" t="inlineStr">
        <is>
          <t>Japanese Samurai</t>
        </is>
      </c>
      <c r="D825" s="6" t="inlineStr">
        <is>
          <t>MeleeInfantry</t>
        </is>
      </c>
      <c r="E825" s="6" t="n">
        <v>40000</v>
      </c>
      <c r="F825" s="6" t="n">
        <v>72</v>
      </c>
      <c r="G825" t="inlineStr">
        <is>
          <t>Plate</t>
        </is>
      </c>
      <c r="H825" s="6" t="n">
        <v>0.75</v>
      </c>
      <c r="I825" s="6" t="n">
        <v>1</v>
      </c>
      <c r="J825" s="6" t="n">
        <v>1</v>
      </c>
      <c r="K825" s="6" t="n"/>
      <c r="P825">
        <f>MAX(P826,P827,P828)</f>
        <v/>
      </c>
      <c r="S825">
        <f>S826+S827+S828</f>
        <v/>
      </c>
      <c r="T825">
        <f>(E825/100000+F825/100+(P825/1000)*J825/5+S825/200)*200*I825*H825</f>
        <v/>
      </c>
      <c r="U825">
        <f>((E825*F825/25000)+((P825/1000)*J825*S825/2.5))*I825*H825</f>
        <v/>
      </c>
      <c r="V825">
        <f>(E825*F825*(P825/1000)*J825*S825*I825*H825)/12500000</f>
        <v/>
      </c>
      <c r="W825">
        <f>(T825+U825+V825)/3</f>
        <v/>
      </c>
      <c r="X825" s="6" t="n">
        <v>350</v>
      </c>
      <c r="Y825">
        <f>IFERROR(W825-X825,"")</f>
        <v/>
      </c>
      <c r="Z825">
        <f>IFERROR(ABS(Y825)/MAX(X825,1),"")</f>
        <v/>
      </c>
      <c r="AA825">
        <f>IFERROR((X825-(((E825/100000+F825/100+S825/200)*200*I825*H825)+((E825*F825/25000)*I825*H825))/3)/(((J825/5)*200*I825*H825)+((J825*S825/2.5)*I825*H825)+((E825*F825*J825*S825*I825*H825)/12500000))/3*1000,"")</f>
        <v/>
      </c>
    </row>
    <row r="826">
      <c r="B826" s="7" t="inlineStr">
        <is>
          <t xml:space="preserve">  ↳ AsianSamuraiSword1</t>
        </is>
      </c>
      <c r="C826" s="7" t="inlineStr">
        <is>
          <t>Armament@Sword1</t>
        </is>
      </c>
      <c r="L826" s="6" t="n">
        <v>20000</v>
      </c>
      <c r="M826" s="6" t="n">
        <v>40</v>
      </c>
      <c r="N826" s="6" t="n">
        <v>1</v>
      </c>
      <c r="O826" s="6" t="n"/>
      <c r="P826" s="6" t="n">
        <v>1579</v>
      </c>
      <c r="Q826" s="6" t="n">
        <v>1</v>
      </c>
      <c r="R826">
        <f>M826+IF(N826&gt;1,N(O826)*(N826-1),0)</f>
        <v/>
      </c>
      <c r="S826">
        <f>IFERROR(L826*MAX(N826,1)/R826*IF(ISBLANK(K825),1,K825),0)</f>
        <v/>
      </c>
      <c r="AB826" s="7" t="inlineStr">
        <is>
          <t>^Warhead_Melee_Medium</t>
        </is>
      </c>
    </row>
    <row r="827">
      <c r="B827" s="7" t="inlineStr">
        <is>
          <t xml:space="preserve">  ↳ AsianSamuraiSword2</t>
        </is>
      </c>
      <c r="C827" s="7" t="inlineStr">
        <is>
          <t>Armament@Sword2</t>
        </is>
      </c>
      <c r="L827" s="6" t="n">
        <v>20000</v>
      </c>
      <c r="M827" s="6" t="n">
        <v>40</v>
      </c>
      <c r="N827" s="6" t="n">
        <v>2</v>
      </c>
      <c r="O827" s="6" t="n">
        <v>3</v>
      </c>
      <c r="P827" s="6" t="n">
        <v>1579</v>
      </c>
      <c r="Q827" s="6" t="n">
        <v>1</v>
      </c>
      <c r="R827">
        <f>M827+IF(N827&gt;1,N(O827)*(N827-1),0)</f>
        <v/>
      </c>
      <c r="S827">
        <f>IFERROR(L827*MAX(N827,1)/R827*IF(ISBLANK(K825),1,K825),0)</f>
        <v/>
      </c>
      <c r="AB827" s="7" t="inlineStr">
        <is>
          <t>^Warhead_Melee_Medium</t>
        </is>
      </c>
    </row>
    <row r="828">
      <c r="B828" s="7" t="inlineStr">
        <is>
          <t xml:space="preserve">  ↳ AsianSamuraiSword3</t>
        </is>
      </c>
      <c r="C828" s="7" t="inlineStr">
        <is>
          <t>Armament@Sword3</t>
        </is>
      </c>
      <c r="L828" s="6" t="n">
        <v>20000</v>
      </c>
      <c r="M828" s="6" t="n">
        <v>40</v>
      </c>
      <c r="N828" s="6" t="n">
        <v>3</v>
      </c>
      <c r="O828" s="6" t="n">
        <v>3</v>
      </c>
      <c r="P828" s="6" t="n">
        <v>1579</v>
      </c>
      <c r="Q828" s="6" t="n">
        <v>1</v>
      </c>
      <c r="R828">
        <f>M828+IF(N828&gt;1,N(O828)*(N828-1),0)</f>
        <v/>
      </c>
      <c r="S828">
        <f>IFERROR(L828*MAX(N828,1)/R828*IF(ISBLANK(K825),1,K825),0)</f>
        <v/>
      </c>
      <c r="AB828" s="7" t="inlineStr">
        <is>
          <t>^Warhead_Melee_Medium</t>
        </is>
      </c>
    </row>
    <row r="829">
      <c r="A829" t="inlineStr">
        <is>
          <t>redalert2mod</t>
        </is>
      </c>
      <c r="B829" t="inlineStr">
        <is>
          <t>latinsyndicate_terrorist</t>
        </is>
      </c>
      <c r="C829" t="inlineStr">
        <is>
          <t>Terrorist</t>
        </is>
      </c>
      <c r="D829" s="6" t="inlineStr">
        <is>
          <t>MeleeInfantry</t>
        </is>
      </c>
      <c r="E829" s="6" t="n">
        <v>15000</v>
      </c>
      <c r="F829" s="6" t="n">
        <v>75</v>
      </c>
      <c r="G829" t="inlineStr">
        <is>
          <t>Plate</t>
        </is>
      </c>
      <c r="H829" s="6" t="n">
        <v>1</v>
      </c>
      <c r="I829" s="6" t="n">
        <v>1</v>
      </c>
      <c r="J829" s="6" t="n">
        <v>1</v>
      </c>
      <c r="K829" s="6" t="n">
        <v>0.02</v>
      </c>
      <c r="X829" s="6" t="n">
        <v>200</v>
      </c>
    </row>
    <row r="830">
      <c r="B830" s="7" t="inlineStr">
        <is>
          <t xml:space="preserve">  ↳ SuicideBomberTargeting</t>
        </is>
      </c>
      <c r="C830" s="7" t="inlineStr">
        <is>
          <t>Armament@PRIMARY</t>
        </is>
      </c>
      <c r="L830" s="6" t="n"/>
      <c r="M830" s="6" t="n"/>
      <c r="N830" s="6" t="n">
        <v>1</v>
      </c>
      <c r="O830" s="6" t="n"/>
      <c r="P830" s="6" t="n">
        <v>1536</v>
      </c>
      <c r="Q830" s="6" t="n">
        <v>1</v>
      </c>
      <c r="R830">
        <f>M830+IF(N830&gt;1,N(O830)*(N830-1),0)</f>
        <v/>
      </c>
      <c r="S830">
        <f>IFERROR(L830*MAX(N830,1)/R830*IF(ISBLANK(K829),1,K829),0)</f>
        <v/>
      </c>
      <c r="AB830" s="7" t="inlineStr">
        <is>
          <t>DemoTruckTargeting</t>
        </is>
      </c>
    </row>
    <row r="831">
      <c r="A831" t="inlineStr">
        <is>
          <t>redalert2mod</t>
        </is>
      </c>
      <c r="B831" t="inlineStr">
        <is>
          <t>frank.nax</t>
        </is>
      </c>
      <c r="C831" t="inlineStr">
        <is>
          <t>Übermutant</t>
        </is>
      </c>
      <c r="D831" s="6" t="inlineStr">
        <is>
          <t>MeleeInfantry</t>
        </is>
      </c>
      <c r="E831" s="6" t="n">
        <v>85000</v>
      </c>
      <c r="F831" s="6" t="n">
        <v>61</v>
      </c>
      <c r="G831" t="inlineStr">
        <is>
          <t>Plate</t>
        </is>
      </c>
      <c r="H831" s="6" t="n">
        <v>1</v>
      </c>
      <c r="I831" s="6" t="n">
        <v>0.75</v>
      </c>
      <c r="J831" s="6" t="n">
        <v>1</v>
      </c>
      <c r="K831" s="6" t="n"/>
      <c r="P831">
        <f>MAX(P832,P833)</f>
        <v/>
      </c>
      <c r="S831">
        <f>S832+S833</f>
        <v/>
      </c>
      <c r="T831">
        <f>(E831/100000+F831/100+(P831/1000)*J831/5+S831/200)*200*I831*H831</f>
        <v/>
      </c>
      <c r="U831">
        <f>((E831*F831/25000)+((P831/1000)*J831*S831/2.5))*I831*H831</f>
        <v/>
      </c>
      <c r="V831">
        <f>(E831*F831*(P831/1000)*J831*S831*I831*H831)/12500000</f>
        <v/>
      </c>
      <c r="W831">
        <f>(T831+U831+V831)/3</f>
        <v/>
      </c>
      <c r="X831" s="6" t="n">
        <v>500</v>
      </c>
      <c r="Y831">
        <f>IFERROR(W831-X831,"")</f>
        <v/>
      </c>
      <c r="Z831">
        <f>IFERROR(ABS(Y831)/MAX(X831,1),"")</f>
        <v/>
      </c>
      <c r="AA831">
        <f>IFERROR((X831-(((E831/100000+F831/100+S831/200)*200*I831*H831)+((E831*F831/25000)*I831*H831))/3)/(((J831/5)*200*I831*H831)+((J831*S831/2.5)*I831*H831)+((E831*F831*J831*S831*I831*H831)/12500000))/3*1000,"")</f>
        <v/>
      </c>
    </row>
    <row r="832">
      <c r="B832" s="7" t="inlineStr">
        <is>
          <t xml:space="preserve">  ↳ RA2BrutePunch</t>
        </is>
      </c>
      <c r="C832" s="7" t="inlineStr">
        <is>
          <t>Armament@PRIMARY</t>
        </is>
      </c>
      <c r="L832" s="6" t="n">
        <v>20000</v>
      </c>
      <c r="M832" s="6" t="n">
        <v>37</v>
      </c>
      <c r="N832" s="6" t="n">
        <v>1</v>
      </c>
      <c r="O832" s="6" t="n"/>
      <c r="P832" s="6" t="n">
        <v>1616</v>
      </c>
      <c r="Q832" s="6" t="n">
        <v>1</v>
      </c>
      <c r="R832">
        <f>M832+IF(N832&gt;1,N(O832)*(N832-1),0)</f>
        <v/>
      </c>
      <c r="S832">
        <f>IFERROR(L832*MAX(N832,1)/R832*IF(ISBLANK(K831),1,K831),0)</f>
        <v/>
      </c>
      <c r="AB832" s="7" t="inlineStr">
        <is>
          <t>^Warhead_Melee_Medium</t>
        </is>
      </c>
    </row>
    <row r="833">
      <c r="B833" s="7" t="inlineStr">
        <is>
          <t xml:space="preserve">  ↳ RA2BrutePunch_elite</t>
        </is>
      </c>
      <c r="C833" s="7" t="inlineStr">
        <is>
          <t>Armament@ELITE</t>
        </is>
      </c>
      <c r="L833" s="6" t="n">
        <v>20000</v>
      </c>
      <c r="M833" s="6" t="n">
        <v>37</v>
      </c>
      <c r="N833" s="6" t="n">
        <v>2</v>
      </c>
      <c r="O833" s="6" t="n">
        <v>3</v>
      </c>
      <c r="P833" s="6" t="n">
        <v>1616</v>
      </c>
      <c r="Q833" s="6" t="n">
        <v>1</v>
      </c>
      <c r="R833">
        <f>M833+IF(N833&gt;1,N(O833)*(N833-1),0)</f>
        <v/>
      </c>
      <c r="S833">
        <f>IFERROR(L833*MAX(N833,1)/R833*IF(ISBLANK(K831),1,K831),0)</f>
        <v/>
      </c>
      <c r="AB833" s="7" t="inlineStr">
        <is>
          <t>^Warhead_Melee_Medium</t>
        </is>
      </c>
    </row>
    <row r="834">
      <c r="B834" s="7" t="inlineStr">
        <is>
          <t xml:space="preserve">  ↳ RA2BrutePunch</t>
        </is>
      </c>
      <c r="C834" s="7" t="inlineStr">
        <is>
          <t>Armament@GARRISONED</t>
        </is>
      </c>
      <c r="L834" s="6" t="n">
        <v>20000</v>
      </c>
      <c r="M834" s="6" t="n">
        <v>37</v>
      </c>
      <c r="N834" s="6" t="n">
        <v>1</v>
      </c>
      <c r="O834" s="6" t="n"/>
      <c r="P834" s="6" t="n">
        <v>1616</v>
      </c>
      <c r="Q834" s="6" t="n">
        <v>1</v>
      </c>
      <c r="R834">
        <f>M834+IF(N834&gt;1,N(O834)*(N834-1),0)</f>
        <v/>
      </c>
      <c r="S834">
        <f>IFERROR(L834*MAX(N834,1)/R834*IF(ISBLANK(K831),1,K831),0)</f>
        <v/>
      </c>
      <c r="AB834" s="7" t="inlineStr">
        <is>
          <t>^Warhead_Melee_Medium</t>
        </is>
      </c>
    </row>
    <row r="835">
      <c r="A835" t="inlineStr">
        <is>
          <t>redalert2mod</t>
        </is>
      </c>
      <c r="B835" t="inlineStr">
        <is>
          <t>naxis_slave</t>
        </is>
      </c>
      <c r="C835" t="inlineStr">
        <is>
          <t>Slave</t>
        </is>
      </c>
      <c r="D835" s="6" t="inlineStr">
        <is>
          <t>MeleeInfantry</t>
        </is>
      </c>
      <c r="E835" s="6" t="n">
        <v>10000</v>
      </c>
      <c r="F835" s="6" t="n">
        <v>60</v>
      </c>
      <c r="G835" t="inlineStr">
        <is>
          <t>Plate</t>
        </is>
      </c>
      <c r="H835" s="6" t="n">
        <v>0.9649</v>
      </c>
      <c r="I835" s="6" t="n">
        <v>1</v>
      </c>
      <c r="J835" s="6" t="n">
        <v>1</v>
      </c>
      <c r="K835" s="6" t="n"/>
      <c r="P835">
        <f>MAX(P836)</f>
        <v/>
      </c>
      <c r="S835">
        <f>S836</f>
        <v/>
      </c>
      <c r="T835">
        <f>(E835/100000+F835/100+(P835/1000)*J835/5+S835/200)*200*I835*H835</f>
        <v/>
      </c>
      <c r="U835">
        <f>((E835*F835/25000)+((P835/1000)*J835*S835/2.5))*I835*H835</f>
        <v/>
      </c>
      <c r="V835">
        <f>(E835*F835*(P835/1000)*J835*S835*I835*H835)/12500000</f>
        <v/>
      </c>
      <c r="W835">
        <f>(T835+U835+V835)/3</f>
        <v/>
      </c>
      <c r="X835" s="6" t="n">
        <v>250</v>
      </c>
      <c r="Y835">
        <f>IFERROR(W835-X835,"")</f>
        <v/>
      </c>
      <c r="Z835">
        <f>IFERROR(ABS(Y835)/MAX(X835,1),"")</f>
        <v/>
      </c>
      <c r="AA835">
        <f>IFERROR((X835-(((E835/100000+F835/100+S835/200)*200*I835*H835)+((E835*F835/25000)*I835*H835))/3)/(((J835/5)*200*I835*H835)+((J835*S835/2.5)*I835*H835)+((E835*F835*J835*S835*I835*H835)/12500000))/3*1000,"")</f>
        <v/>
      </c>
    </row>
    <row r="836">
      <c r="B836" s="7" t="inlineStr">
        <is>
          <t xml:space="preserve">  ↳ RA2Shovel</t>
        </is>
      </c>
      <c r="C836" s="7" t="inlineStr">
        <is>
          <t>Armament@PRIMARY</t>
        </is>
      </c>
      <c r="L836" s="6" t="n">
        <v>2000</v>
      </c>
      <c r="M836" s="6" t="n">
        <v>30</v>
      </c>
      <c r="N836" s="6" t="n">
        <v>1</v>
      </c>
      <c r="O836" s="6" t="n"/>
      <c r="P836" s="6" t="n">
        <v>1500</v>
      </c>
      <c r="Q836" s="6" t="n">
        <v>1</v>
      </c>
      <c r="R836">
        <f>M836+IF(N836&gt;1,N(O836)*(N836-1),0)</f>
        <v/>
      </c>
      <c r="S836">
        <f>IFERROR(L836*MAX(N836,1)/R836*IF(ISBLANK(K835),1,K835),0)</f>
        <v/>
      </c>
      <c r="AB836" s="7" t="inlineStr">
        <is>
          <t>^Warhead_Melee_Medium</t>
        </is>
      </c>
    </row>
    <row r="837">
      <c r="B837" s="7" t="inlineStr">
        <is>
          <t xml:space="preserve">  ↳ RA2Shovel</t>
        </is>
      </c>
      <c r="C837" s="7" t="inlineStr">
        <is>
          <t>Armament@GARRISONED</t>
        </is>
      </c>
      <c r="L837" s="6" t="n">
        <v>2000</v>
      </c>
      <c r="M837" s="6" t="n">
        <v>30</v>
      </c>
      <c r="N837" s="6" t="n">
        <v>1</v>
      </c>
      <c r="O837" s="6" t="n"/>
      <c r="P837" s="6" t="n">
        <v>1500</v>
      </c>
      <c r="Q837" s="6" t="n">
        <v>1</v>
      </c>
      <c r="R837">
        <f>M837+IF(N837&gt;1,N(O837)*(N837-1),0)</f>
        <v/>
      </c>
      <c r="S837">
        <f>IFERROR(L837*MAX(N837,1)/R837*IF(ISBLANK(K835),1,K835),0)</f>
        <v/>
      </c>
      <c r="AB837" s="7" t="inlineStr">
        <is>
          <t>^Warhead_Melee_Medium</t>
        </is>
      </c>
    </row>
    <row r="838">
      <c r="A838" t="inlineStr">
        <is>
          <t>redalert2mod</t>
        </is>
      </c>
      <c r="B838" t="inlineStr">
        <is>
          <t>futuretech_blackwidow</t>
        </is>
      </c>
      <c r="C838" t="inlineStr">
        <is>
          <t>Black Widow</t>
        </is>
      </c>
      <c r="D838" s="6" t="inlineStr">
        <is>
          <t>MeleeInfantry</t>
        </is>
      </c>
      <c r="E838" s="6" t="n">
        <v>25000</v>
      </c>
      <c r="F838" s="6" t="n">
        <v>75</v>
      </c>
      <c r="G838" t="inlineStr">
        <is>
          <t>Plate</t>
        </is>
      </c>
      <c r="H838" s="6" t="n">
        <v>0.75</v>
      </c>
      <c r="I838" s="6" t="n">
        <v>0.75</v>
      </c>
      <c r="J838" s="6" t="n">
        <v>1.25</v>
      </c>
      <c r="K838" s="6" t="n"/>
      <c r="P838">
        <f>MAX(P839,P840)</f>
        <v/>
      </c>
      <c r="S838">
        <f>S839+S840</f>
        <v/>
      </c>
      <c r="T838">
        <f>(E838/100000+F838/100+(P838/1000)*J838/5+S838/200)*200*I838*H838</f>
        <v/>
      </c>
      <c r="U838">
        <f>((E838*F838/25000)+((P838/1000)*J838*S838/2.5))*I838*H838</f>
        <v/>
      </c>
      <c r="V838">
        <f>(E838*F838*(P838/1000)*J838*S838*I838*H838)/12500000</f>
        <v/>
      </c>
      <c r="W838">
        <f>(T838+U838+V838)/3</f>
        <v/>
      </c>
      <c r="X838" s="6" t="n">
        <v>1200</v>
      </c>
      <c r="Y838">
        <f>IFERROR(W838-X838,"")</f>
        <v/>
      </c>
      <c r="Z838">
        <f>IFERROR(ABS(Y838)/MAX(X838,1),"")</f>
        <v/>
      </c>
      <c r="AA838">
        <f>IFERROR((X838-(((E838/100000+F838/100+S838/200)*200*I838*H838)+((E838*F838/25000)*I838*H838))/3)/(((J838/5)*200*I838*H838)+((J838*S838/2.5)*I838*H838)+((E838*F838*J838*S838*I838*H838)/12500000))/3*1000,"")</f>
        <v/>
      </c>
    </row>
    <row r="839">
      <c r="B839" s="7" t="inlineStr">
        <is>
          <t xml:space="preserve">  ↳ BlackWidowPistols</t>
        </is>
      </c>
      <c r="C839" s="7" t="inlineStr">
        <is>
          <t>Armament@PRIMARY</t>
        </is>
      </c>
      <c r="L839" s="6" t="n">
        <v>10000</v>
      </c>
      <c r="M839" s="6" t="n">
        <v>16</v>
      </c>
      <c r="N839" s="6" t="n">
        <v>2</v>
      </c>
      <c r="O839" s="6" t="n">
        <v>3</v>
      </c>
      <c r="P839" s="6" t="n">
        <v>9000</v>
      </c>
      <c r="Q839" s="6" t="n">
        <v>0.75</v>
      </c>
      <c r="R839">
        <f>M839+IF(N839&gt;1,N(O839)*(N839-1),0)</f>
        <v/>
      </c>
      <c r="S839">
        <f>IFERROR(L839*MAX(N839,1)/R839*IF(ISBLANK(K838),1,K838),0)</f>
        <v/>
      </c>
      <c r="AB839" s="7" t="inlineStr">
        <is>
          <t>^Warhead_Sniper_Light</t>
        </is>
      </c>
    </row>
    <row r="840">
      <c r="B840" s="7" t="inlineStr">
        <is>
          <t xml:space="preserve">  ↳ BlackWidowPistols_elite</t>
        </is>
      </c>
      <c r="C840" s="7" t="inlineStr">
        <is>
          <t>Armament@ELITE</t>
        </is>
      </c>
      <c r="L840" s="6" t="n">
        <v>10000</v>
      </c>
      <c r="M840" s="6" t="n">
        <v>16</v>
      </c>
      <c r="N840" s="6" t="n">
        <v>8</v>
      </c>
      <c r="O840" s="6" t="n">
        <v>3</v>
      </c>
      <c r="P840" s="6" t="n">
        <v>6000</v>
      </c>
      <c r="Q840" s="6" t="n">
        <v>0.75</v>
      </c>
      <c r="R840">
        <f>M840+IF(N840&gt;1,N(O840)*(N840-1),0)</f>
        <v/>
      </c>
      <c r="S840">
        <f>IFERROR(L840*MAX(N840,1)/R840*IF(ISBLANK(K838),1,K838),0)</f>
        <v/>
      </c>
      <c r="AB840" s="7" t="inlineStr">
        <is>
          <t>^Warhead_Sniper_Light</t>
        </is>
      </c>
    </row>
    <row r="841">
      <c r="B841" s="7" t="inlineStr">
        <is>
          <t xml:space="preserve">  ↳ BlackWidowPistols</t>
        </is>
      </c>
      <c r="C841" s="7" t="inlineStr">
        <is>
          <t>Armament@GARRISONED</t>
        </is>
      </c>
      <c r="L841" s="6" t="n">
        <v>10000</v>
      </c>
      <c r="M841" s="6" t="n">
        <v>16</v>
      </c>
      <c r="N841" s="6" t="n">
        <v>2</v>
      </c>
      <c r="O841" s="6" t="n">
        <v>3</v>
      </c>
      <c r="P841" s="6" t="n">
        <v>9000</v>
      </c>
      <c r="Q841" s="6" t="n">
        <v>0.75</v>
      </c>
      <c r="R841">
        <f>M841+IF(N841&gt;1,N(O841)*(N841-1),0)</f>
        <v/>
      </c>
      <c r="S841">
        <f>IFERROR(L841*MAX(N841,1)/R841*IF(ISBLANK(K838),1,K838),0)</f>
        <v/>
      </c>
      <c r="AB841" s="7" t="inlineStr">
        <is>
          <t>^Warhead_Sniper_Light</t>
        </is>
      </c>
    </row>
    <row r="842">
      <c r="B842" s="7" t="inlineStr">
        <is>
          <t xml:space="preserve">  ↳ BlackWidowPistols_elite</t>
        </is>
      </c>
      <c r="C842" s="7" t="inlineStr">
        <is>
          <t>Armament@GARRISONEDELITE</t>
        </is>
      </c>
      <c r="L842" s="6" t="n">
        <v>10000</v>
      </c>
      <c r="M842" s="6" t="n">
        <v>16</v>
      </c>
      <c r="N842" s="6" t="n">
        <v>8</v>
      </c>
      <c r="O842" s="6" t="n">
        <v>3</v>
      </c>
      <c r="P842" s="6" t="n">
        <v>6000</v>
      </c>
      <c r="Q842" s="6" t="n">
        <v>0.75</v>
      </c>
      <c r="R842">
        <f>M842+IF(N842&gt;1,N(O842)*(N842-1),0)</f>
        <v/>
      </c>
      <c r="S842">
        <f>IFERROR(L842*MAX(N842,1)/R842*IF(ISBLANK(K838),1,K838),0)</f>
        <v/>
      </c>
      <c r="AB842" s="7" t="inlineStr">
        <is>
          <t>^Warhead_Sniper_Light</t>
        </is>
      </c>
    </row>
    <row r="843">
      <c r="B843" s="7" t="inlineStr">
        <is>
          <t xml:space="preserve">  ↳ SEALAttach</t>
        </is>
      </c>
      <c r="C843" s="7" t="inlineStr">
        <is>
          <t>Armament@shipc4</t>
        </is>
      </c>
      <c r="L843" s="6" t="n"/>
      <c r="M843" s="6" t="n">
        <v>20</v>
      </c>
      <c r="N843" s="6" t="n">
        <v>1</v>
      </c>
      <c r="O843" s="6" t="n"/>
      <c r="P843" s="6" t="n">
        <v>2000</v>
      </c>
      <c r="Q843" s="6" t="n">
        <v>1</v>
      </c>
      <c r="R843">
        <f>M843+IF(N843&gt;1,N(O843)*(N843-1),0)</f>
        <v/>
      </c>
      <c r="S843">
        <f>IFERROR(L843*MAX(N843,1)/R843*IF(ISBLANK(K838),1,K838),0)</f>
        <v/>
      </c>
      <c r="AB843" s="7" t="inlineStr">
        <is>
          <t>TanyaAttach</t>
        </is>
      </c>
    </row>
    <row r="844">
      <c r="A844" t="inlineStr">
        <is>
          <t>redalert2mod</t>
        </is>
      </c>
      <c r="B844" t="inlineStr">
        <is>
          <t>futuretech_enforcer</t>
        </is>
      </c>
      <c r="C844" t="inlineStr">
        <is>
          <t>Enforcer</t>
        </is>
      </c>
      <c r="D844" s="6" t="inlineStr">
        <is>
          <t>MeleeInfantry</t>
        </is>
      </c>
      <c r="E844" s="6" t="n">
        <v>30000</v>
      </c>
      <c r="F844" s="6" t="n">
        <v>60</v>
      </c>
      <c r="G844" t="inlineStr">
        <is>
          <t>Plate</t>
        </is>
      </c>
      <c r="H844" s="6" t="n">
        <v>1</v>
      </c>
      <c r="I844" s="6" t="n">
        <v>1</v>
      </c>
      <c r="J844" s="6" t="n">
        <v>1</v>
      </c>
      <c r="K844" s="6" t="n"/>
      <c r="P844">
        <f>MAX(P845,P846,P848,P849)</f>
        <v/>
      </c>
      <c r="S844">
        <f>S845+S846+S848+S849</f>
        <v/>
      </c>
      <c r="T844">
        <f>(E844/100000+F844/100+(P844/1000)*J844/5+S844/200)*200*I844*H844</f>
        <v/>
      </c>
      <c r="U844">
        <f>((E844*F844/25000)+((P844/1000)*J844*S844/2.5))*I844*H844</f>
        <v/>
      </c>
      <c r="V844">
        <f>(E844*F844*(P844/1000)*J844*S844*I844*H844)/12500000</f>
        <v/>
      </c>
      <c r="W844">
        <f>(T844+U844+V844)/3</f>
        <v/>
      </c>
      <c r="X844" s="6" t="n">
        <v>300</v>
      </c>
      <c r="Y844">
        <f>IFERROR(W844-X844,"")</f>
        <v/>
      </c>
      <c r="Z844">
        <f>IFERROR(ABS(Y844)/MAX(X844,1),"")</f>
        <v/>
      </c>
      <c r="AA844">
        <f>IFERROR((X844-(((E844/100000+F844/100+S844/200)*200*I844*H844)+((E844*F844/25000)*I844*H844))/3)/(((J844/5)*200*I844*H844)+((J844*S844/2.5)*I844*H844)+((E844*F844*J844*S844*I844*H844)/12500000))/3*1000,"")</f>
        <v/>
      </c>
    </row>
    <row r="845">
      <c r="B845" s="7" t="inlineStr">
        <is>
          <t xml:space="preserve">  ↳ FutureEnforcerShotgun</t>
        </is>
      </c>
      <c r="C845" s="7" t="inlineStr">
        <is>
          <t>Armament@PRIMARY</t>
        </is>
      </c>
      <c r="L845" s="6" t="n">
        <v>12000</v>
      </c>
      <c r="M845" s="6" t="n">
        <v>40</v>
      </c>
      <c r="N845" s="6" t="n">
        <v>1</v>
      </c>
      <c r="O845" s="6" t="n"/>
      <c r="P845" s="6" t="n">
        <v>3000</v>
      </c>
      <c r="Q845" s="6" t="n">
        <v>1</v>
      </c>
      <c r="R845">
        <f>M845+IF(N845&gt;1,N(O845)*(N845-1),0)</f>
        <v/>
      </c>
      <c r="S845">
        <f>IFERROR(L845*MAX(N845,1)/R845*IF(ISBLANK(K844),1,K844),0)</f>
        <v/>
      </c>
      <c r="AB845" s="7" t="inlineStr">
        <is>
          <t>^Warhead_CannonHE_Medium</t>
        </is>
      </c>
    </row>
    <row r="846">
      <c r="B846" s="7" t="inlineStr">
        <is>
          <t xml:space="preserve">  ↳ FutureEnforcerShotgunDeployed</t>
        </is>
      </c>
      <c r="C846" s="7" t="inlineStr">
        <is>
          <t>Armament@PRIMARY2</t>
        </is>
      </c>
      <c r="L846" s="6" t="n">
        <v>12000</v>
      </c>
      <c r="M846" s="6" t="n">
        <v>65</v>
      </c>
      <c r="N846" s="6" t="n">
        <v>1</v>
      </c>
      <c r="O846" s="6" t="n"/>
      <c r="P846" s="6" t="n">
        <v>6150</v>
      </c>
      <c r="Q846" s="6" t="n">
        <v>1</v>
      </c>
      <c r="R846">
        <f>M846+IF(N846&gt;1,N(O846)*(N846-1),0)</f>
        <v/>
      </c>
      <c r="S846">
        <f>IFERROR(L846*MAX(N846,1)/R846*IF(ISBLANK(K844),1,K844),0)</f>
        <v/>
      </c>
      <c r="AB846" s="7" t="inlineStr">
        <is>
          <t>^Warhead_CannonHE_Medium</t>
        </is>
      </c>
    </row>
    <row r="847">
      <c r="B847" s="7" t="inlineStr">
        <is>
          <t xml:space="preserve">  ↳ FutureEnforcerShotgunDeployed</t>
        </is>
      </c>
      <c r="C847" s="7" t="inlineStr">
        <is>
          <t>Armament@GARRISONED</t>
        </is>
      </c>
      <c r="L847" s="6" t="n">
        <v>12000</v>
      </c>
      <c r="M847" s="6" t="n">
        <v>65</v>
      </c>
      <c r="N847" s="6" t="n">
        <v>1</v>
      </c>
      <c r="O847" s="6" t="n"/>
      <c r="P847" s="6" t="n">
        <v>6150</v>
      </c>
      <c r="Q847" s="6" t="n">
        <v>1</v>
      </c>
      <c r="R847">
        <f>M847+IF(N847&gt;1,N(O847)*(N847-1),0)</f>
        <v/>
      </c>
      <c r="S847">
        <f>IFERROR(L847*MAX(N847,1)/R847*IF(ISBLANK(K844),1,K844),0)</f>
        <v/>
      </c>
      <c r="AB847" s="7" t="inlineStr">
        <is>
          <t>^Warhead_CannonHE_Medium</t>
        </is>
      </c>
    </row>
    <row r="848">
      <c r="B848" s="7" t="inlineStr">
        <is>
          <t xml:space="preserve">  ↳ FutureEnforcerShotgun_elite</t>
        </is>
      </c>
      <c r="C848" s="7" t="inlineStr">
        <is>
          <t>Armament@ELITE</t>
        </is>
      </c>
      <c r="L848" s="6" t="n">
        <v>12000</v>
      </c>
      <c r="M848" s="6" t="n">
        <v>40</v>
      </c>
      <c r="N848" s="6" t="n">
        <v>2</v>
      </c>
      <c r="O848" s="6" t="n">
        <v>3</v>
      </c>
      <c r="P848" s="6" t="n">
        <v>4000</v>
      </c>
      <c r="Q848" s="6" t="n">
        <v>1</v>
      </c>
      <c r="R848">
        <f>M848+IF(N848&gt;1,N(O848)*(N848-1),0)</f>
        <v/>
      </c>
      <c r="S848">
        <f>IFERROR(L848*MAX(N848,1)/R848*IF(ISBLANK(K844),1,K844),0)</f>
        <v/>
      </c>
      <c r="AB848" s="7" t="inlineStr">
        <is>
          <t>^Warhead_CannonHE_Medium</t>
        </is>
      </c>
    </row>
    <row r="849">
      <c r="B849" s="7" t="inlineStr">
        <is>
          <t xml:space="preserve">  ↳ FutureEnforcerShotgunDeployed_elite</t>
        </is>
      </c>
      <c r="C849" s="7" t="inlineStr">
        <is>
          <t>Armament@ELITE2</t>
        </is>
      </c>
      <c r="L849" s="6" t="n">
        <v>12000</v>
      </c>
      <c r="M849" s="6" t="n">
        <v>65</v>
      </c>
      <c r="N849" s="6" t="n">
        <v>2</v>
      </c>
      <c r="O849" s="6" t="n">
        <v>3</v>
      </c>
      <c r="P849" s="6" t="n">
        <v>7150</v>
      </c>
      <c r="Q849" s="6" t="n">
        <v>1</v>
      </c>
      <c r="R849">
        <f>M849+IF(N849&gt;1,N(O849)*(N849-1),0)</f>
        <v/>
      </c>
      <c r="S849">
        <f>IFERROR(L849*MAX(N849,1)/R849*IF(ISBLANK(K844),1,K844),0)</f>
        <v/>
      </c>
      <c r="AB849" s="7" t="inlineStr">
        <is>
          <t>^Warhead_CannonHE_Medium</t>
        </is>
      </c>
    </row>
    <row r="850">
      <c r="B850" s="7" t="inlineStr">
        <is>
          <t xml:space="preserve">  ↳ FutureEnforcerShotgunDeployed_elite</t>
        </is>
      </c>
      <c r="C850" s="7" t="inlineStr">
        <is>
          <t>Armament@GARRISONEDELITE</t>
        </is>
      </c>
      <c r="L850" s="6" t="n">
        <v>12000</v>
      </c>
      <c r="M850" s="6" t="n">
        <v>65</v>
      </c>
      <c r="N850" s="6" t="n">
        <v>2</v>
      </c>
      <c r="O850" s="6" t="n">
        <v>3</v>
      </c>
      <c r="P850" s="6" t="n">
        <v>7150</v>
      </c>
      <c r="Q850" s="6" t="n">
        <v>1</v>
      </c>
      <c r="R850">
        <f>M850+IF(N850&gt;1,N(O850)*(N850-1),0)</f>
        <v/>
      </c>
      <c r="S850">
        <f>IFERROR(L850*MAX(N850,1)/R850*IF(ISBLANK(K844),1,K844),0)</f>
        <v/>
      </c>
      <c r="AB850" s="7" t="inlineStr">
        <is>
          <t>^Warhead_CannonHE_Medium</t>
        </is>
      </c>
    </row>
    <row r="851">
      <c r="B851" s="7" t="inlineStr">
        <is>
          <t xml:space="preserve">  ↳ aadeploytargeting_8c0_AA</t>
        </is>
      </c>
      <c r="C851" s="7" t="inlineStr">
        <is>
          <t>Armament@BOTAA</t>
        </is>
      </c>
      <c r="L851" s="6" t="n"/>
      <c r="M851" s="6" t="n">
        <v>50</v>
      </c>
      <c r="N851" s="6" t="n">
        <v>1</v>
      </c>
      <c r="O851" s="6" t="n"/>
      <c r="P851" s="6" t="n">
        <v>8000</v>
      </c>
      <c r="Q851" s="6" t="n">
        <v>1</v>
      </c>
      <c r="R851">
        <f>M851+IF(N851&gt;1,N(O851)*(N851-1),0)</f>
        <v/>
      </c>
      <c r="S851">
        <f>IFERROR(L851*MAX(N851,1)/R851*IF(ISBLANK(K844),1,K844),0)</f>
        <v/>
      </c>
      <c r="AB851" s="7" t="inlineStr">
        <is>
          <t>^AADeployTargeting</t>
        </is>
      </c>
    </row>
    <row r="852">
      <c r="A852" t="inlineStr">
        <is>
          <t>redalert2mod</t>
        </is>
      </c>
      <c r="B852" t="inlineStr">
        <is>
          <t>tkm_spetsnaz</t>
        </is>
      </c>
      <c r="C852" t="inlineStr">
        <is>
          <t>Spetsnaz</t>
        </is>
      </c>
      <c r="D852" s="6" t="inlineStr">
        <is>
          <t>MeleeInfantry</t>
        </is>
      </c>
      <c r="E852" s="6" t="n">
        <v>50000</v>
      </c>
      <c r="F852" s="6" t="n">
        <v>100</v>
      </c>
      <c r="G852" t="inlineStr">
        <is>
          <t>Plate</t>
        </is>
      </c>
      <c r="H852" s="6" t="n">
        <v>0.6522</v>
      </c>
      <c r="I852" s="6" t="n">
        <v>1</v>
      </c>
      <c r="J852" s="6" t="n">
        <v>1</v>
      </c>
      <c r="K852" s="6" t="n"/>
      <c r="P852">
        <f>MAX(P853)</f>
        <v/>
      </c>
      <c r="S852">
        <f>S853</f>
        <v/>
      </c>
      <c r="T852">
        <f>(E852/100000+F852/100+(P852/1000)*J852/5+S852/200)*200*I852*H852</f>
        <v/>
      </c>
      <c r="U852">
        <f>((E852*F852/25000)+((P852/1000)*J852*S852/2.5))*I852*H852</f>
        <v/>
      </c>
      <c r="V852">
        <f>(E852*F852*(P852/1000)*J852*S852*I852*H852)/12500000</f>
        <v/>
      </c>
      <c r="W852">
        <f>(T852+U852+V852)/3</f>
        <v/>
      </c>
      <c r="X852" s="6" t="n">
        <v>900</v>
      </c>
      <c r="Y852">
        <f>IFERROR(W852-X852,"")</f>
        <v/>
      </c>
      <c r="Z852">
        <f>IFERROR(ABS(Y852)/MAX(X852,1),"")</f>
        <v/>
      </c>
      <c r="AA852">
        <f>IFERROR((X852-(((E852/100000+F852/100+S852/200)*200*I852*H852)+((E852*F852/25000)*I852*H852))/3)/(((J852/5)*200*I852*H852)+((J852*S852/2.5)*I852*H852)+((E852*F852*J852*S852*I852*H852)/12500000))/3*1000,"")</f>
        <v/>
      </c>
    </row>
    <row r="853">
      <c r="B853" s="7" t="inlineStr">
        <is>
          <t xml:space="preserve">  ↳ tkmsmg</t>
        </is>
      </c>
      <c r="C853" s="7" t="inlineStr">
        <is>
          <t>Armament@PRIMARY</t>
        </is>
      </c>
      <c r="L853" s="6" t="n">
        <v>2000</v>
      </c>
      <c r="M853" s="6" t="n">
        <v>10</v>
      </c>
      <c r="N853" s="6" t="n">
        <v>5</v>
      </c>
      <c r="O853" s="6" t="n">
        <v>2</v>
      </c>
      <c r="P853" s="6" t="n">
        <v>5750</v>
      </c>
      <c r="Q853" s="6" t="n">
        <v>0.75</v>
      </c>
      <c r="R853">
        <f>M853+IF(N853&gt;1,N(O853)*(N853-1),0)</f>
        <v/>
      </c>
      <c r="S853">
        <f>IFERROR(L853*MAX(N853,1)/R853*IF(ISBLANK(K852),1,K852),0)</f>
        <v/>
      </c>
      <c r="AB853" s="7" t="inlineStr">
        <is>
          <t>^Warhead_Sniper_Light</t>
        </is>
      </c>
    </row>
    <row r="854">
      <c r="B854" s="7" t="inlineStr">
        <is>
          <t xml:space="preserve">  ↳ tkmsmg</t>
        </is>
      </c>
      <c r="C854" s="7" t="inlineStr">
        <is>
          <t>Armament@GARRISONED</t>
        </is>
      </c>
      <c r="L854" s="6" t="n">
        <v>2000</v>
      </c>
      <c r="M854" s="6" t="n">
        <v>10</v>
      </c>
      <c r="N854" s="6" t="n">
        <v>5</v>
      </c>
      <c r="O854" s="6" t="n">
        <v>2</v>
      </c>
      <c r="P854" s="6" t="n">
        <v>5750</v>
      </c>
      <c r="Q854" s="6" t="n">
        <v>0.75</v>
      </c>
      <c r="R854">
        <f>M854+IF(N854&gt;1,N(O854)*(N854-1),0)</f>
        <v/>
      </c>
      <c r="S854">
        <f>IFERROR(L854*MAX(N854,1)/R854*IF(ISBLANK(K852),1,K852),0)</f>
        <v/>
      </c>
      <c r="AB854" s="7" t="inlineStr">
        <is>
          <t>^Warhead_Sniper_Light</t>
        </is>
      </c>
    </row>
    <row r="855">
      <c r="B855" s="7" t="inlineStr">
        <is>
          <t xml:space="preserve">  ↳ SEALAttach</t>
        </is>
      </c>
      <c r="C855" s="7" t="inlineStr">
        <is>
          <t>Armament@shipc4</t>
        </is>
      </c>
      <c r="L855" s="6" t="n"/>
      <c r="M855" s="6" t="n">
        <v>20</v>
      </c>
      <c r="N855" s="6" t="n">
        <v>1</v>
      </c>
      <c r="O855" s="6" t="n"/>
      <c r="P855" s="6" t="n">
        <v>2000</v>
      </c>
      <c r="Q855" s="6" t="n">
        <v>1</v>
      </c>
      <c r="R855">
        <f>M855+IF(N855&gt;1,N(O855)*(N855-1),0)</f>
        <v/>
      </c>
      <c r="S855">
        <f>IFERROR(L855*MAX(N855,1)/R855*IF(ISBLANK(K852),1,K852),0)</f>
        <v/>
      </c>
      <c r="AB855" s="7" t="inlineStr">
        <is>
          <t>TanyaAttach</t>
        </is>
      </c>
    </row>
    <row r="856">
      <c r="A856" t="inlineStr">
        <is>
          <t>redalert2mod</t>
        </is>
      </c>
      <c r="B856" t="inlineStr">
        <is>
          <t>tkm_thermonaut</t>
        </is>
      </c>
      <c r="C856" t="inlineStr">
        <is>
          <t>Thermonaut</t>
        </is>
      </c>
      <c r="D856" s="6" t="inlineStr">
        <is>
          <t>MeleeInfantry</t>
        </is>
      </c>
      <c r="E856" s="6" t="n">
        <v>60000</v>
      </c>
      <c r="F856" s="6" t="n">
        <v>60</v>
      </c>
      <c r="G856" t="inlineStr">
        <is>
          <t>Plate</t>
        </is>
      </c>
      <c r="H856" s="6" t="n">
        <v>0.6522</v>
      </c>
      <c r="I856" s="6" t="n">
        <v>1</v>
      </c>
      <c r="J856" s="6" t="n">
        <v>1</v>
      </c>
      <c r="K856" s="6" t="n"/>
      <c r="P856">
        <f>MAX(P857)</f>
        <v/>
      </c>
      <c r="S856">
        <f>S857</f>
        <v/>
      </c>
      <c r="T856">
        <f>(E856/100000+F856/100+(P856/1000)*J856/5+S856/200)*200*I856*H856</f>
        <v/>
      </c>
      <c r="U856">
        <f>((E856*F856/25000)+((P856/1000)*J856*S856/2.5))*I856*H856</f>
        <v/>
      </c>
      <c r="V856">
        <f>(E856*F856*(P856/1000)*J856*S856*I856*H856)/12500000</f>
        <v/>
      </c>
      <c r="W856">
        <f>(T856+U856+V856)/3</f>
        <v/>
      </c>
      <c r="X856" s="6" t="n">
        <v>500</v>
      </c>
      <c r="Y856">
        <f>IFERROR(W856-X856,"")</f>
        <v/>
      </c>
      <c r="Z856">
        <f>IFERROR(ABS(Y856)/MAX(X856,1),"")</f>
        <v/>
      </c>
      <c r="AA856">
        <f>IFERROR((X856-(((E856/100000+F856/100+S856/200)*200*I856*H856)+((E856*F856/25000)*I856*H856))/3)/(((J856/5)*200*I856*H856)+((J856*S856/2.5)*I856*H856)+((E856*F856*J856*S856*I856*H856)/12500000))/3*1000,"")</f>
        <v/>
      </c>
    </row>
    <row r="857">
      <c r="B857" s="7" t="inlineStr">
        <is>
          <t xml:space="preserve">  ↳ ThermoF</t>
        </is>
      </c>
      <c r="C857" s="7" t="inlineStr">
        <is>
          <t>Armament@PRIMARY</t>
        </is>
      </c>
      <c r="L857" s="6" t="n">
        <v>2000</v>
      </c>
      <c r="M857" s="6" t="n">
        <v>32</v>
      </c>
      <c r="N857" s="6" t="n">
        <v>13</v>
      </c>
      <c r="O857" s="6" t="n">
        <v>2</v>
      </c>
      <c r="P857" s="6" t="n">
        <v>3204</v>
      </c>
      <c r="Q857" s="6" t="n">
        <v>1</v>
      </c>
      <c r="R857">
        <f>M857+IF(N857&gt;1,N(O857)*(N857-1),0)</f>
        <v/>
      </c>
      <c r="S857">
        <f>IFERROR(L857*MAX(N857,1)/R857*IF(ISBLANK(K856),1,K856),0)</f>
        <v/>
      </c>
      <c r="AB857" s="7" t="inlineStr">
        <is>
          <t>^Warhead_Flame_Medium</t>
        </is>
      </c>
    </row>
    <row r="858">
      <c r="B858" s="7" t="inlineStr">
        <is>
          <t xml:space="preserve">  ↳ ThermoF</t>
        </is>
      </c>
      <c r="C858" s="7" t="inlineStr">
        <is>
          <t>Armament@GARRISONED</t>
        </is>
      </c>
      <c r="L858" s="6" t="n">
        <v>2000</v>
      </c>
      <c r="M858" s="6" t="n">
        <v>32</v>
      </c>
      <c r="N858" s="6" t="n">
        <v>13</v>
      </c>
      <c r="O858" s="6" t="n">
        <v>2</v>
      </c>
      <c r="P858" s="6" t="n">
        <v>3204</v>
      </c>
      <c r="Q858" s="6" t="n">
        <v>1</v>
      </c>
      <c r="R858">
        <f>M858+IF(N858&gt;1,N(O858)*(N858-1),0)</f>
        <v/>
      </c>
      <c r="S858">
        <f>IFERROR(L858*MAX(N858,1)/R858*IF(ISBLANK(K856),1,K856),0)</f>
        <v/>
      </c>
      <c r="AB858" s="7" t="inlineStr">
        <is>
          <t>^Warhead_Flame_Medium</t>
        </is>
      </c>
    </row>
    <row r="859">
      <c r="A859" t="inlineStr">
        <is>
          <t>redalert2mod</t>
        </is>
      </c>
      <c r="B859" t="inlineStr">
        <is>
          <t>tkmworker</t>
        </is>
      </c>
      <c r="C859" t="inlineStr">
        <is>
          <t>Worker</t>
        </is>
      </c>
      <c r="D859" s="6" t="inlineStr">
        <is>
          <t>MeleeInfantry</t>
        </is>
      </c>
      <c r="E859" s="6" t="n">
        <v>10000</v>
      </c>
      <c r="F859" s="6" t="n">
        <v>60</v>
      </c>
      <c r="G859" t="inlineStr">
        <is>
          <t>Plate</t>
        </is>
      </c>
      <c r="H859" s="6" t="n">
        <v>1</v>
      </c>
      <c r="I859" s="6" t="n">
        <v>1</v>
      </c>
      <c r="J859" s="6" t="n">
        <v>1</v>
      </c>
      <c r="K859" s="6" t="n"/>
      <c r="P859">
        <f>MAX(P860)</f>
        <v/>
      </c>
      <c r="S859">
        <f>S860</f>
        <v/>
      </c>
      <c r="T859">
        <f>(E859/100000+F859/100+(P859/1000)*J859/5+S859/200)*200*I859*H859</f>
        <v/>
      </c>
      <c r="U859">
        <f>((E859*F859/25000)+((P859/1000)*J859*S859/2.5))*I859*H859</f>
        <v/>
      </c>
      <c r="V859">
        <f>(E859*F859*(P859/1000)*J859*S859*I859*H859)/12500000</f>
        <v/>
      </c>
      <c r="W859">
        <f>(T859+U859+V859)/3</f>
        <v/>
      </c>
      <c r="X859" s="6" t="n">
        <v>250</v>
      </c>
      <c r="Y859">
        <f>IFERROR(W859-X859,"")</f>
        <v/>
      </c>
      <c r="Z859">
        <f>IFERROR(ABS(Y859)/MAX(X859,1),"")</f>
        <v/>
      </c>
      <c r="AA859">
        <f>IFERROR((X859-(((E859/100000+F859/100+S859/200)*200*I859*H859)+((E859*F859/25000)*I859*H859))/3)/(((J859/5)*200*I859*H859)+((J859*S859/2.5)*I859*H859)+((E859*F859*J859*S859*I859*H859)/12500000))/3*1000,"")</f>
        <v/>
      </c>
    </row>
    <row r="860">
      <c r="B860" s="7" t="inlineStr">
        <is>
          <t xml:space="preserve">  ↳ RA2Shovel</t>
        </is>
      </c>
      <c r="C860" s="7" t="inlineStr">
        <is>
          <t>Armament@PRIMARY</t>
        </is>
      </c>
      <c r="L860" s="6" t="n">
        <v>2000</v>
      </c>
      <c r="M860" s="6" t="n">
        <v>30</v>
      </c>
      <c r="N860" s="6" t="n">
        <v>1</v>
      </c>
      <c r="O860" s="6" t="n"/>
      <c r="P860" s="6" t="n">
        <v>1500</v>
      </c>
      <c r="Q860" s="6" t="n">
        <v>1</v>
      </c>
      <c r="R860">
        <f>M860+IF(N860&gt;1,N(O860)*(N860-1),0)</f>
        <v/>
      </c>
      <c r="S860">
        <f>IFERROR(L860*MAX(N860,1)/R860*IF(ISBLANK(K859),1,K859),0)</f>
        <v/>
      </c>
      <c r="AB860" s="7" t="inlineStr">
        <is>
          <t>^Warhead_Melee_Medium</t>
        </is>
      </c>
    </row>
    <row r="861">
      <c r="B861" s="7" t="inlineStr">
        <is>
          <t xml:space="preserve">  ↳ RA2Shovel</t>
        </is>
      </c>
      <c r="C861" s="7" t="inlineStr">
        <is>
          <t>Armament@GARRISONED</t>
        </is>
      </c>
      <c r="L861" s="6" t="n">
        <v>2000</v>
      </c>
      <c r="M861" s="6" t="n">
        <v>30</v>
      </c>
      <c r="N861" s="6" t="n">
        <v>1</v>
      </c>
      <c r="O861" s="6" t="n"/>
      <c r="P861" s="6" t="n">
        <v>1500</v>
      </c>
      <c r="Q861" s="6" t="n">
        <v>1</v>
      </c>
      <c r="R861">
        <f>M861+IF(N861&gt;1,N(O861)*(N861-1),0)</f>
        <v/>
      </c>
      <c r="S861">
        <f>IFERROR(L861*MAX(N861,1)/R861*IF(ISBLANK(K859),1,K859),0)</f>
        <v/>
      </c>
      <c r="AB861" s="7" t="inlineStr">
        <is>
          <t>^Warhead_Melee_Medium</t>
        </is>
      </c>
    </row>
    <row r="862">
      <c r="A862" t="inlineStr">
        <is>
          <t>d2k</t>
        </is>
      </c>
      <c r="B862" t="inlineStr">
        <is>
          <t>ordos_contaminator</t>
        </is>
      </c>
      <c r="C862" t="inlineStr">
        <is>
          <t>Contaminator</t>
        </is>
      </c>
      <c r="D862" s="6" t="inlineStr">
        <is>
          <t>MeleeInfantry</t>
        </is>
      </c>
      <c r="E862" s="6" t="n">
        <v>75000</v>
      </c>
      <c r="F862" s="6" t="n">
        <v>60</v>
      </c>
      <c r="G862" t="inlineStr">
        <is>
          <t>Plate</t>
        </is>
      </c>
      <c r="H862" s="6" t="n">
        <v>1</v>
      </c>
      <c r="I862" s="6" t="n">
        <v>0.75</v>
      </c>
      <c r="J862" s="6" t="n">
        <v>1.25</v>
      </c>
      <c r="K862" s="6" t="n"/>
      <c r="P862">
        <f>MAX(P863)</f>
        <v/>
      </c>
      <c r="S862">
        <f>S863</f>
        <v/>
      </c>
      <c r="T862">
        <f>(E862/100000+F862/100+(P862/1000)*J862/5+S862/200)*200*I862*H862</f>
        <v/>
      </c>
      <c r="U862">
        <f>((E862*F862/25000)+((P862/1000)*J862*S862/2.5))*I862*H862</f>
        <v/>
      </c>
      <c r="V862">
        <f>(E862*F862*(P862/1000)*J862*S862*I862*H862)/12500000</f>
        <v/>
      </c>
      <c r="W862">
        <f>(T862+U862+V862)/3</f>
        <v/>
      </c>
      <c r="X862" s="6" t="n">
        <v>500</v>
      </c>
      <c r="Y862">
        <f>IFERROR(W862-X862,"")</f>
        <v/>
      </c>
      <c r="Z862">
        <f>IFERROR(ABS(Y862)/MAX(X862,1),"")</f>
        <v/>
      </c>
      <c r="AA862">
        <f>IFERROR((X862-(((E862/100000+F862/100+S862/200)*200*I862*H862)+((E862*F862/25000)*I862*H862))/3)/(((J862/5)*200*I862*H862)+((J862*S862/2.5)*I862*H862)+((E862*F862*J862*S862*I862*H862)/12500000))/3*1000,"")</f>
        <v/>
      </c>
    </row>
    <row r="863">
      <c r="B863" s="7" t="inlineStr">
        <is>
          <t xml:space="preserve">  ↳ contaminator_attack</t>
        </is>
      </c>
      <c r="C863" s="7" t="inlineStr">
        <is>
          <t>Armament</t>
        </is>
      </c>
      <c r="L863" s="6" t="n">
        <v>10000</v>
      </c>
      <c r="M863" s="6" t="n">
        <v>20</v>
      </c>
      <c r="N863" s="6" t="n">
        <v>1</v>
      </c>
      <c r="O863" s="6" t="n"/>
      <c r="P863" s="6" t="n">
        <v>2000</v>
      </c>
      <c r="Q863" s="6" t="n">
        <v>1</v>
      </c>
      <c r="R863">
        <f>M863+IF(N863&gt;1,N(O863)*(N863-1),0)</f>
        <v/>
      </c>
      <c r="S863">
        <f>IFERROR(L863*MAX(N863,1)/R863*IF(ISBLANK(K862),1,K862),0)</f>
        <v/>
      </c>
      <c r="AB863" s="7" t="inlineStr">
        <is>
          <t>^Warhead_Melee_Medium</t>
        </is>
      </c>
    </row>
    <row r="864">
      <c r="B864" s="7" t="inlineStr">
        <is>
          <t xml:space="preserve">  ↳ contaminator_attack</t>
        </is>
      </c>
      <c r="C864" s="7" t="inlineStr">
        <is>
          <t>Armament@GARRISONED</t>
        </is>
      </c>
      <c r="L864" s="6" t="n">
        <v>10000</v>
      </c>
      <c r="M864" s="6" t="n">
        <v>20</v>
      </c>
      <c r="N864" s="6" t="n">
        <v>1</v>
      </c>
      <c r="O864" s="6" t="n"/>
      <c r="P864" s="6" t="n">
        <v>2000</v>
      </c>
      <c r="Q864" s="6" t="n">
        <v>1</v>
      </c>
      <c r="R864">
        <f>M864+IF(N864&gt;1,N(O864)*(N864-1),0)</f>
        <v/>
      </c>
      <c r="S864">
        <f>IFERROR(L864*MAX(N864,1)/R864*IF(ISBLANK(K862),1,K862),0)</f>
        <v/>
      </c>
      <c r="AB864" s="7" t="inlineStr">
        <is>
          <t>^Warhead_Melee_Medium</t>
        </is>
      </c>
    </row>
    <row r="865">
      <c r="A865" t="inlineStr">
        <is>
          <t>d2k</t>
        </is>
      </c>
      <c r="B865" t="inlineStr">
        <is>
          <t>apparition.ixian</t>
        </is>
      </c>
      <c r="C865" t="inlineStr">
        <is>
          <t>Apparition</t>
        </is>
      </c>
      <c r="D865" s="6" t="inlineStr">
        <is>
          <t>MeleeInfantry</t>
        </is>
      </c>
      <c r="E865" s="6" t="n">
        <v>37500</v>
      </c>
      <c r="F865" s="6" t="n">
        <v>160</v>
      </c>
      <c r="G865" t="inlineStr">
        <is>
          <t>Plate</t>
        </is>
      </c>
      <c r="H865" s="6" t="n">
        <v>1</v>
      </c>
      <c r="I865" s="6" t="n">
        <v>1</v>
      </c>
      <c r="J865" s="6" t="n">
        <v>1</v>
      </c>
      <c r="K865" s="6" t="n"/>
      <c r="P865">
        <f>MAX(P866,P867)</f>
        <v/>
      </c>
      <c r="S865">
        <f>S866+S867</f>
        <v/>
      </c>
      <c r="T865">
        <f>(E865/100000+F865/100+(P865/1000)*J865/5+S865/200)*200*I865*H865</f>
        <v/>
      </c>
      <c r="U865">
        <f>((E865*F865/25000)+((P865/1000)*J865*S865/2.5))*I865*H865</f>
        <v/>
      </c>
      <c r="V865">
        <f>(E865*F865*(P865/1000)*J865*S865*I865*H865)/12500000</f>
        <v/>
      </c>
      <c r="W865">
        <f>(T865+U865+V865)/3</f>
        <v/>
      </c>
      <c r="X865" s="6" t="n">
        <v>2000</v>
      </c>
      <c r="Y865">
        <f>IFERROR(W865-X865,"")</f>
        <v/>
      </c>
      <c r="Z865">
        <f>IFERROR(ABS(Y865)/MAX(X865,1),"")</f>
        <v/>
      </c>
      <c r="AA865">
        <f>IFERROR((X865-(((E865/100000+F865/100+S865/200)*200*I865*H865)+((E865*F865/25000)*I865*H865))/3)/(((J865/5)*200*I865*H865)+((J865*S865/2.5)*I865*H865)+((E865*F865*J865*S865*I865*H865)/12500000))/3*1000,"")</f>
        <v/>
      </c>
    </row>
    <row r="866">
      <c r="B866" s="7" t="inlineStr">
        <is>
          <t xml:space="preserve">  ↳ d2k_basq</t>
        </is>
      </c>
      <c r="C866" s="7" t="inlineStr">
        <is>
          <t>Armament</t>
        </is>
      </c>
      <c r="L866" s="6" t="n">
        <v>32000</v>
      </c>
      <c r="M866" s="6" t="n">
        <v>25</v>
      </c>
      <c r="N866" s="6" t="n">
        <v>1</v>
      </c>
      <c r="O866" s="6" t="n"/>
      <c r="P866" s="6" t="n">
        <v>3333</v>
      </c>
      <c r="Q866" s="6" t="n">
        <v>0.75</v>
      </c>
      <c r="R866">
        <f>M866+IF(N866&gt;1,N(O866)*(N866-1),0)</f>
        <v/>
      </c>
      <c r="S866">
        <f>IFERROR(L866*MAX(N866,1)/R866*IF(ISBLANK(K865),1,K865),0)</f>
        <v/>
      </c>
      <c r="AB866" s="7" t="inlineStr">
        <is>
          <t>^Warhead_Flak_Light</t>
        </is>
      </c>
    </row>
    <row r="867">
      <c r="B867" s="7" t="inlineStr">
        <is>
          <t xml:space="preserve">  ↳ d2k_basq_AA</t>
        </is>
      </c>
      <c r="C867" s="7" t="inlineStr">
        <is>
          <t>Armament@aa</t>
        </is>
      </c>
      <c r="L867" s="6" t="n">
        <v>32000</v>
      </c>
      <c r="M867" s="6" t="n">
        <v>25</v>
      </c>
      <c r="N867" s="6" t="n">
        <v>1</v>
      </c>
      <c r="O867" s="6" t="n"/>
      <c r="P867" s="6" t="n">
        <v>6666</v>
      </c>
      <c r="Q867" s="6" t="n">
        <v>0.75</v>
      </c>
      <c r="R867">
        <f>M867+IF(N867&gt;1,N(O867)*(N867-1),0)</f>
        <v/>
      </c>
      <c r="S867">
        <f>IFERROR(L867*MAX(N867,1)/R867*IF(ISBLANK(K865),1,K865),0)</f>
        <v/>
      </c>
      <c r="AB867" s="7" t="inlineStr">
        <is>
          <t>^Warhead_Flak_Light</t>
        </is>
      </c>
    </row>
    <row r="868">
      <c r="A868" t="inlineStr">
        <is>
          <t>d2k</t>
        </is>
      </c>
      <c r="B868" t="inlineStr">
        <is>
          <t>heavy_inf.ixian</t>
        </is>
      </c>
      <c r="C868" t="inlineStr">
        <is>
          <t>Rashidan</t>
        </is>
      </c>
      <c r="D868" s="6" t="inlineStr">
        <is>
          <t>MeleeInfantry</t>
        </is>
      </c>
      <c r="E868" s="6" t="n">
        <v>32000</v>
      </c>
      <c r="F868" s="6" t="n">
        <v>50</v>
      </c>
      <c r="G868" t="inlineStr">
        <is>
          <t>Plate</t>
        </is>
      </c>
      <c r="H868" s="6" t="n">
        <v>1</v>
      </c>
      <c r="I868" s="6" t="n">
        <v>1</v>
      </c>
      <c r="J868" s="6" t="n">
        <v>1</v>
      </c>
      <c r="K868" s="6" t="n"/>
      <c r="P868">
        <f>MAX(P869,P870)</f>
        <v/>
      </c>
      <c r="S868">
        <f>S869+S870</f>
        <v/>
      </c>
      <c r="T868">
        <f>(E868/100000+F868/100+(P868/1000)*J868/5+S868/200)*200*I868*H868</f>
        <v/>
      </c>
      <c r="U868">
        <f>((E868*F868/25000)+((P868/1000)*J868*S868/2.5))*I868*H868</f>
        <v/>
      </c>
      <c r="V868">
        <f>(E868*F868*(P868/1000)*J868*S868*I868*H868)/12500000</f>
        <v/>
      </c>
      <c r="W868">
        <f>(T868+U868+V868)/3</f>
        <v/>
      </c>
      <c r="X868" s="6" t="n">
        <v>400</v>
      </c>
      <c r="Y868">
        <f>IFERROR(W868-X868,"")</f>
        <v/>
      </c>
      <c r="Z868">
        <f>IFERROR(ABS(Y868)/MAX(X868,1),"")</f>
        <v/>
      </c>
      <c r="AA868">
        <f>IFERROR((X868-(((E868/100000+F868/100+S868/200)*200*I868*H868)+((E868*F868/25000)*I868*H868))/3)/(((J868/5)*200*I868*H868)+((J868*S868/2.5)*I868*H868)+((E868*F868*J868*S868*I868*H868)/12500000))/3*1000,"")</f>
        <v/>
      </c>
    </row>
    <row r="869">
      <c r="B869" s="7" t="inlineStr">
        <is>
          <t xml:space="preserve">  ↳ RashidanGun</t>
        </is>
      </c>
      <c r="C869" s="7" t="inlineStr">
        <is>
          <t>Armament@PRIMARY</t>
        </is>
      </c>
      <c r="L869" s="6" t="n">
        <v>8000</v>
      </c>
      <c r="M869" s="6" t="n">
        <v>69</v>
      </c>
      <c r="N869" s="6" t="n">
        <v>4</v>
      </c>
      <c r="O869" s="6" t="n">
        <v>0</v>
      </c>
      <c r="P869" s="6" t="n">
        <v>3800</v>
      </c>
      <c r="Q869" s="6" t="n">
        <v>1</v>
      </c>
      <c r="R869">
        <f>M869+IF(N869&gt;1,N(O869)*(N869-1),0)</f>
        <v/>
      </c>
      <c r="S869">
        <f>IFERROR(L869*MAX(N869,1)/R869*IF(ISBLANK(K868),1,K868),0)</f>
        <v/>
      </c>
      <c r="AB869" s="7" t="inlineStr">
        <is>
          <t>^LightMissile, ^MediumMissile, ^SmallArms, ^Chaingun</t>
        </is>
      </c>
    </row>
    <row r="870">
      <c r="B870" s="7" t="inlineStr">
        <is>
          <t xml:space="preserve">  ↳ RashidanGun_upgrade</t>
        </is>
      </c>
      <c r="C870" s="7" t="inlineStr">
        <is>
          <t>Armament@Upgrade</t>
        </is>
      </c>
      <c r="L870" s="6" t="n">
        <v>16000</v>
      </c>
      <c r="M870" s="6" t="n">
        <v>69</v>
      </c>
      <c r="N870" s="6" t="n">
        <v>4</v>
      </c>
      <c r="O870" s="6" t="n">
        <v>0</v>
      </c>
      <c r="P870" s="6" t="n">
        <v>3800</v>
      </c>
      <c r="Q870" s="6" t="n">
        <v>1.25</v>
      </c>
      <c r="R870">
        <f>M870+IF(N870&gt;1,N(O870)*(N870-1),0)</f>
        <v/>
      </c>
      <c r="S870">
        <f>IFERROR(L870*MAX(N870,1)/R870*IF(ISBLANK(K868),1,K868),0)</f>
        <v/>
      </c>
      <c r="AB870" s="7" t="inlineStr">
        <is>
          <t>^Warhead_CannonHE_Heavy, ^Warhead_MissileHE_Heavy</t>
        </is>
      </c>
    </row>
    <row r="871">
      <c r="B871" s="7" t="inlineStr">
        <is>
          <t xml:space="preserve">  ↳ RashidanGun</t>
        </is>
      </c>
      <c r="C871" s="7" t="inlineStr">
        <is>
          <t>Armament@GARRISONED</t>
        </is>
      </c>
      <c r="L871" s="6" t="n">
        <v>8000</v>
      </c>
      <c r="M871" s="6" t="n">
        <v>69</v>
      </c>
      <c r="N871" s="6" t="n">
        <v>4</v>
      </c>
      <c r="O871" s="6" t="n">
        <v>0</v>
      </c>
      <c r="P871" s="6" t="n">
        <v>3800</v>
      </c>
      <c r="Q871" s="6" t="n">
        <v>1</v>
      </c>
      <c r="R871">
        <f>M871+IF(N871&gt;1,N(O871)*(N871-1),0)</f>
        <v/>
      </c>
      <c r="S871">
        <f>IFERROR(L871*MAX(N871,1)/R871*IF(ISBLANK(K868),1,K868),0)</f>
        <v/>
      </c>
      <c r="AB871" s="7" t="inlineStr">
        <is>
          <t>^LightMissile, ^MediumMissile, ^SmallArms, ^Chaingun</t>
        </is>
      </c>
    </row>
    <row r="872">
      <c r="B872" s="7" t="inlineStr">
        <is>
          <t xml:space="preserve">  ↳ RashidanGun_upgrade</t>
        </is>
      </c>
      <c r="C872" s="7" t="inlineStr">
        <is>
          <t>Armament@UpgradeGARRISONED</t>
        </is>
      </c>
      <c r="L872" s="6" t="n">
        <v>16000</v>
      </c>
      <c r="M872" s="6" t="n">
        <v>69</v>
      </c>
      <c r="N872" s="6" t="n">
        <v>4</v>
      </c>
      <c r="O872" s="6" t="n">
        <v>0</v>
      </c>
      <c r="P872" s="6" t="n">
        <v>3800</v>
      </c>
      <c r="Q872" s="6" t="n">
        <v>1.25</v>
      </c>
      <c r="R872">
        <f>M872+IF(N872&gt;1,N(O872)*(N872-1),0)</f>
        <v/>
      </c>
      <c r="S872">
        <f>IFERROR(L872*MAX(N872,1)/R872*IF(ISBLANK(K868),1,K868),0)</f>
        <v/>
      </c>
      <c r="AB872" s="7" t="inlineStr">
        <is>
          <t>^Warhead_CannonHE_Heavy, ^Warhead_MissileHE_Heavy</t>
        </is>
      </c>
    </row>
    <row r="873">
      <c r="A873" t="inlineStr">
        <is>
          <t>starcraft</t>
        </is>
      </c>
      <c r="B873" t="inlineStr">
        <is>
          <t>protoss_amaranth</t>
        </is>
      </c>
      <c r="C873" t="inlineStr">
        <is>
          <t>Amaranth</t>
        </is>
      </c>
      <c r="D873" s="6" t="inlineStr">
        <is>
          <t>MeleeInfantry</t>
        </is>
      </c>
      <c r="E873" s="6" t="n">
        <v>70000</v>
      </c>
      <c r="F873" s="6" t="n">
        <v>70</v>
      </c>
      <c r="G873" t="inlineStr">
        <is>
          <t>Plate</t>
        </is>
      </c>
      <c r="H873" s="6" t="n">
        <v>1</v>
      </c>
      <c r="I873" s="6" t="n">
        <v>0.75</v>
      </c>
      <c r="J873" s="6" t="n">
        <v>1.25</v>
      </c>
      <c r="K873" s="6" t="n"/>
      <c r="P873">
        <f>MAX(P874)</f>
        <v/>
      </c>
      <c r="S873">
        <f>S874</f>
        <v/>
      </c>
      <c r="T873">
        <f>(E873/100000+F873/100+(P873/1000)*J873/5+S873/200)*200*I873*H873</f>
        <v/>
      </c>
      <c r="U873">
        <f>((E873*F873/25000)+((P873/1000)*J873*S873/2.5))*I873*H873</f>
        <v/>
      </c>
      <c r="V873">
        <f>(E873*F873*(P873/1000)*J873*S873*I873*H873)/12500000</f>
        <v/>
      </c>
      <c r="W873">
        <f>(T873+U873+V873)/3</f>
        <v/>
      </c>
      <c r="X873" s="6" t="n">
        <v>1200</v>
      </c>
      <c r="Y873">
        <f>IFERROR(W873-X873,"")</f>
        <v/>
      </c>
      <c r="Z873">
        <f>IFERROR(ABS(Y873)/MAX(X873,1),"")</f>
        <v/>
      </c>
      <c r="AA873">
        <f>IFERROR((X873-(((E873/100000+F873/100+S873/200)*200*I873*H873)+((E873*F873/25000)*I873*H873))/3)/(((J873/5)*200*I873*H873)+((J873*S873/2.5)*I873*H873)+((E873*F873*J873*S873*I873*H873)/12500000))/3*1000,"")</f>
        <v/>
      </c>
    </row>
    <row r="874">
      <c r="B874" s="7" t="inlineStr">
        <is>
          <t xml:space="preserve">  ↳ WarpBladeAmaranth</t>
        </is>
      </c>
      <c r="C874" s="7" t="inlineStr">
        <is>
          <t>Armament</t>
        </is>
      </c>
      <c r="L874" s="6" t="n">
        <v>30000</v>
      </c>
      <c r="M874" s="6" t="n">
        <v>20</v>
      </c>
      <c r="N874" s="6" t="n">
        <v>1</v>
      </c>
      <c r="O874" s="6" t="n"/>
      <c r="P874" s="6" t="n">
        <v>1840</v>
      </c>
      <c r="Q874" s="6" t="n">
        <v>1</v>
      </c>
      <c r="R874">
        <f>M874+IF(N874&gt;1,N(O874)*(N874-1),0)</f>
        <v/>
      </c>
      <c r="S874">
        <f>IFERROR(L874*MAX(N874,1)/R874*IF(ISBLANK(K873),1,K873),0)</f>
        <v/>
      </c>
      <c r="AB874" s="7" t="inlineStr">
        <is>
          <t>^Warhead_Melee_Medium</t>
        </is>
      </c>
    </row>
    <row r="875">
      <c r="A875" t="inlineStr">
        <is>
          <t>starcraft</t>
        </is>
      </c>
      <c r="B875" t="inlineStr">
        <is>
          <t>protoss_darktemplar</t>
        </is>
      </c>
      <c r="C875" t="inlineStr">
        <is>
          <t>Dark Templar</t>
        </is>
      </c>
      <c r="D875" s="6" t="inlineStr">
        <is>
          <t>MeleeInfantry</t>
        </is>
      </c>
      <c r="E875" s="6" t="n">
        <v>50000</v>
      </c>
      <c r="F875" s="6" t="n">
        <v>75</v>
      </c>
      <c r="G875" t="inlineStr">
        <is>
          <t>Plate</t>
        </is>
      </c>
      <c r="H875" s="6" t="n">
        <v>1</v>
      </c>
      <c r="I875" s="6" t="n">
        <v>0.75</v>
      </c>
      <c r="J875" s="6" t="n">
        <v>1.25</v>
      </c>
      <c r="K875" s="6" t="n"/>
      <c r="P875">
        <f>MAX(P876)</f>
        <v/>
      </c>
      <c r="S875">
        <f>S876</f>
        <v/>
      </c>
      <c r="T875">
        <f>(E875/100000+F875/100+(P875/1000)*J875/5+S875/200)*200*I875*H875</f>
        <v/>
      </c>
      <c r="U875">
        <f>((E875*F875/25000)+((P875/1000)*J875*S875/2.5))*I875*H875</f>
        <v/>
      </c>
      <c r="V875">
        <f>(E875*F875*(P875/1000)*J875*S875*I875*H875)/12500000</f>
        <v/>
      </c>
      <c r="W875">
        <f>(T875+U875+V875)/3</f>
        <v/>
      </c>
      <c r="X875" s="6" t="n">
        <v>600</v>
      </c>
      <c r="Y875">
        <f>IFERROR(W875-X875,"")</f>
        <v/>
      </c>
      <c r="Z875">
        <f>IFERROR(ABS(Y875)/MAX(X875,1),"")</f>
        <v/>
      </c>
      <c r="AA875">
        <f>IFERROR((X875-(((E875/100000+F875/100+S875/200)*200*I875*H875)+((E875*F875/25000)*I875*H875))/3)/(((J875/5)*200*I875*H875)+((J875*S875/2.5)*I875*H875)+((E875*F875*J875*S875*I875*H875)/12500000))/3*1000,"")</f>
        <v/>
      </c>
    </row>
    <row r="876">
      <c r="B876" s="7" t="inlineStr">
        <is>
          <t xml:space="preserve">  ↳ WarpBlade</t>
        </is>
      </c>
      <c r="C876" s="7" t="inlineStr">
        <is>
          <t>Armament</t>
        </is>
      </c>
      <c r="L876" s="6" t="n">
        <v>20000</v>
      </c>
      <c r="M876" s="6" t="n">
        <v>25</v>
      </c>
      <c r="N876" s="6" t="n">
        <v>1</v>
      </c>
      <c r="O876" s="6" t="n"/>
      <c r="P876" s="6" t="n">
        <v>1600</v>
      </c>
      <c r="Q876" s="6" t="n">
        <v>1</v>
      </c>
      <c r="R876">
        <f>M876+IF(N876&gt;1,N(O876)*(N876-1),0)</f>
        <v/>
      </c>
      <c r="S876">
        <f>IFERROR(L876*MAX(N876,1)/R876*IF(ISBLANK(K875),1,K875),0)</f>
        <v/>
      </c>
      <c r="AB876" s="7" t="inlineStr">
        <is>
          <t>^Warhead_Melee_Medium</t>
        </is>
      </c>
    </row>
    <row r="877">
      <c r="A877" t="inlineStr">
        <is>
          <t>starcraft</t>
        </is>
      </c>
      <c r="B877" t="inlineStr">
        <is>
          <t>protoss_legionnaire</t>
        </is>
      </c>
      <c r="C877" t="inlineStr">
        <is>
          <t>Legionnaire</t>
        </is>
      </c>
      <c r="D877" s="6" t="inlineStr">
        <is>
          <t>MeleeInfantry</t>
        </is>
      </c>
      <c r="E877" s="6" t="n">
        <v>60000</v>
      </c>
      <c r="F877" s="6" t="n">
        <v>60</v>
      </c>
      <c r="G877" t="inlineStr">
        <is>
          <t>Plate</t>
        </is>
      </c>
      <c r="H877" s="6" t="n">
        <v>1</v>
      </c>
      <c r="I877" s="6" t="n">
        <v>0.75</v>
      </c>
      <c r="J877" s="6" t="n">
        <v>1</v>
      </c>
      <c r="K877" s="6" t="n"/>
      <c r="P877">
        <f>MAX(P878)</f>
        <v/>
      </c>
      <c r="S877">
        <f>S878</f>
        <v/>
      </c>
      <c r="T877">
        <f>(E877/100000+F877/100+(P877/1000)*J877/5+S877/200)*200*I877*H877</f>
        <v/>
      </c>
      <c r="U877">
        <f>((E877*F877/25000)+((P877/1000)*J877*S877/2.5))*I877*H877</f>
        <v/>
      </c>
      <c r="V877">
        <f>(E877*F877*(P877/1000)*J877*S877*I877*H877)/12500000</f>
        <v/>
      </c>
      <c r="W877">
        <f>(T877+U877+V877)/3</f>
        <v/>
      </c>
      <c r="X877" s="6" t="n">
        <v>700</v>
      </c>
      <c r="Y877">
        <f>IFERROR(W877-X877,"")</f>
        <v/>
      </c>
      <c r="Z877">
        <f>IFERROR(ABS(Y877)/MAX(X877,1),"")</f>
        <v/>
      </c>
      <c r="AA877">
        <f>IFERROR((X877-(((E877/100000+F877/100+S877/200)*200*I877*H877)+((E877*F877/25000)*I877*H877))/3)/(((J877/5)*200*I877*H877)+((J877*S877/2.5)*I877*H877)+((E877*F877*J877*S877*I877*H877)/12500000))/3*1000,"")</f>
        <v/>
      </c>
    </row>
    <row r="878">
      <c r="B878" s="7" t="inlineStr">
        <is>
          <t xml:space="preserve">  ↳ psi_spear</t>
        </is>
      </c>
      <c r="C878" s="7" t="inlineStr">
        <is>
          <t>Armament</t>
        </is>
      </c>
      <c r="L878" s="6" t="n">
        <v>32000</v>
      </c>
      <c r="M878" s="6" t="n">
        <v>26</v>
      </c>
      <c r="N878" s="6" t="n">
        <v>1</v>
      </c>
      <c r="O878" s="6" t="n"/>
      <c r="P878" s="6" t="n">
        <v>1337</v>
      </c>
      <c r="Q878" s="6" t="n">
        <v>1</v>
      </c>
      <c r="R878">
        <f>M878+IF(N878&gt;1,N(O878)*(N878-1),0)</f>
        <v/>
      </c>
      <c r="S878">
        <f>IFERROR(L878*MAX(N878,1)/R878*IF(ISBLANK(K877),1,K877),0)</f>
        <v/>
      </c>
      <c r="AB878" s="7" t="inlineStr">
        <is>
          <t>^Warhead_Melee_Medium</t>
        </is>
      </c>
    </row>
    <row r="879">
      <c r="A879" t="inlineStr">
        <is>
          <t>starcraft</t>
        </is>
      </c>
      <c r="B879" t="inlineStr">
        <is>
          <t>protoss_zealot</t>
        </is>
      </c>
      <c r="C879" t="inlineStr">
        <is>
          <t>Zealot</t>
        </is>
      </c>
      <c r="D879" s="6" t="inlineStr">
        <is>
          <t>MeleeInfantry</t>
        </is>
      </c>
      <c r="E879" s="6" t="n">
        <v>40000</v>
      </c>
      <c r="F879" s="6" t="n">
        <v>70</v>
      </c>
      <c r="G879" t="inlineStr">
        <is>
          <t>Plate</t>
        </is>
      </c>
      <c r="H879" s="6" t="n">
        <v>1</v>
      </c>
      <c r="I879" s="6" t="n">
        <v>0.75</v>
      </c>
      <c r="J879" s="6" t="n">
        <v>1</v>
      </c>
      <c r="K879" s="6" t="n"/>
      <c r="P879">
        <f>MAX(P880)</f>
        <v/>
      </c>
      <c r="S879">
        <f>S880</f>
        <v/>
      </c>
      <c r="T879">
        <f>(E879/100000+F879/100+(P879/1000)*J879/5+S879/200)*200*I879*H879</f>
        <v/>
      </c>
      <c r="U879">
        <f>((E879*F879/25000)+((P879/1000)*J879*S879/2.5))*I879*H879</f>
        <v/>
      </c>
      <c r="V879">
        <f>(E879*F879*(P879/1000)*J879*S879*I879*H879)/12500000</f>
        <v/>
      </c>
      <c r="W879">
        <f>(T879+U879+V879)/3</f>
        <v/>
      </c>
      <c r="X879" s="6" t="n">
        <v>300</v>
      </c>
      <c r="Y879">
        <f>IFERROR(W879-X879,"")</f>
        <v/>
      </c>
      <c r="Z879">
        <f>IFERROR(ABS(Y879)/MAX(X879,1),"")</f>
        <v/>
      </c>
      <c r="AA879">
        <f>IFERROR((X879-(((E879/100000+F879/100+S879/200)*200*I879*H879)+((E879*F879/25000)*I879*H879))/3)/(((J879/5)*200*I879*H879)+((J879*S879/2.5)*I879*H879)+((E879*F879*J879*S879*I879*H879)/12500000))/3*1000,"")</f>
        <v/>
      </c>
    </row>
    <row r="880">
      <c r="B880" s="7" t="inlineStr">
        <is>
          <t xml:space="preserve">  ↳ psi_blades</t>
        </is>
      </c>
      <c r="C880" s="7" t="inlineStr">
        <is>
          <t>Armament</t>
        </is>
      </c>
      <c r="L880" s="6" t="n">
        <v>8000</v>
      </c>
      <c r="M880" s="6" t="n">
        <v>30</v>
      </c>
      <c r="N880" s="6" t="n">
        <v>2</v>
      </c>
      <c r="O880" s="6" t="n">
        <v>6</v>
      </c>
      <c r="P880" s="6" t="n">
        <v>1335</v>
      </c>
      <c r="Q880" s="6" t="n">
        <v>1</v>
      </c>
      <c r="R880">
        <f>M880+IF(N880&gt;1,N(O880)*(N880-1),0)</f>
        <v/>
      </c>
      <c r="S880">
        <f>IFERROR(L880*MAX(N880,1)/R880*IF(ISBLANK(K879),1,K879),0)</f>
        <v/>
      </c>
      <c r="AB880" s="7" t="inlineStr">
        <is>
          <t>^Warhead_Melee_Medium</t>
        </is>
      </c>
    </row>
    <row r="881">
      <c r="A881" t="inlineStr">
        <is>
          <t>starcraft</t>
        </is>
      </c>
      <c r="B881" t="inlineStr">
        <is>
          <t>zerg_infestedterranbomber</t>
        </is>
      </c>
      <c r="C881" t="inlineStr">
        <is>
          <t>Infested Terran Bomber</t>
        </is>
      </c>
      <c r="D881" s="6" t="inlineStr">
        <is>
          <t>MeleeInfantry</t>
        </is>
      </c>
      <c r="E881" s="6" t="n">
        <v>60000</v>
      </c>
      <c r="F881" s="6" t="n">
        <v>90</v>
      </c>
      <c r="G881" t="inlineStr">
        <is>
          <t>Plate</t>
        </is>
      </c>
      <c r="H881" s="6" t="n">
        <v>0.7674</v>
      </c>
      <c r="I881" s="6" t="n">
        <v>1</v>
      </c>
      <c r="J881" s="6" t="n">
        <v>1</v>
      </c>
      <c r="K881" s="6" t="n"/>
      <c r="X881" s="6" t="n">
        <v>400</v>
      </c>
    </row>
    <row r="882">
      <c r="B882" s="7" t="inlineStr">
        <is>
          <t xml:space="preserve">  ↳ DemoTruckTargeting</t>
        </is>
      </c>
      <c r="C882" s="7" t="inlineStr">
        <is>
          <t>Armament@PRIMARY</t>
        </is>
      </c>
      <c r="L882" s="6" t="n"/>
      <c r="M882" s="6" t="n"/>
      <c r="N882" s="6" t="n">
        <v>1</v>
      </c>
      <c r="O882" s="6" t="n"/>
      <c r="P882" s="6" t="n">
        <v>2000</v>
      </c>
      <c r="Q882" s="6" t="n">
        <v>1</v>
      </c>
      <c r="R882">
        <f>M882+IF(N882&gt;1,N(O882)*(N882-1),0)</f>
        <v/>
      </c>
      <c r="S882">
        <f>IFERROR(L882*MAX(N882,1)/R882*IF(ISBLANK(K881),1,K881),0)</f>
        <v/>
      </c>
      <c r="AB882" s="7" t="inlineStr"/>
    </row>
    <row r="883">
      <c r="A883" t="inlineStr">
        <is>
          <t>starcraft</t>
        </is>
      </c>
      <c r="B883" t="inlineStr">
        <is>
          <t>zerg_talon</t>
        </is>
      </c>
      <c r="C883" t="inlineStr">
        <is>
          <t>Talon</t>
        </is>
      </c>
      <c r="D883" s="6" t="inlineStr">
        <is>
          <t>MeleeInfantry</t>
        </is>
      </c>
      <c r="E883" s="6" t="n">
        <v>32000</v>
      </c>
      <c r="F883" s="6" t="n">
        <v>160</v>
      </c>
      <c r="G883" t="inlineStr">
        <is>
          <t>Plate</t>
        </is>
      </c>
      <c r="H883" s="6" t="n">
        <v>1</v>
      </c>
      <c r="I883" s="6" t="n">
        <v>0.75</v>
      </c>
      <c r="J883" s="6" t="n">
        <v>1</v>
      </c>
      <c r="K883" s="6" t="n"/>
      <c r="P883">
        <f>MAX(P884)</f>
        <v/>
      </c>
      <c r="S883">
        <f>S884</f>
        <v/>
      </c>
      <c r="T883">
        <f>(E883/100000+F883/100+(P883/1000)*J883/5+S883/200)*200*I883*H883</f>
        <v/>
      </c>
      <c r="U883">
        <f>((E883*F883/25000)+((P883/1000)*J883*S883/2.5))*I883*H883</f>
        <v/>
      </c>
      <c r="V883">
        <f>(E883*F883*(P883/1000)*J883*S883*I883*H883)/12500000</f>
        <v/>
      </c>
      <c r="W883">
        <f>(T883+U883+V883)/3</f>
        <v/>
      </c>
      <c r="X883" s="6" t="n">
        <v>300</v>
      </c>
      <c r="Y883">
        <f>IFERROR(W883-X883,"")</f>
        <v/>
      </c>
      <c r="Z883">
        <f>IFERROR(ABS(Y883)/MAX(X883,1),"")</f>
        <v/>
      </c>
      <c r="AA883">
        <f>IFERROR((X883-(((E883/100000+F883/100+S883/200)*200*I883*H883)+((E883*F883/25000)*I883*H883))/3)/(((J883/5)*200*I883*H883)+((J883*S883/2.5)*I883*H883)+((E883*F883*J883*S883*I883*H883)/12500000))/3*1000,"")</f>
        <v/>
      </c>
    </row>
    <row r="884">
      <c r="B884" s="7" t="inlineStr">
        <is>
          <t xml:space="preserve">  ↳ TalonClaw</t>
        </is>
      </c>
      <c r="C884" s="7" t="inlineStr">
        <is>
          <t>Armament</t>
        </is>
      </c>
      <c r="L884" s="6" t="n">
        <v>6000</v>
      </c>
      <c r="M884" s="6" t="n">
        <v>15</v>
      </c>
      <c r="N884" s="6" t="n">
        <v>1</v>
      </c>
      <c r="O884" s="6" t="n"/>
      <c r="P884" s="6" t="n">
        <v>1680</v>
      </c>
      <c r="Q884" s="6" t="n">
        <v>1</v>
      </c>
      <c r="R884">
        <f>M884+IF(N884&gt;1,N(O884)*(N884-1),0)</f>
        <v/>
      </c>
      <c r="S884">
        <f>IFERROR(L884*MAX(N884,1)/R884*IF(ISBLANK(K883),1,K883),0)</f>
        <v/>
      </c>
      <c r="AB884" s="7" t="inlineStr">
        <is>
          <t>^Warhead_Melee_Medium</t>
        </is>
      </c>
    </row>
    <row r="885">
      <c r="A885" t="inlineStr">
        <is>
          <t>starcraft</t>
        </is>
      </c>
      <c r="B885" t="inlineStr">
        <is>
          <t>zerg_zergling</t>
        </is>
      </c>
      <c r="C885" t="inlineStr">
        <is>
          <t>Zergling</t>
        </is>
      </c>
      <c r="D885" s="6" t="inlineStr">
        <is>
          <t>MeleeInfantry</t>
        </is>
      </c>
      <c r="E885" s="6" t="n">
        <v>11000</v>
      </c>
      <c r="F885" s="6" t="n">
        <v>110</v>
      </c>
      <c r="G885" t="inlineStr">
        <is>
          <t>Plate</t>
        </is>
      </c>
      <c r="H885" s="6" t="n">
        <v>1</v>
      </c>
      <c r="I885" s="6" t="n">
        <v>0.75</v>
      </c>
      <c r="J885" s="6" t="n">
        <v>1</v>
      </c>
      <c r="K885" s="6" t="n">
        <v>0.015</v>
      </c>
      <c r="P885">
        <f>MAX(P886)</f>
        <v/>
      </c>
      <c r="S885">
        <f>S886</f>
        <v/>
      </c>
      <c r="T885">
        <f>(E885/100000+F885/100+(P885/1000)*J885/5+S885/200)*200*I885*H885</f>
        <v/>
      </c>
      <c r="U885">
        <f>((E885*F885/25000)+((P885/1000)*J885*S885/2.5))*I885*H885</f>
        <v/>
      </c>
      <c r="V885">
        <f>(E885*F885*(P885/1000)*J885*S885*I885*H885)/12500000</f>
        <v/>
      </c>
      <c r="W885">
        <f>(T885+U885+V885)/3</f>
        <v/>
      </c>
      <c r="X885" s="6" t="n">
        <v>200</v>
      </c>
      <c r="Y885">
        <f>IFERROR(W885-X885,"")</f>
        <v/>
      </c>
      <c r="Z885">
        <f>IFERROR(ABS(Y885)/MAX(X885,1),"")</f>
        <v/>
      </c>
      <c r="AA885">
        <f>IFERROR((X885-(((E885/100000+F885/100+S885/200)*200*I885*H885)+((E885*F885/25000)*I885*H885))/3)/(((J885/5)*200*I885*H885)+((J885*S885/2.5)*I885*H885)+((E885*F885*J885*S885*I885*H885)/12500000))/3*1000,"")</f>
        <v/>
      </c>
    </row>
    <row r="886">
      <c r="B886" s="7" t="inlineStr">
        <is>
          <t xml:space="preserve">  ↳ ZerglingClaw</t>
        </is>
      </c>
      <c r="C886" s="7" t="inlineStr">
        <is>
          <t>Armament</t>
        </is>
      </c>
      <c r="L886" s="6" t="n">
        <v>2000</v>
      </c>
      <c r="M886" s="6" t="n">
        <v>11</v>
      </c>
      <c r="N886" s="6" t="n">
        <v>1</v>
      </c>
      <c r="O886" s="6" t="n"/>
      <c r="P886" s="6" t="n">
        <v>1350</v>
      </c>
      <c r="Q886" s="6" t="n">
        <v>1</v>
      </c>
      <c r="R886">
        <f>M886+IF(N886&gt;1,N(O886)*(N886-1),0)</f>
        <v/>
      </c>
      <c r="S886">
        <f>IFERROR(L886*MAX(N886,1)/R886*IF(ISBLANK(K885),1,K885),0)</f>
        <v/>
      </c>
      <c r="AB886" s="7" t="inlineStr">
        <is>
          <t>^Warhead_Melee_Medium</t>
        </is>
      </c>
    </row>
    <row r="887">
      <c r="A887" t="inlineStr">
        <is>
          <t>starcraft</t>
        </is>
      </c>
      <c r="B887" t="inlineStr">
        <is>
          <t>terran_firebat</t>
        </is>
      </c>
      <c r="C887" t="inlineStr">
        <is>
          <t>Firebat</t>
        </is>
      </c>
      <c r="D887" s="6" t="inlineStr">
        <is>
          <t>MeleeInfantry</t>
        </is>
      </c>
      <c r="E887" s="6" t="n">
        <v>52000</v>
      </c>
      <c r="F887" s="6" t="n">
        <v>52</v>
      </c>
      <c r="G887" t="inlineStr">
        <is>
          <t>Plate</t>
        </is>
      </c>
      <c r="H887" s="6" t="n">
        <v>1</v>
      </c>
      <c r="I887" s="6" t="n">
        <v>0.75</v>
      </c>
      <c r="J887" s="6" t="n">
        <v>1</v>
      </c>
      <c r="K887" s="6" t="n">
        <v>0.005</v>
      </c>
      <c r="P887">
        <f>MAX(P888,P889)</f>
        <v/>
      </c>
      <c r="S887">
        <f>S888+S889</f>
        <v/>
      </c>
      <c r="T887">
        <f>(E887/100000+F887/100+(P887/1000)*J887/5+S887/200)*200*I887*H887</f>
        <v/>
      </c>
      <c r="U887">
        <f>((E887*F887/25000)+((P887/1000)*J887*S887/2.5))*I887*H887</f>
        <v/>
      </c>
      <c r="V887">
        <f>(E887*F887*(P887/1000)*J887*S887*I887*H887)/12500000</f>
        <v/>
      </c>
      <c r="W887">
        <f>(T887+U887+V887)/3</f>
        <v/>
      </c>
      <c r="X887" s="6" t="n">
        <v>500</v>
      </c>
      <c r="Y887">
        <f>IFERROR(W887-X887,"")</f>
        <v/>
      </c>
      <c r="Z887">
        <f>IFERROR(ABS(Y887)/MAX(X887,1),"")</f>
        <v/>
      </c>
      <c r="AA887">
        <f>IFERROR((X887-(((E887/100000+F887/100+S887/200)*200*I887*H887)+((E887*F887/25000)*I887*H887))/3)/(((J887/5)*200*I887*H887)+((J887*S887/2.5)*I887*H887)+((E887*F887*J887*S887*I887*H887)/12500000))/3*1000,"")</f>
        <v/>
      </c>
    </row>
    <row r="888">
      <c r="B888" s="7" t="inlineStr">
        <is>
          <t xml:space="preserve">  ↳ FirebatF</t>
        </is>
      </c>
      <c r="C888" s="7" t="inlineStr">
        <is>
          <t>Armament@1</t>
        </is>
      </c>
      <c r="L888" s="6" t="n">
        <v>2000</v>
      </c>
      <c r="M888" s="6" t="n">
        <v>28</v>
      </c>
      <c r="N888" s="6" t="n">
        <v>13</v>
      </c>
      <c r="O888" s="6" t="n">
        <v>2</v>
      </c>
      <c r="P888" s="6" t="n">
        <v>3400</v>
      </c>
      <c r="Q888" s="6" t="n">
        <v>1</v>
      </c>
      <c r="R888">
        <f>M888+IF(N888&gt;1,N(O888)*(N888-1),0)</f>
        <v/>
      </c>
      <c r="S888">
        <f>IFERROR(L888*MAX(N888,1)/R888*IF(ISBLANK(K887),1,K887),0)</f>
        <v/>
      </c>
      <c r="AB888" s="7" t="inlineStr">
        <is>
          <t>^Warhead_Flame_Medium</t>
        </is>
      </c>
    </row>
    <row r="889">
      <c r="B889" s="7" t="inlineStr">
        <is>
          <t xml:space="preserve">  ↳ FirebatF</t>
        </is>
      </c>
      <c r="C889" s="7" t="inlineStr">
        <is>
          <t>Armament@2</t>
        </is>
      </c>
      <c r="L889" s="6" t="n">
        <v>2000</v>
      </c>
      <c r="M889" s="6" t="n">
        <v>28</v>
      </c>
      <c r="N889" s="6" t="n">
        <v>13</v>
      </c>
      <c r="O889" s="6" t="n">
        <v>2</v>
      </c>
      <c r="P889" s="6" t="n">
        <v>3400</v>
      </c>
      <c r="Q889" s="6" t="n">
        <v>1</v>
      </c>
      <c r="R889">
        <f>M889+IF(N889&gt;1,N(O889)*(N889-1),0)</f>
        <v/>
      </c>
      <c r="S889">
        <f>IFERROR(L889*MAX(N889,1)/R889*IF(ISBLANK(K887),1,K887),0)</f>
        <v/>
      </c>
      <c r="AB889" s="7" t="inlineStr">
        <is>
          <t>^Warhead_Flame_Medium</t>
        </is>
      </c>
    </row>
    <row r="890">
      <c r="B890" s="7" t="inlineStr">
        <is>
          <t xml:space="preserve">  ↳ FirebatF</t>
        </is>
      </c>
      <c r="C890" s="7" t="inlineStr">
        <is>
          <t>Armament@GARRISONED1</t>
        </is>
      </c>
      <c r="L890" s="6" t="n">
        <v>2000</v>
      </c>
      <c r="M890" s="6" t="n">
        <v>28</v>
      </c>
      <c r="N890" s="6" t="n">
        <v>13</v>
      </c>
      <c r="O890" s="6" t="n">
        <v>2</v>
      </c>
      <c r="P890" s="6" t="n">
        <v>3400</v>
      </c>
      <c r="Q890" s="6" t="n">
        <v>1</v>
      </c>
      <c r="R890">
        <f>M890+IF(N890&gt;1,N(O890)*(N890-1),0)</f>
        <v/>
      </c>
      <c r="S890">
        <f>IFERROR(L890*MAX(N890,1)/R890*IF(ISBLANK(K887),1,K887),0)</f>
        <v/>
      </c>
      <c r="AB890" s="7" t="inlineStr">
        <is>
          <t>^Warhead_Flame_Medium</t>
        </is>
      </c>
    </row>
    <row r="891">
      <c r="B891" s="7" t="inlineStr">
        <is>
          <t xml:space="preserve">  ↳ FirebatF</t>
        </is>
      </c>
      <c r="C891" s="7" t="inlineStr">
        <is>
          <t>Armament@GARRISONED2</t>
        </is>
      </c>
      <c r="L891" s="6" t="n">
        <v>2000</v>
      </c>
      <c r="M891" s="6" t="n">
        <v>28</v>
      </c>
      <c r="N891" s="6" t="n">
        <v>13</v>
      </c>
      <c r="O891" s="6" t="n">
        <v>2</v>
      </c>
      <c r="P891" s="6" t="n">
        <v>3400</v>
      </c>
      <c r="Q891" s="6" t="n">
        <v>1</v>
      </c>
      <c r="R891">
        <f>M891+IF(N891&gt;1,N(O891)*(N891-1),0)</f>
        <v/>
      </c>
      <c r="S891">
        <f>IFERROR(L891*MAX(N891,1)/R891*IF(ISBLANK(K887),1,K887),0)</f>
        <v/>
      </c>
      <c r="AB891" s="7" t="inlineStr">
        <is>
          <t>^Warhead_Flame_Medium</t>
        </is>
      </c>
    </row>
    <row r="892">
      <c r="A892" t="inlineStr">
        <is>
          <t>starcraft</t>
        </is>
      </c>
      <c r="B892" t="inlineStr">
        <is>
          <t>terran_harakan</t>
        </is>
      </c>
      <c r="C892" t="inlineStr">
        <is>
          <t>Harakan</t>
        </is>
      </c>
      <c r="D892" s="6" t="inlineStr">
        <is>
          <t>MeleeInfantry</t>
        </is>
      </c>
      <c r="E892" s="6" t="n">
        <v>78000</v>
      </c>
      <c r="F892" s="6" t="n">
        <v>56</v>
      </c>
      <c r="G892" t="inlineStr">
        <is>
          <t>Plate</t>
        </is>
      </c>
      <c r="H892" s="6" t="n">
        <v>1</v>
      </c>
      <c r="I892" s="6" t="n">
        <v>0.75</v>
      </c>
      <c r="J892" s="6" t="n">
        <v>1</v>
      </c>
      <c r="K892" s="6" t="n">
        <v>0.0025</v>
      </c>
      <c r="P892">
        <f>MAX(P893,P894)</f>
        <v/>
      </c>
      <c r="S892">
        <f>S893+S894</f>
        <v/>
      </c>
      <c r="T892">
        <f>(E892/100000+F892/100+(P892/1000)*J892/5+S892/200)*200*I892*H892</f>
        <v/>
      </c>
      <c r="U892">
        <f>((E892*F892/25000)+((P892/1000)*J892*S892/2.5))*I892*H892</f>
        <v/>
      </c>
      <c r="V892">
        <f>(E892*F892*(P892/1000)*J892*S892*I892*H892)/12500000</f>
        <v/>
      </c>
      <c r="W892">
        <f>(T892+U892+V892)/3</f>
        <v/>
      </c>
      <c r="X892" s="6" t="n">
        <v>700</v>
      </c>
      <c r="Y892">
        <f>IFERROR(W892-X892,"")</f>
        <v/>
      </c>
      <c r="Z892">
        <f>IFERROR(ABS(Y892)/MAX(X892,1),"")</f>
        <v/>
      </c>
      <c r="AA892">
        <f>IFERROR((X892-(((E892/100000+F892/100+S892/200)*200*I892*H892)+((E892*F892/25000)*I892*H892))/3)/(((J892/5)*200*I892*H892)+((J892*S892/2.5)*I892*H892)+((E892*F892*J892*S892*I892*H892)/12500000))/3*1000,"")</f>
        <v/>
      </c>
    </row>
    <row r="893">
      <c r="B893" s="7" t="inlineStr">
        <is>
          <t xml:space="preserve">  ↳ HarakanF</t>
        </is>
      </c>
      <c r="C893" s="7" t="inlineStr">
        <is>
          <t>Armament@1</t>
        </is>
      </c>
      <c r="L893" s="6" t="n">
        <v>4000</v>
      </c>
      <c r="M893" s="6" t="n">
        <v>47</v>
      </c>
      <c r="N893" s="6" t="n">
        <v>20</v>
      </c>
      <c r="O893" s="6" t="n">
        <v>2</v>
      </c>
      <c r="P893" s="6" t="n">
        <v>4185</v>
      </c>
      <c r="Q893" s="6" t="n">
        <v>1</v>
      </c>
      <c r="R893">
        <f>M893+IF(N893&gt;1,N(O893)*(N893-1),0)</f>
        <v/>
      </c>
      <c r="S893">
        <f>IFERROR(L893*MAX(N893,1)/R893*IF(ISBLANK(K892),1,K892),0)</f>
        <v/>
      </c>
      <c r="AB893" s="7" t="inlineStr">
        <is>
          <t>^HeavyFlameWeapon, ^MediumFlameWeapon</t>
        </is>
      </c>
    </row>
    <row r="894">
      <c r="B894" s="7" t="inlineStr">
        <is>
          <t xml:space="preserve">  ↳ HarakanF</t>
        </is>
      </c>
      <c r="C894" s="7" t="inlineStr">
        <is>
          <t>Armament@2</t>
        </is>
      </c>
      <c r="L894" s="6" t="n">
        <v>4000</v>
      </c>
      <c r="M894" s="6" t="n">
        <v>47</v>
      </c>
      <c r="N894" s="6" t="n">
        <v>20</v>
      </c>
      <c r="O894" s="6" t="n">
        <v>2</v>
      </c>
      <c r="P894" s="6" t="n">
        <v>4185</v>
      </c>
      <c r="Q894" s="6" t="n">
        <v>1</v>
      </c>
      <c r="R894">
        <f>M894+IF(N894&gt;1,N(O894)*(N894-1),0)</f>
        <v/>
      </c>
      <c r="S894">
        <f>IFERROR(L894*MAX(N894,1)/R894*IF(ISBLANK(K892),1,K892),0)</f>
        <v/>
      </c>
      <c r="AB894" s="7" t="inlineStr">
        <is>
          <t>^HeavyFlameWeapon, ^MediumFlameWeapon</t>
        </is>
      </c>
    </row>
    <row r="895">
      <c r="B895" s="7" t="inlineStr">
        <is>
          <t xml:space="preserve">  ↳ HarakanF</t>
        </is>
      </c>
      <c r="C895" s="7" t="inlineStr">
        <is>
          <t>Armament@GARRISONED1</t>
        </is>
      </c>
      <c r="L895" s="6" t="n">
        <v>4000</v>
      </c>
      <c r="M895" s="6" t="n">
        <v>47</v>
      </c>
      <c r="N895" s="6" t="n">
        <v>20</v>
      </c>
      <c r="O895" s="6" t="n">
        <v>2</v>
      </c>
      <c r="P895" s="6" t="n">
        <v>4185</v>
      </c>
      <c r="Q895" s="6" t="n">
        <v>1</v>
      </c>
      <c r="R895">
        <f>M895+IF(N895&gt;1,N(O895)*(N895-1),0)</f>
        <v/>
      </c>
      <c r="S895">
        <f>IFERROR(L895*MAX(N895,1)/R895*IF(ISBLANK(K892),1,K892),0)</f>
        <v/>
      </c>
      <c r="AB895" s="7" t="inlineStr">
        <is>
          <t>^HeavyFlameWeapon, ^MediumFlameWeapon</t>
        </is>
      </c>
    </row>
    <row r="896">
      <c r="B896" s="7" t="inlineStr">
        <is>
          <t xml:space="preserve">  ↳ HarakanF</t>
        </is>
      </c>
      <c r="C896" s="7" t="inlineStr">
        <is>
          <t>Armament@GARRISONED2</t>
        </is>
      </c>
      <c r="L896" s="6" t="n">
        <v>4000</v>
      </c>
      <c r="M896" s="6" t="n">
        <v>47</v>
      </c>
      <c r="N896" s="6" t="n">
        <v>20</v>
      </c>
      <c r="O896" s="6" t="n">
        <v>2</v>
      </c>
      <c r="P896" s="6" t="n">
        <v>4185</v>
      </c>
      <c r="Q896" s="6" t="n">
        <v>1</v>
      </c>
      <c r="R896">
        <f>M896+IF(N896&gt;1,N(O896)*(N896-1),0)</f>
        <v/>
      </c>
      <c r="S896">
        <f>IFERROR(L896*MAX(N896,1)/R896*IF(ISBLANK(K892),1,K892),0)</f>
        <v/>
      </c>
      <c r="AB896" s="7" t="inlineStr">
        <is>
          <t>^HeavyFlameWeapon, ^MediumFlameWeapon</t>
        </is>
      </c>
    </row>
    <row r="897">
      <c r="A897" t="inlineStr">
        <is>
          <t>warcraft2</t>
        </is>
      </c>
      <c r="B897" t="inlineStr">
        <is>
          <t>wc2_orcs_grunt</t>
        </is>
      </c>
      <c r="C897" t="inlineStr">
        <is>
          <t>Grunt</t>
        </is>
      </c>
      <c r="D897" s="6" t="inlineStr">
        <is>
          <t>MeleeInfantry</t>
        </is>
      </c>
      <c r="E897" s="6" t="n">
        <v>65000</v>
      </c>
      <c r="F897" s="6" t="n">
        <v>65</v>
      </c>
      <c r="G897" t="inlineStr">
        <is>
          <t>Plate</t>
        </is>
      </c>
      <c r="H897" s="6" t="n">
        <v>1</v>
      </c>
      <c r="I897" s="6" t="n">
        <v>0.75</v>
      </c>
      <c r="J897" s="6" t="n">
        <v>1</v>
      </c>
      <c r="K897" s="6" t="n">
        <v>0.013</v>
      </c>
      <c r="P897">
        <f>MAX(P898)</f>
        <v/>
      </c>
      <c r="S897">
        <f>S898</f>
        <v/>
      </c>
      <c r="T897">
        <f>(E897/100000+F897/100+(P897/1000)*J897/5+S897/200)*200*I897*H897</f>
        <v/>
      </c>
      <c r="U897">
        <f>((E897*F897/25000)+((P897/1000)*J897*S897/2.5))*I897*H897</f>
        <v/>
      </c>
      <c r="V897">
        <f>(E897*F897*(P897/1000)*J897*S897*I897*H897)/12500000</f>
        <v/>
      </c>
      <c r="W897">
        <f>(T897+U897+V897)/3</f>
        <v/>
      </c>
      <c r="X897" s="6" t="n">
        <v>600</v>
      </c>
      <c r="Y897">
        <f>IFERROR(W897-X897,"")</f>
        <v/>
      </c>
      <c r="Z897">
        <f>IFERROR(ABS(Y897)/MAX(X897,1),"")</f>
        <v/>
      </c>
      <c r="AA897">
        <f>IFERROR((X897-(((E897/100000+F897/100+S897/200)*200*I897*H897)+((E897*F897/25000)*I897*H897))/3)/(((J897/5)*200*I897*H897)+((J897*S897/2.5)*I897*H897)+((E897*F897*J897*S897*I897*H897)/12500000))/3*1000,"")</f>
        <v/>
      </c>
    </row>
    <row r="898">
      <c r="B898" s="7" t="inlineStr">
        <is>
          <t xml:space="preserve">  ↳ wc2gruntslice</t>
        </is>
      </c>
      <c r="C898" s="7" t="inlineStr">
        <is>
          <t>Armament</t>
        </is>
      </c>
      <c r="L898" s="6" t="n">
        <v>16000</v>
      </c>
      <c r="M898" s="6" t="n">
        <v>18</v>
      </c>
      <c r="N898" s="6" t="n">
        <v>1</v>
      </c>
      <c r="O898" s="6" t="n"/>
      <c r="P898" s="6" t="n">
        <v>1555</v>
      </c>
      <c r="Q898" s="6" t="n">
        <v>1</v>
      </c>
      <c r="R898">
        <f>M898+IF(N898&gt;1,N(O898)*(N898-1),0)</f>
        <v/>
      </c>
      <c r="S898">
        <f>IFERROR(L898*MAX(N898,1)/R898*IF(ISBLANK(K897),1,K897),0)</f>
        <v/>
      </c>
      <c r="AB898" s="7" t="inlineStr">
        <is>
          <t>^Warhead_Melee_Medium</t>
        </is>
      </c>
    </row>
    <row r="899">
      <c r="A899" t="inlineStr">
        <is>
          <t>warcraft2</t>
        </is>
      </c>
      <c r="B899" t="inlineStr">
        <is>
          <t>wc2_orcs_warcraft3grunt</t>
        </is>
      </c>
      <c r="C899" t="inlineStr">
        <is>
          <t>Warcraft 3 Grunt</t>
        </is>
      </c>
      <c r="D899" s="6" t="inlineStr">
        <is>
          <t>MeleeInfantry</t>
        </is>
      </c>
      <c r="E899" s="6" t="n">
        <v>120000</v>
      </c>
      <c r="F899" s="6" t="n">
        <v>70</v>
      </c>
      <c r="G899" t="inlineStr">
        <is>
          <t>Plate</t>
        </is>
      </c>
      <c r="H899" s="6" t="n">
        <v>1</v>
      </c>
      <c r="I899" s="6" t="n">
        <v>1</v>
      </c>
      <c r="J899" s="6" t="n">
        <v>1</v>
      </c>
      <c r="K899" s="6" t="n">
        <v>0.013</v>
      </c>
      <c r="P899">
        <f>MAX(P900)</f>
        <v/>
      </c>
      <c r="S899">
        <f>S900</f>
        <v/>
      </c>
      <c r="T899">
        <f>(E899/100000+F899/100+(P899/1000)*J899/5+S899/200)*200*I899*H899</f>
        <v/>
      </c>
      <c r="U899">
        <f>((E899*F899/25000)+((P899/1000)*J899*S899/2.5))*I899*H899</f>
        <v/>
      </c>
      <c r="V899">
        <f>(E899*F899*(P899/1000)*J899*S899*I899*H899)/12500000</f>
        <v/>
      </c>
      <c r="W899">
        <f>(T899+U899+V899)/3</f>
        <v/>
      </c>
      <c r="X899" s="6" t="n">
        <v>1100</v>
      </c>
      <c r="Y899">
        <f>IFERROR(W899-X899,"")</f>
        <v/>
      </c>
      <c r="Z899">
        <f>IFERROR(ABS(Y899)/MAX(X899,1),"")</f>
        <v/>
      </c>
      <c r="AA899">
        <f>IFERROR((X899-(((E899/100000+F899/100+S899/200)*200*I899*H899)+((E899*F899/25000)*I899*H899))/3)/(((J899/5)*200*I899*H899)+((J899*S899/2.5)*I899*H899)+((E899*F899*J899*S899*I899*H899)/12500000))/3*1000,"")</f>
        <v/>
      </c>
    </row>
    <row r="900">
      <c r="B900" s="7" t="inlineStr">
        <is>
          <t xml:space="preserve">  ↳ wc2gruntslice2</t>
        </is>
      </c>
      <c r="C900" s="7" t="inlineStr">
        <is>
          <t>Armament</t>
        </is>
      </c>
      <c r="L900" s="6" t="n">
        <v>24000</v>
      </c>
      <c r="M900" s="6" t="n">
        <v>18</v>
      </c>
      <c r="N900" s="6" t="n">
        <v>1</v>
      </c>
      <c r="O900" s="6" t="n"/>
      <c r="P900" s="6" t="n">
        <v>1600</v>
      </c>
      <c r="Q900" s="6" t="n">
        <v>1</v>
      </c>
      <c r="R900">
        <f>M900+IF(N900&gt;1,N(O900)*(N900-1),0)</f>
        <v/>
      </c>
      <c r="S900">
        <f>IFERROR(L900*MAX(N900,1)/R900*IF(ISBLANK(K899),1,K899),0)</f>
        <v/>
      </c>
      <c r="AB900" s="7" t="inlineStr">
        <is>
          <t>^Warhead_Melee_Medium</t>
        </is>
      </c>
    </row>
    <row r="901">
      <c r="A901" t="inlineStr">
        <is>
          <t>warcraft2</t>
        </is>
      </c>
      <c r="B901" t="inlineStr">
        <is>
          <t>wc2_humans_footman</t>
        </is>
      </c>
      <c r="C901" t="inlineStr">
        <is>
          <t>Footman</t>
        </is>
      </c>
      <c r="D901" s="6" t="inlineStr">
        <is>
          <t>MeleeInfantry</t>
        </is>
      </c>
      <c r="E901" s="6" t="n">
        <v>50000</v>
      </c>
      <c r="F901" s="6" t="n">
        <v>75</v>
      </c>
      <c r="G901" t="inlineStr">
        <is>
          <t>Plate</t>
        </is>
      </c>
      <c r="H901" s="6" t="n">
        <v>1</v>
      </c>
      <c r="I901" s="6" t="n">
        <v>0.75</v>
      </c>
      <c r="J901" s="6" t="n">
        <v>1</v>
      </c>
      <c r="K901" s="6" t="n">
        <v>0.013</v>
      </c>
      <c r="P901">
        <f>MAX(P902)</f>
        <v/>
      </c>
      <c r="S901">
        <f>S902</f>
        <v/>
      </c>
      <c r="T901">
        <f>(E901/100000+F901/100+(P901/1000)*J901/5+S901/200)*200*I901*H901</f>
        <v/>
      </c>
      <c r="U901">
        <f>((E901*F901/25000)+((P901/1000)*J901*S901/2.5))*I901*H901</f>
        <v/>
      </c>
      <c r="V901">
        <f>(E901*F901*(P901/1000)*J901*S901*I901*H901)/12500000</f>
        <v/>
      </c>
      <c r="W901">
        <f>(T901+U901+V901)/3</f>
        <v/>
      </c>
      <c r="X901" s="6" t="n">
        <v>500</v>
      </c>
      <c r="Y901">
        <f>IFERROR(W901-X901,"")</f>
        <v/>
      </c>
      <c r="Z901">
        <f>IFERROR(ABS(Y901)/MAX(X901,1),"")</f>
        <v/>
      </c>
      <c r="AA901">
        <f>IFERROR((X901-(((E901/100000+F901/100+S901/200)*200*I901*H901)+((E901*F901/25000)*I901*H901))/3)/(((J901/5)*200*I901*H901)+((J901*S901/2.5)*I901*H901)+((E901*F901*J901*S901*I901*H901)/12500000))/3*1000,"")</f>
        <v/>
      </c>
    </row>
    <row r="902">
      <c r="B902" s="7" t="inlineStr">
        <is>
          <t xml:space="preserve">  ↳ wc2footmanslice</t>
        </is>
      </c>
      <c r="C902" s="7" t="inlineStr">
        <is>
          <t>Armament</t>
        </is>
      </c>
      <c r="L902" s="6" t="n">
        <v>12000</v>
      </c>
      <c r="M902" s="6" t="n">
        <v>15</v>
      </c>
      <c r="N902" s="6" t="n">
        <v>1</v>
      </c>
      <c r="O902" s="6" t="n"/>
      <c r="P902" s="6" t="n">
        <v>1333</v>
      </c>
      <c r="Q902" s="6" t="n">
        <v>1</v>
      </c>
      <c r="R902">
        <f>M902+IF(N902&gt;1,N(O902)*(N902-1),0)</f>
        <v/>
      </c>
      <c r="S902">
        <f>IFERROR(L902*MAX(N902,1)/R902*IF(ISBLANK(K901),1,K901),0)</f>
        <v/>
      </c>
      <c r="AB902" s="7" t="inlineStr">
        <is>
          <t>^Warhead_Melee_Medium</t>
        </is>
      </c>
    </row>
    <row r="903">
      <c r="A903" t="inlineStr">
        <is>
          <t>warcraft2</t>
        </is>
      </c>
      <c r="B903" t="inlineStr">
        <is>
          <t>wc2_humans_militiapeasant</t>
        </is>
      </c>
      <c r="C903" t="inlineStr">
        <is>
          <t>Militia Peasant</t>
        </is>
      </c>
      <c r="D903" s="6" t="inlineStr">
        <is>
          <t>MeleeInfantry</t>
        </is>
      </c>
      <c r="E903" s="6" t="n">
        <v>20000</v>
      </c>
      <c r="F903" s="6" t="n">
        <v>90</v>
      </c>
      <c r="G903" t="inlineStr">
        <is>
          <t>Light</t>
        </is>
      </c>
      <c r="H903" s="6" t="n">
        <v>1</v>
      </c>
      <c r="I903" s="6" t="n">
        <v>1</v>
      </c>
      <c r="J903" s="6" t="n">
        <v>1</v>
      </c>
      <c r="K903" s="6" t="n"/>
      <c r="P903">
        <f>MAX(P904)</f>
        <v/>
      </c>
      <c r="S903">
        <f>S904</f>
        <v/>
      </c>
      <c r="T903">
        <f>(E903/100000+F903/100+(P903/1000)*J903/5+S903/200)*200*I903*H903</f>
        <v/>
      </c>
      <c r="U903">
        <f>((E903*F903/25000)+((P903/1000)*J903*S903/2.5))*I903*H903</f>
        <v/>
      </c>
      <c r="V903">
        <f>(E903*F903*(P903/1000)*J903*S903*I903*H903)/12500000</f>
        <v/>
      </c>
      <c r="W903">
        <f>(T903+U903+V903)/3</f>
        <v/>
      </c>
      <c r="X903" s="6" t="n">
        <v>300</v>
      </c>
      <c r="Y903">
        <f>IFERROR(W903-X903,"")</f>
        <v/>
      </c>
      <c r="Z903">
        <f>IFERROR(ABS(Y903)/MAX(X903,1),"")</f>
        <v/>
      </c>
      <c r="AA903">
        <f>IFERROR((X903-(((E903/100000+F903/100+S903/200)*200*I903*H903)+((E903*F903/25000)*I903*H903))/3)/(((J903/5)*200*I903*H903)+((J903*S903/2.5)*I903*H903)+((E903*F903*J903*S903*I903*H903)/12500000))/3*1000,"")</f>
        <v/>
      </c>
    </row>
    <row r="904">
      <c r="B904" s="7" t="inlineStr">
        <is>
          <t xml:space="preserve">  ↳ wc2footmanslice</t>
        </is>
      </c>
      <c r="C904" s="7" t="inlineStr">
        <is>
          <t>Armament</t>
        </is>
      </c>
      <c r="L904" s="6" t="n">
        <v>12000</v>
      </c>
      <c r="M904" s="6" t="n">
        <v>15</v>
      </c>
      <c r="N904" s="6" t="n">
        <v>1</v>
      </c>
      <c r="O904" s="6" t="n"/>
      <c r="P904" s="6" t="n">
        <v>1333</v>
      </c>
      <c r="Q904" s="6" t="n">
        <v>1</v>
      </c>
      <c r="R904">
        <f>M904+IF(N904&gt;1,N(O904)*(N904-1),0)</f>
        <v/>
      </c>
      <c r="S904">
        <f>IFERROR(L904*MAX(N904,1)/R904*IF(ISBLANK(K903),1,K903),0)</f>
        <v/>
      </c>
      <c r="AB904" s="7" t="inlineStr">
        <is>
          <t>^Warhead_Melee_Medium</t>
        </is>
      </c>
    </row>
    <row r="905">
      <c r="A905" t="inlineStr">
        <is>
          <t>warcraft2</t>
        </is>
      </c>
      <c r="B905" t="inlineStr">
        <is>
          <t>wc2_humans_warcraft3footman</t>
        </is>
      </c>
      <c r="C905" t="inlineStr">
        <is>
          <t>Warcraft 3 Footman</t>
        </is>
      </c>
      <c r="D905" s="6" t="inlineStr">
        <is>
          <t>MeleeInfantry</t>
        </is>
      </c>
      <c r="E905" s="6" t="n">
        <v>80000</v>
      </c>
      <c r="F905" s="6" t="n">
        <v>85</v>
      </c>
      <c r="G905" t="inlineStr">
        <is>
          <t>Plate</t>
        </is>
      </c>
      <c r="H905" s="6" t="n">
        <v>1</v>
      </c>
      <c r="I905" s="6" t="n">
        <v>1</v>
      </c>
      <c r="J905" s="6" t="n">
        <v>1</v>
      </c>
      <c r="K905" s="6" t="n">
        <v>0.013</v>
      </c>
      <c r="P905">
        <f>MAX(P906)</f>
        <v/>
      </c>
      <c r="S905">
        <f>S906</f>
        <v/>
      </c>
      <c r="T905">
        <f>(E905/100000+F905/100+(P905/1000)*J905/5+S905/200)*200*I905*H905</f>
        <v/>
      </c>
      <c r="U905">
        <f>((E905*F905/25000)+((P905/1000)*J905*S905/2.5))*I905*H905</f>
        <v/>
      </c>
      <c r="V905">
        <f>(E905*F905*(P905/1000)*J905*S905*I905*H905)/12500000</f>
        <v/>
      </c>
      <c r="W905">
        <f>(T905+U905+V905)/3</f>
        <v/>
      </c>
      <c r="X905" s="6" t="n">
        <v>900</v>
      </c>
      <c r="Y905">
        <f>IFERROR(W905-X905,"")</f>
        <v/>
      </c>
      <c r="Z905">
        <f>IFERROR(ABS(Y905)/MAX(X905,1),"")</f>
        <v/>
      </c>
      <c r="AA905">
        <f>IFERROR((X905-(((E905/100000+F905/100+S905/200)*200*I905*H905)+((E905*F905/25000)*I905*H905))/3)/(((J905/5)*200*I905*H905)+((J905*S905/2.5)*I905*H905)+((E905*F905*J905*S905*I905*H905)/12500000))/3*1000,"")</f>
        <v/>
      </c>
    </row>
    <row r="906">
      <c r="B906" s="7" t="inlineStr">
        <is>
          <t xml:space="preserve">  ↳ wc2footmanslice2</t>
        </is>
      </c>
      <c r="C906" s="7" t="inlineStr">
        <is>
          <t>Armament</t>
        </is>
      </c>
      <c r="L906" s="6" t="n">
        <v>18000</v>
      </c>
      <c r="M906" s="6" t="n">
        <v>15</v>
      </c>
      <c r="N906" s="6" t="n">
        <v>1</v>
      </c>
      <c r="O906" s="6" t="n"/>
      <c r="P906" s="6" t="n">
        <v>1533</v>
      </c>
      <c r="Q906" s="6" t="n">
        <v>1</v>
      </c>
      <c r="R906">
        <f>M906+IF(N906&gt;1,N(O906)*(N906-1),0)</f>
        <v/>
      </c>
      <c r="S906">
        <f>IFERROR(L906*MAX(N906,1)/R906*IF(ISBLANK(K905),1,K905),0)</f>
        <v/>
      </c>
      <c r="AB906" s="7" t="inlineStr">
        <is>
          <t>^Warhead_Melee_Medium</t>
        </is>
      </c>
    </row>
    <row r="907">
      <c r="A907" s="4" t="inlineStr">
        <is>
          <t>Dog</t>
        </is>
      </c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</row>
    <row r="908">
      <c r="A908" t="inlineStr">
        <is>
          <t>redalert</t>
        </is>
      </c>
      <c r="B908" t="inlineStr">
        <is>
          <t>ra1_soviets_attackdog</t>
        </is>
      </c>
      <c r="C908" t="inlineStr">
        <is>
          <t>actor_dog.name</t>
        </is>
      </c>
      <c r="D908" s="6" t="inlineStr">
        <is>
          <t>Dog</t>
        </is>
      </c>
      <c r="E908" s="6" t="n">
        <v>5000</v>
      </c>
      <c r="F908" s="6" t="n">
        <v>100</v>
      </c>
      <c r="G908" t="inlineStr">
        <is>
          <t>None</t>
        </is>
      </c>
      <c r="H908" s="6" t="n">
        <v>1</v>
      </c>
      <c r="I908" s="6" t="n">
        <v>1</v>
      </c>
      <c r="J908" s="6" t="n">
        <v>1</v>
      </c>
      <c r="K908" s="6" t="n"/>
      <c r="P908">
        <f>MAX(P909)</f>
        <v/>
      </c>
      <c r="S908">
        <f>S909</f>
        <v/>
      </c>
      <c r="T908">
        <f>(E908/100000+F908/100+(P908/1000)*J908/5+S908/200)*200*I908*H908</f>
        <v/>
      </c>
      <c r="U908">
        <f>((E908*F908/25000)+((P908/1000)*J908*S908/2.5))*I908*H908</f>
        <v/>
      </c>
      <c r="V908">
        <f>(E908*F908*(P908/1000)*J908*S908*I908*H908)/12500000</f>
        <v/>
      </c>
      <c r="W908">
        <f>(((E908/27000)+(F908/90)+(S908/300)+((P908/1500)*J908))*280/4+(((E908/27000)*(F908/90))+(((P908/1500)*J908)*(S908/300)))*280/2+((E908/27000)*(F908/90)*((P908/1500)*J908)*(S908/300))*280)*(H908/1.0)/3</f>
        <v/>
      </c>
      <c r="X908" s="6" t="n">
        <v>200</v>
      </c>
      <c r="Y908">
        <f>IFERROR(W908-X908,"")</f>
        <v/>
      </c>
      <c r="Z908">
        <f>IFERROR(ABS(Y908)/MAX(X908,1),"")</f>
        <v/>
      </c>
      <c r="AA908">
        <f>IFERROR(ROUND(((3*X908-(((E908/27000)+(F908/90)+(S908/300))*280/4+((E908/27000)*(F908/90))*280/2)*(H908/1.0))/(280/4+((S908/300))*280/2+((E908/27000)*(F908/90)*(S908/300))*280)*(H908/1.0)*1500)/J908,-1),"")</f>
        <v/>
      </c>
    </row>
    <row r="909">
      <c r="B909" s="7" t="inlineStr">
        <is>
          <t xml:space="preserve">  ↳ DogJaw</t>
        </is>
      </c>
      <c r="C909" s="7" t="inlineStr">
        <is>
          <t>Armament</t>
        </is>
      </c>
      <c r="L909" s="6" t="n">
        <v>100000</v>
      </c>
      <c r="M909" s="6" t="n">
        <v>10</v>
      </c>
      <c r="N909" s="6" t="n">
        <v>1</v>
      </c>
      <c r="O909" s="6" t="n"/>
      <c r="P909" s="6" t="n">
        <v>2000</v>
      </c>
      <c r="Q909" s="6" t="n">
        <v>1</v>
      </c>
      <c r="R909">
        <f>M909+IF(N909&gt;1,N(O909)*(N909-1),0)</f>
        <v/>
      </c>
      <c r="S909">
        <f>IFERROR(L909*MAX(N909,1)/R909*IF(ISBLANK(K908),1,K908),0)</f>
        <v/>
      </c>
      <c r="AB909" s="7" t="inlineStr"/>
    </row>
    <row r="910">
      <c r="A910" t="inlineStr">
        <is>
          <t>redalert</t>
        </is>
      </c>
      <c r="B910" t="inlineStr">
        <is>
          <t>ra1_soviets_cyberdog</t>
        </is>
      </c>
      <c r="C910" t="inlineStr">
        <is>
          <t>Cyberdog</t>
        </is>
      </c>
      <c r="D910" s="6" t="inlineStr">
        <is>
          <t>Dog</t>
        </is>
      </c>
      <c r="E910" s="6" t="n">
        <v>50000</v>
      </c>
      <c r="F910" s="6" t="n">
        <v>100</v>
      </c>
      <c r="G910" t="inlineStr">
        <is>
          <t>Plate</t>
        </is>
      </c>
      <c r="H910" s="6" t="n">
        <v>1</v>
      </c>
      <c r="I910" s="6" t="n">
        <v>1</v>
      </c>
      <c r="J910" s="6" t="n">
        <v>1</v>
      </c>
      <c r="K910" s="6" t="n"/>
      <c r="P910">
        <f>MAX(P911)</f>
        <v/>
      </c>
      <c r="S910">
        <f>S911</f>
        <v/>
      </c>
      <c r="T910">
        <f>(E910/100000+F910/100+(P910/1000)*J910/5+S910/200)*200*I910*H910</f>
        <v/>
      </c>
      <c r="U910">
        <f>((E910*F910/25000)+((P910/1000)*J910*S910/2.5))*I910*H910</f>
        <v/>
      </c>
      <c r="V910">
        <f>(E910*F910*(P910/1000)*J910*S910*I910*H910)/12500000</f>
        <v/>
      </c>
      <c r="W910">
        <f>(((E910/27000)+(F910/90)+(S910/300)+((P910/1500)*J910))*280/4+(((E910/27000)*(F910/90))+(((P910/1500)*J910)*(S910/300)))*280/2+((E910/27000)*(F910/90)*((P910/1500)*J910)*(S910/300))*280)*(H910/1.0)/3</f>
        <v/>
      </c>
      <c r="X910" s="6" t="n">
        <v>1000</v>
      </c>
      <c r="Y910">
        <f>IFERROR(W910-X910,"")</f>
        <v/>
      </c>
      <c r="Z910">
        <f>IFERROR(ABS(Y910)/MAX(X910,1),"")</f>
        <v/>
      </c>
      <c r="AA910">
        <f>IFERROR(ROUND(((3*X910-(((E910/27000)+(F910/90)+(S910/300))*280/4+((E910/27000)*(F910/90))*280/2)*(H910/1.0))/(280/4+((S910/300))*280/2+((E910/27000)*(F910/90)*(S910/300))*280)*(H910/1.0)*1500)/J910,-1),"")</f>
        <v/>
      </c>
    </row>
    <row r="911">
      <c r="B911" s="7" t="inlineStr">
        <is>
          <t xml:space="preserve">  ↳ CyberneticDogJaw</t>
        </is>
      </c>
      <c r="C911" s="7" t="inlineStr">
        <is>
          <t>Armament</t>
        </is>
      </c>
      <c r="L911" s="6" t="n">
        <v>100000</v>
      </c>
      <c r="M911" s="6" t="n">
        <v>10</v>
      </c>
      <c r="N911" s="6" t="n">
        <v>1</v>
      </c>
      <c r="O911" s="6" t="n"/>
      <c r="P911" s="6" t="n">
        <v>2500</v>
      </c>
      <c r="Q911" s="6" t="n">
        <v>1</v>
      </c>
      <c r="R911">
        <f>M911+IF(N911&gt;1,N(O911)*(N911-1),0)</f>
        <v/>
      </c>
      <c r="S911">
        <f>IFERROR(L911*MAX(N911,1)/R911*IF(ISBLANK(K910),1,K910),0)</f>
        <v/>
      </c>
      <c r="AB911" s="7" t="inlineStr"/>
    </row>
    <row r="912">
      <c r="A912" t="inlineStr">
        <is>
          <t>redalert2</t>
        </is>
      </c>
      <c r="B912" t="inlineStr">
        <is>
          <t>ra2_allies_attackdog</t>
        </is>
      </c>
      <c r="C912" t="inlineStr">
        <is>
          <t>Attack Dog</t>
        </is>
      </c>
      <c r="D912" s="6" t="inlineStr">
        <is>
          <t>Dog</t>
        </is>
      </c>
      <c r="E912" s="6" t="n">
        <v>5000</v>
      </c>
      <c r="F912" s="6" t="n">
        <v>100</v>
      </c>
      <c r="G912" t="inlineStr">
        <is>
          <t>None</t>
        </is>
      </c>
      <c r="H912" s="6" t="n">
        <v>1</v>
      </c>
      <c r="I912" s="6" t="n">
        <v>1</v>
      </c>
      <c r="J912" s="6" t="n">
        <v>1</v>
      </c>
      <c r="K912" s="6" t="n"/>
      <c r="P912">
        <f>MAX(P913)</f>
        <v/>
      </c>
      <c r="S912">
        <f>S913</f>
        <v/>
      </c>
      <c r="T912">
        <f>(E912/100000+F912/100+(P912/1000)*J912/5+S912/200)*200*I912*H912</f>
        <v/>
      </c>
      <c r="U912">
        <f>((E912*F912/25000)+((P912/1000)*J912*S912/2.5))*I912*H912</f>
        <v/>
      </c>
      <c r="V912">
        <f>(E912*F912*(P912/1000)*J912*S912*I912*H912)/12500000</f>
        <v/>
      </c>
      <c r="W912">
        <f>(((E912/27000)+(F912/90)+(S912/300)+((P912/1500)*J912))*280/4+(((E912/27000)*(F912/90))+(((P912/1500)*J912)*(S912/300)))*280/2+((E912/27000)*(F912/90)*((P912/1500)*J912)*(S912/300))*280)*(H912/1.0)/3</f>
        <v/>
      </c>
      <c r="X912" s="6" t="n">
        <v>200</v>
      </c>
      <c r="Y912">
        <f>IFERROR(W912-X912,"")</f>
        <v/>
      </c>
      <c r="Z912">
        <f>IFERROR(ABS(Y912)/MAX(X912,1),"")</f>
        <v/>
      </c>
      <c r="AA912">
        <f>IFERROR(ROUND(((3*X912-(((E912/27000)+(F912/90)+(S912/300))*280/4+((E912/27000)*(F912/90))*280/2)*(H912/1.0))/(280/4+((S912/300))*280/2+((E912/27000)*(F912/90)*(S912/300))*280)*(H912/1.0)*1500)/J912,-1),"")</f>
        <v/>
      </c>
    </row>
    <row r="913">
      <c r="B913" s="7" t="inlineStr">
        <is>
          <t xml:space="preserve">  ↳ DogJaw</t>
        </is>
      </c>
      <c r="C913" s="7" t="inlineStr">
        <is>
          <t>Armament</t>
        </is>
      </c>
      <c r="L913" s="6" t="n">
        <v>100000</v>
      </c>
      <c r="M913" s="6" t="n">
        <v>10</v>
      </c>
      <c r="N913" s="6" t="n">
        <v>1</v>
      </c>
      <c r="O913" s="6" t="n"/>
      <c r="P913" s="6" t="n">
        <v>2000</v>
      </c>
      <c r="Q913" s="6" t="n">
        <v>1</v>
      </c>
      <c r="R913">
        <f>M913+IF(N913&gt;1,N(O913)*(N913-1),0)</f>
        <v/>
      </c>
      <c r="S913">
        <f>IFERROR(L913*MAX(N913,1)/R913*IF(ISBLANK(K912),1,K912),0)</f>
        <v/>
      </c>
      <c r="AB913" s="7" t="inlineStr"/>
    </row>
    <row r="914">
      <c r="A914" t="inlineStr">
        <is>
          <t>redalert2</t>
        </is>
      </c>
      <c r="B914" t="inlineStr">
        <is>
          <t>ra2_soviets_attackdog</t>
        </is>
      </c>
      <c r="C914" t="inlineStr">
        <is>
          <t>Attack Dog</t>
        </is>
      </c>
      <c r="D914" s="6" t="inlineStr">
        <is>
          <t>Dog</t>
        </is>
      </c>
      <c r="E914" s="6" t="n">
        <v>5000</v>
      </c>
      <c r="F914" s="6" t="n">
        <v>100</v>
      </c>
      <c r="G914" t="inlineStr">
        <is>
          <t>None</t>
        </is>
      </c>
      <c r="H914" s="6" t="n">
        <v>1</v>
      </c>
      <c r="I914" s="6" t="n">
        <v>1</v>
      </c>
      <c r="J914" s="6" t="n">
        <v>1</v>
      </c>
      <c r="K914" s="6" t="n"/>
      <c r="P914">
        <f>MAX(P915)</f>
        <v/>
      </c>
      <c r="S914">
        <f>S915</f>
        <v/>
      </c>
      <c r="T914">
        <f>(E914/100000+F914/100+(P914/1000)*J914/5+S914/200)*200*I914*H914</f>
        <v/>
      </c>
      <c r="U914">
        <f>((E914*F914/25000)+((P914/1000)*J914*S914/2.5))*I914*H914</f>
        <v/>
      </c>
      <c r="V914">
        <f>(E914*F914*(P914/1000)*J914*S914*I914*H914)/12500000</f>
        <v/>
      </c>
      <c r="W914">
        <f>(((E914/27000)+(F914/90)+(S914/300)+((P914/1500)*J914))*280/4+(((E914/27000)*(F914/90))+(((P914/1500)*J914)*(S914/300)))*280/2+((E914/27000)*(F914/90)*((P914/1500)*J914)*(S914/300))*280)*(H914/1.0)/3</f>
        <v/>
      </c>
      <c r="X914" s="6" t="n">
        <v>200</v>
      </c>
      <c r="Y914">
        <f>IFERROR(W914-X914,"")</f>
        <v/>
      </c>
      <c r="Z914">
        <f>IFERROR(ABS(Y914)/MAX(X914,1),"")</f>
        <v/>
      </c>
      <c r="AA914">
        <f>IFERROR(ROUND(((3*X914-(((E914/27000)+(F914/90)+(S914/300))*280/4+((E914/27000)*(F914/90))*280/2)*(H914/1.0))/(280/4+((S914/300))*280/2+((E914/27000)*(F914/90)*(S914/300))*280)*(H914/1.0)*1500)/J914,-1),"")</f>
        <v/>
      </c>
    </row>
    <row r="915">
      <c r="B915" s="7" t="inlineStr">
        <is>
          <t xml:space="preserve">  ↳ DogJaw</t>
        </is>
      </c>
      <c r="C915" s="7" t="inlineStr">
        <is>
          <t>Armament</t>
        </is>
      </c>
      <c r="L915" s="6" t="n">
        <v>100000</v>
      </c>
      <c r="M915" s="6" t="n">
        <v>10</v>
      </c>
      <c r="N915" s="6" t="n">
        <v>1</v>
      </c>
      <c r="O915" s="6" t="n"/>
      <c r="P915" s="6" t="n">
        <v>2000</v>
      </c>
      <c r="Q915" s="6" t="n">
        <v>1</v>
      </c>
      <c r="R915">
        <f>M915+IF(N915&gt;1,N(O915)*(N915-1),0)</f>
        <v/>
      </c>
      <c r="S915">
        <f>IFERROR(L915*MAX(N915,1)/R915*IF(ISBLANK(K914),1,K914),0)</f>
        <v/>
      </c>
      <c r="AB915" s="7" t="inlineStr"/>
    </row>
    <row r="916">
      <c r="A916" s="4" t="inlineStr">
        <is>
          <t>SniperInfantry</t>
        </is>
      </c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</row>
    <row r="917">
      <c r="A917" t="inlineStr">
        <is>
          <t>tiberiandawn</t>
        </is>
      </c>
      <c r="B917" t="inlineStr">
        <is>
          <t>td_gdi_heavysniper</t>
        </is>
      </c>
      <c r="C917" t="inlineStr">
        <is>
          <t>GDI Heavy Sniper</t>
        </is>
      </c>
      <c r="D917" s="6" t="inlineStr">
        <is>
          <t>SniperInfantry</t>
        </is>
      </c>
      <c r="E917" s="6" t="n">
        <v>25000</v>
      </c>
      <c r="F917" s="6" t="n">
        <v>78</v>
      </c>
      <c r="G917" t="inlineStr">
        <is>
          <t>Flak</t>
        </is>
      </c>
      <c r="H917" s="6" t="n">
        <v>0.7674</v>
      </c>
      <c r="I917" s="6" t="n">
        <v>1</v>
      </c>
      <c r="J917" s="6" t="n">
        <v>1</v>
      </c>
      <c r="K917" s="6" t="n"/>
      <c r="P917">
        <f>MAX(P918)</f>
        <v/>
      </c>
      <c r="S917">
        <f>S918</f>
        <v/>
      </c>
      <c r="T917">
        <f>(E917/100000+F917/100+(P917/1000)*J917/5+S917/200)*200*I917*H917</f>
        <v/>
      </c>
      <c r="U917">
        <f>((E917*F917/25000)+((P917/1000)*J917*S917/2.5))*I917*H917</f>
        <v/>
      </c>
      <c r="V917">
        <f>(E917*F917*(P917/1000)*J917*S917*I917*H917)/12500000</f>
        <v/>
      </c>
      <c r="W917">
        <f>(T917+U917+V917)/3</f>
        <v/>
      </c>
      <c r="X917" s="6" t="n">
        <v>700</v>
      </c>
      <c r="Y917">
        <f>IFERROR(W917-X917,"")</f>
        <v/>
      </c>
      <c r="Z917">
        <f>IFERROR(ABS(Y917)/MAX(X917,1),"")</f>
        <v/>
      </c>
      <c r="AA917">
        <f>IFERROR((X917-(((E917/100000+F917/100+S917/200)*200*I917*H917)+((E917*F917/25000)*I917*H917))/3)/(((J917/5)*200*I917*H917)+((J917*S917/2.5)*I917*H917)+((E917*F917*J917*S917*I917*H917)/12500000))/3*1000,"")</f>
        <v/>
      </c>
    </row>
    <row r="918">
      <c r="B918" s="7" t="inlineStr">
        <is>
          <t xml:space="preserve">  ↳ GDISniperRifle</t>
        </is>
      </c>
      <c r="C918" s="7" t="inlineStr">
        <is>
          <t>Armament</t>
        </is>
      </c>
      <c r="L918" s="6" t="n">
        <v>32000</v>
      </c>
      <c r="M918" s="6" t="n">
        <v>75</v>
      </c>
      <c r="N918" s="6" t="n">
        <v>1</v>
      </c>
      <c r="O918" s="6" t="n"/>
      <c r="P918" s="6" t="n">
        <v>8655</v>
      </c>
      <c r="Q918" s="6" t="n">
        <v>1</v>
      </c>
      <c r="R918">
        <f>M918+IF(N918&gt;1,N(O918)*(N918-1),0)</f>
        <v/>
      </c>
      <c r="S918">
        <f>IFERROR(L918*MAX(N918,1)/R918*IF(ISBLANK(K917),1,K917),0)</f>
        <v/>
      </c>
      <c r="AB918" s="7" t="inlineStr">
        <is>
          <t>^SmallArms, ^Grenade, ^FlakWeapon, ^Chaingun</t>
        </is>
      </c>
    </row>
    <row r="919">
      <c r="B919" s="7" t="inlineStr">
        <is>
          <t xml:space="preserve">  ↳ GDISniperRifle</t>
        </is>
      </c>
      <c r="C919" s="7" t="inlineStr">
        <is>
          <t>Armament@GARRISONED</t>
        </is>
      </c>
      <c r="L919" s="6" t="n">
        <v>32000</v>
      </c>
      <c r="M919" s="6" t="n">
        <v>75</v>
      </c>
      <c r="N919" s="6" t="n">
        <v>1</v>
      </c>
      <c r="O919" s="6" t="n"/>
      <c r="P919" s="6" t="n">
        <v>8655</v>
      </c>
      <c r="Q919" s="6" t="n">
        <v>1</v>
      </c>
      <c r="R919">
        <f>M919+IF(N919&gt;1,N(O919)*(N919-1),0)</f>
        <v/>
      </c>
      <c r="S919">
        <f>IFERROR(L919*MAX(N919,1)/R919*IF(ISBLANK(K917),1,K917),0)</f>
        <v/>
      </c>
      <c r="AB919" s="7" t="inlineStr">
        <is>
          <t>^SmallArms, ^Grenade, ^FlakWeapon, ^Chaingun</t>
        </is>
      </c>
    </row>
    <row r="920">
      <c r="A920" t="inlineStr">
        <is>
          <t>redalert</t>
        </is>
      </c>
      <c r="B920" t="inlineStr">
        <is>
          <t>japan_archermaiden</t>
        </is>
      </c>
      <c r="C920" t="inlineStr">
        <is>
          <t>Archer Maiden</t>
        </is>
      </c>
      <c r="D920" s="6" t="inlineStr">
        <is>
          <t>SniperInfantry</t>
        </is>
      </c>
      <c r="E920" s="6" t="n">
        <v>20000</v>
      </c>
      <c r="F920" s="6" t="n">
        <v>72</v>
      </c>
      <c r="G920" t="inlineStr">
        <is>
          <t>Flak</t>
        </is>
      </c>
      <c r="H920" s="6" t="n">
        <v>1</v>
      </c>
      <c r="I920" s="6" t="n">
        <v>0.75</v>
      </c>
      <c r="J920" s="6" t="n">
        <v>1</v>
      </c>
      <c r="K920" s="6" t="n"/>
      <c r="P920">
        <f>MAX(P921,P923)</f>
        <v/>
      </c>
      <c r="S920">
        <f>S921+S923</f>
        <v/>
      </c>
      <c r="T920">
        <f>(E920/100000+F920/100+(P920/1000)*J920/5+S920/200)*200*I920*H920</f>
        <v/>
      </c>
      <c r="U920">
        <f>((E920*F920/25000)+((P920/1000)*J920*S920/2.5))*I920*H920</f>
        <v/>
      </c>
      <c r="V920">
        <f>(E920*F920*(P920/1000)*J920*S920*I920*H920)/12500000</f>
        <v/>
      </c>
      <c r="W920">
        <f>(((E920/20000)+(F920/70)+(S920/200)+((P920/7000)*J920))*500/4+(((E920/20000)*(F920/70))+(((P920/7000)*J920)*(S920/200)))*500/2+((E920/20000)*(F920/70)*((P920/7000)*J920)*(S920/200))*500)*(H920/1.0)/3</f>
        <v/>
      </c>
      <c r="X920" s="6" t="n">
        <v>500</v>
      </c>
      <c r="Y920">
        <f>IFERROR(W920-X920,"")</f>
        <v/>
      </c>
      <c r="Z920">
        <f>IFERROR(ABS(Y920)/MAX(X920,1),"")</f>
        <v/>
      </c>
      <c r="AA920">
        <f>IFERROR(ROUND(((3*X920-(((E920/20000)+(F920/70)+(S920/200))*500/4+((E920/20000)*(F920/70))*500/2)*(H920/1.0))/(500/4+((S920/200))*500/2+((E920/20000)*(F920/70)*(S920/200))*500)*(H920/1.0)*7000)/J920,-1),"")</f>
        <v/>
      </c>
    </row>
    <row r="921">
      <c r="B921" s="7" t="inlineStr">
        <is>
          <t xml:space="preserve">  ↳ JapanMaidenBow</t>
        </is>
      </c>
      <c r="C921" s="7" t="inlineStr">
        <is>
          <t>Armament@PRIMARY</t>
        </is>
      </c>
      <c r="L921" s="6" t="n">
        <v>40000</v>
      </c>
      <c r="M921" s="6" t="n">
        <v>100</v>
      </c>
      <c r="N921" s="6" t="n">
        <v>1</v>
      </c>
      <c r="O921" s="6" t="n"/>
      <c r="P921" s="6" t="n">
        <v>7500</v>
      </c>
      <c r="Q921" s="6" t="n">
        <v>0.75</v>
      </c>
      <c r="R921">
        <f>M921+IF(N921&gt;1,N(O921)*(N921-1),0)</f>
        <v/>
      </c>
      <c r="S921">
        <f>IFERROR(L921*MAX(N921,1)/R921*IF(ISBLANK(K920),1,K920),0)</f>
        <v/>
      </c>
      <c r="AB921" s="7" t="inlineStr">
        <is>
          <t>^Warhead_Arrow_Light</t>
        </is>
      </c>
    </row>
    <row r="922">
      <c r="B922" s="7" t="inlineStr">
        <is>
          <t xml:space="preserve">  ↳ JapanMaidenBow</t>
        </is>
      </c>
      <c r="C922" s="7" t="inlineStr">
        <is>
          <t>Armament@GARRISONED</t>
        </is>
      </c>
      <c r="L922" s="6" t="n">
        <v>40000</v>
      </c>
      <c r="M922" s="6" t="n">
        <v>100</v>
      </c>
      <c r="N922" s="6" t="n">
        <v>1</v>
      </c>
      <c r="O922" s="6" t="n"/>
      <c r="P922" s="6" t="n">
        <v>7500</v>
      </c>
      <c r="Q922" s="6" t="n">
        <v>0.75</v>
      </c>
      <c r="R922">
        <f>M922+IF(N922&gt;1,N(O922)*(N922-1),0)</f>
        <v/>
      </c>
      <c r="S922">
        <f>IFERROR(L922*MAX(N922,1)/R922*IF(ISBLANK(K920),1,K920),0)</f>
        <v/>
      </c>
      <c r="AB922" s="7" t="inlineStr">
        <is>
          <t>^Warhead_Arrow_Light</t>
        </is>
      </c>
    </row>
    <row r="923">
      <c r="B923" s="7" t="inlineStr">
        <is>
          <t xml:space="preserve">  ↳ JapanMaidenBowEnergized</t>
        </is>
      </c>
      <c r="C923" s="7" t="inlineStr">
        <is>
          <t>Armament@Upgrade</t>
        </is>
      </c>
      <c r="L923" s="6" t="n">
        <v>42000</v>
      </c>
      <c r="M923" s="6" t="n">
        <v>100</v>
      </c>
      <c r="N923" s="6" t="n">
        <v>1</v>
      </c>
      <c r="O923" s="6" t="n"/>
      <c r="P923" s="6" t="n">
        <v>7500</v>
      </c>
      <c r="Q923" s="6" t="n">
        <v>0.75</v>
      </c>
      <c r="R923">
        <f>M923+IF(N923&gt;1,N(O923)*(N923-1),0)</f>
        <v/>
      </c>
      <c r="S923">
        <f>IFERROR(L923*MAX(N923,1)/R923*IF(ISBLANK(K920),1,K920),0)</f>
        <v/>
      </c>
      <c r="AB923" s="7" t="inlineStr">
        <is>
          <t>^Warhead_Arrow_Light</t>
        </is>
      </c>
    </row>
    <row r="924">
      <c r="B924" s="7" t="inlineStr">
        <is>
          <t xml:space="preserve">  ↳ JapanMaidenBowEnergized</t>
        </is>
      </c>
      <c r="C924" s="7" t="inlineStr">
        <is>
          <t>Armament@UpgradeGARRISONED</t>
        </is>
      </c>
      <c r="L924" s="6" t="n">
        <v>42000</v>
      </c>
      <c r="M924" s="6" t="n">
        <v>100</v>
      </c>
      <c r="N924" s="6" t="n">
        <v>1</v>
      </c>
      <c r="O924" s="6" t="n"/>
      <c r="P924" s="6" t="n">
        <v>7500</v>
      </c>
      <c r="Q924" s="6" t="n">
        <v>0.75</v>
      </c>
      <c r="R924">
        <f>M924+IF(N924&gt;1,N(O924)*(N924-1),0)</f>
        <v/>
      </c>
      <c r="S924">
        <f>IFERROR(L924*MAX(N924,1)/R924*IF(ISBLANK(K920),1,K920),0)</f>
        <v/>
      </c>
      <c r="AB924" s="7" t="inlineStr">
        <is>
          <t>^Warhead_Arrow_Light</t>
        </is>
      </c>
    </row>
    <row r="925">
      <c r="A925" t="inlineStr">
        <is>
          <t>redalert</t>
        </is>
      </c>
      <c r="B925" t="inlineStr">
        <is>
          <t>ra1_soviets_commissar</t>
        </is>
      </c>
      <c r="C925" t="inlineStr">
        <is>
          <t>Commissar</t>
        </is>
      </c>
      <c r="D925" s="6" t="inlineStr">
        <is>
          <t>SniperInfantry</t>
        </is>
      </c>
      <c r="E925" s="6" t="n">
        <v>30000</v>
      </c>
      <c r="F925" s="6" t="n">
        <v>70</v>
      </c>
      <c r="G925" t="inlineStr">
        <is>
          <t>Flak</t>
        </is>
      </c>
      <c r="H925" s="6" t="n">
        <v>1</v>
      </c>
      <c r="I925" s="6" t="n">
        <v>1</v>
      </c>
      <c r="J925" s="6" t="n">
        <v>1</v>
      </c>
      <c r="K925" s="6" t="n"/>
      <c r="P925">
        <f>MAX(P926)</f>
        <v/>
      </c>
      <c r="S925">
        <f>S926</f>
        <v/>
      </c>
      <c r="T925">
        <f>(E925/100000+F925/100+(P925/1000)*J925/5+S925/200)*200*I925*H925</f>
        <v/>
      </c>
      <c r="U925">
        <f>((E925*F925/25000)+((P925/1000)*J925*S925/2.5))*I925*H925</f>
        <v/>
      </c>
      <c r="V925">
        <f>(E925*F925*(P925/1000)*J925*S925*I925*H925)/12500000</f>
        <v/>
      </c>
      <c r="W925">
        <f>(T925+U925+V925)/3</f>
        <v/>
      </c>
      <c r="X925" s="6" t="n">
        <v>700</v>
      </c>
      <c r="Y925">
        <f>IFERROR(W925-X925,"")</f>
        <v/>
      </c>
      <c r="Z925">
        <f>IFERROR(ABS(Y925)/MAX(X925,1),"")</f>
        <v/>
      </c>
      <c r="AA925">
        <f>IFERROR((X925-(((E925/100000+F925/100+S925/200)*200*I925*H925)+((E925*F925/25000)*I925*H925))/3)/(((J925/5)*200*I925*H925)+((J925*S925/2.5)*I925*H925)+((E925*F925*J925*S925*I925*H925)/12500000))/3*1000,"")</f>
        <v/>
      </c>
    </row>
    <row r="926">
      <c r="B926" s="7" t="inlineStr">
        <is>
          <t xml:space="preserve">  ↳ CommissarPistol</t>
        </is>
      </c>
      <c r="C926" s="7" t="inlineStr">
        <is>
          <t>Armament@PRIMARY</t>
        </is>
      </c>
      <c r="L926" s="6" t="n">
        <v>10000</v>
      </c>
      <c r="M926" s="6" t="n">
        <v>20</v>
      </c>
      <c r="N926" s="6" t="n">
        <v>1</v>
      </c>
      <c r="O926" s="6" t="n"/>
      <c r="P926" s="6" t="n">
        <v>6770</v>
      </c>
      <c r="Q926" s="6" t="n">
        <v>0.75</v>
      </c>
      <c r="R926">
        <f>M926+IF(N926&gt;1,N(O926)*(N926-1),0)</f>
        <v/>
      </c>
      <c r="S926">
        <f>IFERROR(L926*MAX(N926,1)/R926*IF(ISBLANK(K925),1,K925),0)</f>
        <v/>
      </c>
      <c r="AB926" s="7" t="inlineStr">
        <is>
          <t>^Warhead_Sniper_Light</t>
        </is>
      </c>
    </row>
    <row r="927">
      <c r="B927" s="7" t="inlineStr">
        <is>
          <t xml:space="preserve">  ↳ CommissarPistol</t>
        </is>
      </c>
      <c r="C927" s="7" t="inlineStr">
        <is>
          <t>Armament@GARRISONED</t>
        </is>
      </c>
      <c r="L927" s="6" t="n">
        <v>10000</v>
      </c>
      <c r="M927" s="6" t="n">
        <v>20</v>
      </c>
      <c r="N927" s="6" t="n">
        <v>1</v>
      </c>
      <c r="O927" s="6" t="n"/>
      <c r="P927" s="6" t="n">
        <v>6770</v>
      </c>
      <c r="Q927" s="6" t="n">
        <v>0.75</v>
      </c>
      <c r="R927">
        <f>M927+IF(N927&gt;1,N(O927)*(N927-1),0)</f>
        <v/>
      </c>
      <c r="S927">
        <f>IFERROR(L927*MAX(N927,1)/R927*IF(ISBLANK(K925),1,K925),0)</f>
        <v/>
      </c>
      <c r="AB927" s="7" t="inlineStr">
        <is>
          <t>^Warhead_Sniper_Light</t>
        </is>
      </c>
    </row>
    <row r="928">
      <c r="A928" t="inlineStr">
        <is>
          <t>redalert</t>
        </is>
      </c>
      <c r="B928" t="inlineStr">
        <is>
          <t>ra1_allies_alliedsniper</t>
        </is>
      </c>
      <c r="C928" t="inlineStr">
        <is>
          <t>Allied Sniper</t>
        </is>
      </c>
      <c r="D928" s="6" t="inlineStr">
        <is>
          <t>SniperInfantry</t>
        </is>
      </c>
      <c r="E928" s="6" t="n">
        <v>10000</v>
      </c>
      <c r="F928" s="6" t="n">
        <v>60</v>
      </c>
      <c r="G928" t="inlineStr">
        <is>
          <t>Flak</t>
        </is>
      </c>
      <c r="H928" s="6" t="n">
        <v>1</v>
      </c>
      <c r="I928" s="6" t="n">
        <v>0.75</v>
      </c>
      <c r="J928" s="6" t="n">
        <v>1.25</v>
      </c>
      <c r="K928" s="6" t="n"/>
      <c r="P928">
        <f>MAX(P929,P931)</f>
        <v/>
      </c>
      <c r="S928">
        <f>S929+S931</f>
        <v/>
      </c>
      <c r="T928">
        <f>(E928/100000+F928/100+(P928/1000)*J928/5+S928/200)*200*I928*H928</f>
        <v/>
      </c>
      <c r="U928">
        <f>((E928*F928/25000)+((P928/1000)*J928*S928/2.5))*I928*H928</f>
        <v/>
      </c>
      <c r="V928">
        <f>(E928*F928*(P928/1000)*J928*S928*I928*H928)/12500000</f>
        <v/>
      </c>
      <c r="W928">
        <f>(T928+U928+V928)/3</f>
        <v/>
      </c>
      <c r="X928" s="6" t="n">
        <v>500</v>
      </c>
      <c r="Y928">
        <f>IFERROR(W928-X928,"")</f>
        <v/>
      </c>
      <c r="Z928">
        <f>IFERROR(ABS(Y928)/MAX(X928,1),"")</f>
        <v/>
      </c>
      <c r="AA928">
        <f>IFERROR((X928-(((E928/100000+F928/100+S928/200)*200*I928*H928)+((E928*F928/25000)*I928*H928))/3)/(((J928/5)*200*I928*H928)+((J928*S928/2.5)*I928*H928)+((E928*F928*J928*S928*I928*H928)/12500000))/3*1000,"")</f>
        <v/>
      </c>
    </row>
    <row r="929">
      <c r="B929" s="7" t="inlineStr">
        <is>
          <t xml:space="preserve">  ↳ LightSniper</t>
        </is>
      </c>
      <c r="C929" s="7" t="inlineStr">
        <is>
          <t>Armament@PRIMARY</t>
        </is>
      </c>
      <c r="L929" s="6" t="n">
        <v>30000</v>
      </c>
      <c r="M929" s="6" t="n">
        <v>100</v>
      </c>
      <c r="N929" s="6" t="n">
        <v>1</v>
      </c>
      <c r="O929" s="6" t="n"/>
      <c r="P929" s="6" t="n">
        <v>9153</v>
      </c>
      <c r="Q929" s="6" t="n">
        <v>0.75</v>
      </c>
      <c r="R929">
        <f>M929+IF(N929&gt;1,N(O929)*(N929-1),0)</f>
        <v/>
      </c>
      <c r="S929">
        <f>IFERROR(L929*MAX(N929,1)/R929*IF(ISBLANK(K928),1,K928),0)</f>
        <v/>
      </c>
      <c r="AB929" s="7" t="inlineStr">
        <is>
          <t>^Warhead_Sniper_Light</t>
        </is>
      </c>
    </row>
    <row r="930">
      <c r="B930" s="7" t="inlineStr">
        <is>
          <t xml:space="preserve">  ↳ LightSniper</t>
        </is>
      </c>
      <c r="C930" s="7" t="inlineStr">
        <is>
          <t>Armament@GARRISONED</t>
        </is>
      </c>
      <c r="L930" s="6" t="n">
        <v>30000</v>
      </c>
      <c r="M930" s="6" t="n">
        <v>100</v>
      </c>
      <c r="N930" s="6" t="n">
        <v>1</v>
      </c>
      <c r="O930" s="6" t="n"/>
      <c r="P930" s="6" t="n">
        <v>9153</v>
      </c>
      <c r="Q930" s="6" t="n">
        <v>0.75</v>
      </c>
      <c r="R930">
        <f>M930+IF(N930&gt;1,N(O930)*(N930-1),0)</f>
        <v/>
      </c>
      <c r="S930">
        <f>IFERROR(L930*MAX(N930,1)/R930*IF(ISBLANK(K928),1,K928),0)</f>
        <v/>
      </c>
      <c r="AB930" s="7" t="inlineStr">
        <is>
          <t>^Warhead_Sniper_Light</t>
        </is>
      </c>
    </row>
    <row r="931">
      <c r="B931" s="7" t="inlineStr">
        <is>
          <t xml:space="preserve">  ↳ CryoLightSniper</t>
        </is>
      </c>
      <c r="C931" s="7" t="inlineStr">
        <is>
          <t>Armament@Upgrade</t>
        </is>
      </c>
      <c r="L931" s="6" t="n">
        <v>30000</v>
      </c>
      <c r="M931" s="6" t="n">
        <v>100</v>
      </c>
      <c r="N931" s="6" t="n">
        <v>1</v>
      </c>
      <c r="O931" s="6" t="n"/>
      <c r="P931" s="6" t="n">
        <v>9153</v>
      </c>
      <c r="Q931" s="6" t="n">
        <v>0.75</v>
      </c>
      <c r="R931">
        <f>M931+IF(N931&gt;1,N(O931)*(N931-1),0)</f>
        <v/>
      </c>
      <c r="S931">
        <f>IFERROR(L931*MAX(N931,1)/R931*IF(ISBLANK(K928),1,K928),0)</f>
        <v/>
      </c>
      <c r="AB931" s="7" t="inlineStr">
        <is>
          <t>^Warhead_Sniper_Light</t>
        </is>
      </c>
    </row>
    <row r="932">
      <c r="B932" s="7" t="inlineStr">
        <is>
          <t xml:space="preserve">  ↳ CryoLightSniper</t>
        </is>
      </c>
      <c r="C932" s="7" t="inlineStr">
        <is>
          <t>Armament@UpgradeGARRISONED</t>
        </is>
      </c>
      <c r="L932" s="6" t="n">
        <v>30000</v>
      </c>
      <c r="M932" s="6" t="n">
        <v>100</v>
      </c>
      <c r="N932" s="6" t="n">
        <v>1</v>
      </c>
      <c r="O932" s="6" t="n"/>
      <c r="P932" s="6" t="n">
        <v>9153</v>
      </c>
      <c r="Q932" s="6" t="n">
        <v>0.75</v>
      </c>
      <c r="R932">
        <f>M932+IF(N932&gt;1,N(O932)*(N932-1),0)</f>
        <v/>
      </c>
      <c r="S932">
        <f>IFERROR(L932*MAX(N932,1)/R932*IF(ISBLANK(K928),1,K928),0)</f>
        <v/>
      </c>
      <c r="AB932" s="7" t="inlineStr">
        <is>
          <t>^Warhead_Sniper_Light</t>
        </is>
      </c>
    </row>
    <row r="933">
      <c r="A933" t="inlineStr">
        <is>
          <t>tiberiansun</t>
        </is>
      </c>
      <c r="B933" t="inlineStr">
        <is>
          <t>ts_nod_engineer</t>
        </is>
      </c>
      <c r="C933" t="inlineStr">
        <is>
          <t>Engineer</t>
        </is>
      </c>
      <c r="D933" s="6" t="inlineStr">
        <is>
          <t>SniperInfantry</t>
        </is>
      </c>
      <c r="E933" s="6" t="n">
        <v>10000</v>
      </c>
      <c r="F933" s="6" t="n">
        <v>55</v>
      </c>
      <c r="G933" t="inlineStr">
        <is>
          <t>Flak</t>
        </is>
      </c>
      <c r="H933" s="6" t="n">
        <v>1</v>
      </c>
      <c r="I933" s="6" t="n">
        <v>1</v>
      </c>
      <c r="J933" s="6" t="n">
        <v>1</v>
      </c>
      <c r="K933" s="6" t="n"/>
      <c r="P933">
        <f>MAX(P936)</f>
        <v/>
      </c>
      <c r="S933">
        <f>S936</f>
        <v/>
      </c>
      <c r="T933">
        <f>(E933/100000+F933/100+(P933/1000)*J933/5+S933/200)*200*I933*H933</f>
        <v/>
      </c>
      <c r="U933">
        <f>((E933*F933/25000)+((P933/1000)*J933*S933/2.5))*I933*H933</f>
        <v/>
      </c>
      <c r="V933">
        <f>(E933*F933*(P933/1000)*J933*S933*I933*H933)/12500000</f>
        <v/>
      </c>
      <c r="W933">
        <f>(((E933/5000)+(F933/50)+(S933/0)+((P933/0)*J933))*500/4+(((E933/5000)*(F933/50))+(((P933/0)*J933)*(S933/0)))*500/2+((E933/5000)*(F933/50)*((P933/0)*J933)*(S933/0))*500)*(H933/1.0)/3</f>
        <v/>
      </c>
      <c r="X933" s="6" t="n">
        <v>600</v>
      </c>
      <c r="Y933">
        <f>IFERROR(W933-X933,"")</f>
        <v/>
      </c>
      <c r="Z933">
        <f>IFERROR(ABS(Y933)/MAX(X933,1),"")</f>
        <v/>
      </c>
      <c r="AA933">
        <f>IFERROR(ROUND(((3*X933-(((E933/5000)+(F933/50)+(S933/0))*500/4+((E933/5000)*(F933/50))*500/2)*(H933/1.0))/(500/4+((S933/0))*500/2+((E933/5000)*(F933/50)*(S933/0))*500)*(H933/1.0)*0)/J933,-1),"")</f>
        <v/>
      </c>
    </row>
    <row r="934">
      <c r="B934" s="7" t="inlineStr">
        <is>
          <t xml:space="preserve">  ↳ DefuseKit</t>
        </is>
      </c>
      <c r="C934" s="7" t="inlineStr">
        <is>
          <t>Armament@defuse</t>
        </is>
      </c>
      <c r="L934" s="6" t="n"/>
      <c r="M934" s="6" t="n">
        <v>20</v>
      </c>
      <c r="N934" s="6" t="n">
        <v>1</v>
      </c>
      <c r="O934" s="6" t="n"/>
      <c r="P934" s="6" t="n">
        <v>1536</v>
      </c>
      <c r="Q934" s="6" t="n">
        <v>1</v>
      </c>
      <c r="R934">
        <f>M934+IF(N934&gt;1,N(O934)*(N934-1),0)</f>
        <v/>
      </c>
      <c r="S934">
        <f>IFERROR(L934*MAX(N934,1)/R934*IF(ISBLANK(K933),1,K933),0)</f>
        <v/>
      </c>
      <c r="AB934" s="7" t="inlineStr">
        <is>
          <t>^RemovesIvanBombs, ^RemovesTerrorDrone</t>
        </is>
      </c>
    </row>
    <row r="935">
      <c r="B935" s="7" t="inlineStr">
        <is>
          <t xml:space="preserve">  ↳ LeechDisinfect</t>
        </is>
      </c>
      <c r="C935" s="7" t="inlineStr">
        <is>
          <t>Armament@leechdisinfect</t>
        </is>
      </c>
      <c r="L935" s="6" t="n"/>
      <c r="M935" s="6" t="n">
        <v>100</v>
      </c>
      <c r="N935" s="6" t="n">
        <v>1</v>
      </c>
      <c r="O935" s="6" t="n"/>
      <c r="P935" s="6" t="n">
        <v>1536</v>
      </c>
      <c r="Q935" s="6" t="n">
        <v>1</v>
      </c>
      <c r="R935">
        <f>M935+IF(N935&gt;1,N(O935)*(N935-1),0)</f>
        <v/>
      </c>
      <c r="S935">
        <f>IFERROR(L935*MAX(N935,1)/R935*IF(ISBLANK(K933),1,K933),0)</f>
        <v/>
      </c>
      <c r="AB935" s="7" t="inlineStr"/>
    </row>
    <row r="936">
      <c r="B936" s="7" t="inlineStr">
        <is>
          <t xml:space="preserve">  ↳ TSEngineerPistol</t>
        </is>
      </c>
      <c r="C936" s="7" t="inlineStr">
        <is>
          <t>Armament@PRIMARY</t>
        </is>
      </c>
      <c r="L936" s="6" t="n">
        <v>20000</v>
      </c>
      <c r="M936" s="6" t="n">
        <v>25</v>
      </c>
      <c r="N936" s="6" t="n">
        <v>1</v>
      </c>
      <c r="O936" s="6" t="n"/>
      <c r="P936" s="6" t="n">
        <v>4303</v>
      </c>
      <c r="Q936" s="6" t="n">
        <v>0.75</v>
      </c>
      <c r="R936">
        <f>M936+IF(N936&gt;1,N(O936)*(N936-1),0)</f>
        <v/>
      </c>
      <c r="S936">
        <f>IFERROR(L936*MAX(N936,1)/R936*IF(ISBLANK(K933),1,K933),0)</f>
        <v/>
      </c>
      <c r="AB936" s="7" t="inlineStr">
        <is>
          <t>^Warhead_Sniper_Light</t>
        </is>
      </c>
    </row>
    <row r="937">
      <c r="B937" s="7" t="inlineStr">
        <is>
          <t xml:space="preserve">  ↳ TSEngineerPistol</t>
        </is>
      </c>
      <c r="C937" s="7" t="inlineStr">
        <is>
          <t>Armament@GARRISONED</t>
        </is>
      </c>
      <c r="L937" s="6" t="n">
        <v>20000</v>
      </c>
      <c r="M937" s="6" t="n">
        <v>25</v>
      </c>
      <c r="N937" s="6" t="n">
        <v>1</v>
      </c>
      <c r="O937" s="6" t="n"/>
      <c r="P937" s="6" t="n">
        <v>4303</v>
      </c>
      <c r="Q937" s="6" t="n">
        <v>0.75</v>
      </c>
      <c r="R937">
        <f>M937+IF(N937&gt;1,N(O937)*(N937-1),0)</f>
        <v/>
      </c>
      <c r="S937">
        <f>IFERROR(L937*MAX(N937,1)/R937*IF(ISBLANK(K933),1,K933),0)</f>
        <v/>
      </c>
      <c r="AB937" s="7" t="inlineStr">
        <is>
          <t>^Warhead_Sniper_Light</t>
        </is>
      </c>
    </row>
    <row r="938">
      <c r="A938" t="inlineStr">
        <is>
          <t>tiberiansun</t>
        </is>
      </c>
      <c r="B938" t="inlineStr">
        <is>
          <t>ts_gdi_engineer</t>
        </is>
      </c>
      <c r="C938" t="inlineStr">
        <is>
          <t>Engineer</t>
        </is>
      </c>
      <c r="D938" s="6" t="inlineStr">
        <is>
          <t>SniperInfantry</t>
        </is>
      </c>
      <c r="E938" s="6" t="n">
        <v>10000</v>
      </c>
      <c r="F938" s="6" t="n">
        <v>55</v>
      </c>
      <c r="G938" t="inlineStr">
        <is>
          <t>Flak</t>
        </is>
      </c>
      <c r="H938" s="6" t="n">
        <v>1</v>
      </c>
      <c r="I938" s="6" t="n">
        <v>1</v>
      </c>
      <c r="J938" s="6" t="n">
        <v>1</v>
      </c>
      <c r="K938" s="6" t="n"/>
      <c r="P938">
        <f>MAX(P941)</f>
        <v/>
      </c>
      <c r="S938">
        <f>S941</f>
        <v/>
      </c>
      <c r="T938">
        <f>(E938/100000+F938/100+(P938/1000)*J938/5+S938/200)*200*I938*H938</f>
        <v/>
      </c>
      <c r="U938">
        <f>((E938*F938/25000)+((P938/1000)*J938*S938/2.5))*I938*H938</f>
        <v/>
      </c>
      <c r="V938">
        <f>(E938*F938*(P938/1000)*J938*S938*I938*H938)/12500000</f>
        <v/>
      </c>
      <c r="W938">
        <f>(((E938/5000)+(F938/50)+(S938/0)+((P938/0)*J938))*500/4+(((E938/5000)*(F938/50))+(((P938/0)*J938)*(S938/0)))*500/2+((E938/5000)*(F938/50)*((P938/0)*J938)*(S938/0))*500)*(H938/1.0)/3</f>
        <v/>
      </c>
      <c r="X938" s="6" t="n">
        <v>600</v>
      </c>
      <c r="Y938">
        <f>IFERROR(W938-X938,"")</f>
        <v/>
      </c>
      <c r="Z938">
        <f>IFERROR(ABS(Y938)/MAX(X938,1),"")</f>
        <v/>
      </c>
      <c r="AA938">
        <f>IFERROR(ROUND(((3*X938-(((E938/5000)+(F938/50)+(S938/0))*500/4+((E938/5000)*(F938/50))*500/2)*(H938/1.0))/(500/4+((S938/0))*500/2+((E938/5000)*(F938/50)*(S938/0))*500)*(H938/1.0)*0)/J938,-1),"")</f>
        <v/>
      </c>
    </row>
    <row r="939">
      <c r="B939" s="7" t="inlineStr">
        <is>
          <t xml:space="preserve">  ↳ DefuseKit</t>
        </is>
      </c>
      <c r="C939" s="7" t="inlineStr">
        <is>
          <t>Armament@defuse</t>
        </is>
      </c>
      <c r="L939" s="6" t="n"/>
      <c r="M939" s="6" t="n">
        <v>20</v>
      </c>
      <c r="N939" s="6" t="n">
        <v>1</v>
      </c>
      <c r="O939" s="6" t="n"/>
      <c r="P939" s="6" t="n">
        <v>1536</v>
      </c>
      <c r="Q939" s="6" t="n">
        <v>1</v>
      </c>
      <c r="R939">
        <f>M939+IF(N939&gt;1,N(O939)*(N939-1),0)</f>
        <v/>
      </c>
      <c r="S939">
        <f>IFERROR(L939*MAX(N939,1)/R939*IF(ISBLANK(K938),1,K938),0)</f>
        <v/>
      </c>
      <c r="AB939" s="7" t="inlineStr">
        <is>
          <t>^RemovesIvanBombs, ^RemovesTerrorDrone</t>
        </is>
      </c>
    </row>
    <row r="940">
      <c r="B940" s="7" t="inlineStr">
        <is>
          <t xml:space="preserve">  ↳ LeechDisinfect</t>
        </is>
      </c>
      <c r="C940" s="7" t="inlineStr">
        <is>
          <t>Armament@leechdisinfect</t>
        </is>
      </c>
      <c r="L940" s="6" t="n"/>
      <c r="M940" s="6" t="n">
        <v>100</v>
      </c>
      <c r="N940" s="6" t="n">
        <v>1</v>
      </c>
      <c r="O940" s="6" t="n"/>
      <c r="P940" s="6" t="n">
        <v>1536</v>
      </c>
      <c r="Q940" s="6" t="n">
        <v>1</v>
      </c>
      <c r="R940">
        <f>M940+IF(N940&gt;1,N(O940)*(N940-1),0)</f>
        <v/>
      </c>
      <c r="S940">
        <f>IFERROR(L940*MAX(N940,1)/R940*IF(ISBLANK(K938),1,K938),0)</f>
        <v/>
      </c>
      <c r="AB940" s="7" t="inlineStr"/>
    </row>
    <row r="941">
      <c r="B941" s="7" t="inlineStr">
        <is>
          <t xml:space="preserve">  ↳ TSEngineerPistol</t>
        </is>
      </c>
      <c r="C941" s="7" t="inlineStr">
        <is>
          <t>Armament@PRIMARY</t>
        </is>
      </c>
      <c r="L941" s="6" t="n">
        <v>20000</v>
      </c>
      <c r="M941" s="6" t="n">
        <v>25</v>
      </c>
      <c r="N941" s="6" t="n">
        <v>1</v>
      </c>
      <c r="O941" s="6" t="n"/>
      <c r="P941" s="6" t="n">
        <v>4303</v>
      </c>
      <c r="Q941" s="6" t="n">
        <v>0.75</v>
      </c>
      <c r="R941">
        <f>M941+IF(N941&gt;1,N(O941)*(N941-1),0)</f>
        <v/>
      </c>
      <c r="S941">
        <f>IFERROR(L941*MAX(N941,1)/R941*IF(ISBLANK(K938),1,K938),0)</f>
        <v/>
      </c>
      <c r="AB941" s="7" t="inlineStr">
        <is>
          <t>^Warhead_Sniper_Light</t>
        </is>
      </c>
    </row>
    <row r="942">
      <c r="B942" s="7" t="inlineStr">
        <is>
          <t xml:space="preserve">  ↳ TSEngineerPistol</t>
        </is>
      </c>
      <c r="C942" s="7" t="inlineStr">
        <is>
          <t>Armament@GARRISONED</t>
        </is>
      </c>
      <c r="L942" s="6" t="n">
        <v>20000</v>
      </c>
      <c r="M942" s="6" t="n">
        <v>25</v>
      </c>
      <c r="N942" s="6" t="n">
        <v>1</v>
      </c>
      <c r="O942" s="6" t="n"/>
      <c r="P942" s="6" t="n">
        <v>4303</v>
      </c>
      <c r="Q942" s="6" t="n">
        <v>0.75</v>
      </c>
      <c r="R942">
        <f>M942+IF(N942&gt;1,N(O942)*(N942-1),0)</f>
        <v/>
      </c>
      <c r="S942">
        <f>IFERROR(L942*MAX(N942,1)/R942*IF(ISBLANK(K938),1,K938),0)</f>
        <v/>
      </c>
      <c r="AB942" s="7" t="inlineStr">
        <is>
          <t>^Warhead_Sniper_Light</t>
        </is>
      </c>
    </row>
    <row r="943">
      <c r="A943" t="inlineStr">
        <is>
          <t>tiberiansun</t>
        </is>
      </c>
      <c r="B943" t="inlineStr">
        <is>
          <t>forgotten_engineer</t>
        </is>
      </c>
      <c r="C943" t="inlineStr">
        <is>
          <t>actor_forgotten_engineer.name</t>
        </is>
      </c>
      <c r="D943" s="6" t="inlineStr">
        <is>
          <t>SniperInfantry</t>
        </is>
      </c>
      <c r="E943" s="6" t="n">
        <v>10000</v>
      </c>
      <c r="F943" s="6" t="n">
        <v>55</v>
      </c>
      <c r="G943" t="inlineStr">
        <is>
          <t>Flak</t>
        </is>
      </c>
      <c r="H943" s="6" t="n">
        <v>1</v>
      </c>
      <c r="I943" s="6" t="n">
        <v>1</v>
      </c>
      <c r="J943" s="6" t="n">
        <v>1</v>
      </c>
      <c r="K943" s="6" t="n"/>
      <c r="P943">
        <f>MAX(P946)</f>
        <v/>
      </c>
      <c r="S943">
        <f>S946</f>
        <v/>
      </c>
      <c r="T943">
        <f>(E943/100000+F943/100+(P943/1000)*J943/5+S943/200)*200*I943*H943</f>
        <v/>
      </c>
      <c r="U943">
        <f>((E943*F943/25000)+((P943/1000)*J943*S943/2.5))*I943*H943</f>
        <v/>
      </c>
      <c r="V943">
        <f>(E943*F943*(P943/1000)*J943*S943*I943*H943)/12500000</f>
        <v/>
      </c>
      <c r="W943">
        <f>(((E943/5000)+(F943/50)+(S943/0)+((P943/0)*J943))*500/4+(((E943/5000)*(F943/50))+(((P943/0)*J943)*(S943/0)))*500/2+((E943/5000)*(F943/50)*((P943/0)*J943)*(S943/0))*500)*(H943/1.0)/3</f>
        <v/>
      </c>
      <c r="X943" s="6" t="n">
        <v>600</v>
      </c>
      <c r="Y943">
        <f>IFERROR(W943-X943,"")</f>
        <v/>
      </c>
      <c r="Z943">
        <f>IFERROR(ABS(Y943)/MAX(X943,1),"")</f>
        <v/>
      </c>
      <c r="AA943">
        <f>IFERROR(ROUND(((3*X943-(((E943/5000)+(F943/50)+(S943/0))*500/4+((E943/5000)*(F943/50))*500/2)*(H943/1.0))/(500/4+((S943/0))*500/2+((E943/5000)*(F943/50)*(S943/0))*500)*(H943/1.0)*0)/J943,-1),"")</f>
        <v/>
      </c>
    </row>
    <row r="944">
      <c r="B944" s="7" t="inlineStr">
        <is>
          <t xml:space="preserve">  ↳ DefuseKit</t>
        </is>
      </c>
      <c r="C944" s="7" t="inlineStr">
        <is>
          <t>Armament@defuse</t>
        </is>
      </c>
      <c r="L944" s="6" t="n"/>
      <c r="M944" s="6" t="n">
        <v>20</v>
      </c>
      <c r="N944" s="6" t="n">
        <v>1</v>
      </c>
      <c r="O944" s="6" t="n"/>
      <c r="P944" s="6" t="n">
        <v>1536</v>
      </c>
      <c r="Q944" s="6" t="n">
        <v>1</v>
      </c>
      <c r="R944">
        <f>M944+IF(N944&gt;1,N(O944)*(N944-1),0)</f>
        <v/>
      </c>
      <c r="S944">
        <f>IFERROR(L944*MAX(N944,1)/R944*IF(ISBLANK(K943),1,K943),0)</f>
        <v/>
      </c>
      <c r="AB944" s="7" t="inlineStr">
        <is>
          <t>^RemovesIvanBombs, ^RemovesTerrorDrone</t>
        </is>
      </c>
    </row>
    <row r="945">
      <c r="B945" s="7" t="inlineStr">
        <is>
          <t xml:space="preserve">  ↳ LeechDisinfect</t>
        </is>
      </c>
      <c r="C945" s="7" t="inlineStr">
        <is>
          <t>Armament@leechdisinfect</t>
        </is>
      </c>
      <c r="L945" s="6" t="n"/>
      <c r="M945" s="6" t="n">
        <v>100</v>
      </c>
      <c r="N945" s="6" t="n">
        <v>1</v>
      </c>
      <c r="O945" s="6" t="n"/>
      <c r="P945" s="6" t="n">
        <v>1536</v>
      </c>
      <c r="Q945" s="6" t="n">
        <v>1</v>
      </c>
      <c r="R945">
        <f>M945+IF(N945&gt;1,N(O945)*(N945-1),0)</f>
        <v/>
      </c>
      <c r="S945">
        <f>IFERROR(L945*MAX(N945,1)/R945*IF(ISBLANK(K943),1,K943),0)</f>
        <v/>
      </c>
      <c r="AB945" s="7" t="inlineStr"/>
    </row>
    <row r="946">
      <c r="B946" s="7" t="inlineStr">
        <is>
          <t xml:space="preserve">  ↳ TSEngineerPistol</t>
        </is>
      </c>
      <c r="C946" s="7" t="inlineStr">
        <is>
          <t>Armament@PRIMARY</t>
        </is>
      </c>
      <c r="L946" s="6" t="n">
        <v>20000</v>
      </c>
      <c r="M946" s="6" t="n">
        <v>25</v>
      </c>
      <c r="N946" s="6" t="n">
        <v>1</v>
      </c>
      <c r="O946" s="6" t="n"/>
      <c r="P946" s="6" t="n">
        <v>4303</v>
      </c>
      <c r="Q946" s="6" t="n">
        <v>0.75</v>
      </c>
      <c r="R946">
        <f>M946+IF(N946&gt;1,N(O946)*(N946-1),0)</f>
        <v/>
      </c>
      <c r="S946">
        <f>IFERROR(L946*MAX(N946,1)/R946*IF(ISBLANK(K943),1,K943),0)</f>
        <v/>
      </c>
      <c r="AB946" s="7" t="inlineStr">
        <is>
          <t>^Warhead_Sniper_Light</t>
        </is>
      </c>
    </row>
    <row r="947">
      <c r="B947" s="7" t="inlineStr">
        <is>
          <t xml:space="preserve">  ↳ TSEngineerPistol</t>
        </is>
      </c>
      <c r="C947" s="7" t="inlineStr">
        <is>
          <t>Armament@GARRISONED</t>
        </is>
      </c>
      <c r="L947" s="6" t="n">
        <v>20000</v>
      </c>
      <c r="M947" s="6" t="n">
        <v>25</v>
      </c>
      <c r="N947" s="6" t="n">
        <v>1</v>
      </c>
      <c r="O947" s="6" t="n"/>
      <c r="P947" s="6" t="n">
        <v>4303</v>
      </c>
      <c r="Q947" s="6" t="n">
        <v>0.75</v>
      </c>
      <c r="R947">
        <f>M947+IF(N947&gt;1,N(O947)*(N947-1),0)</f>
        <v/>
      </c>
      <c r="S947">
        <f>IFERROR(L947*MAX(N947,1)/R947*IF(ISBLANK(K943),1,K943),0)</f>
        <v/>
      </c>
      <c r="AB947" s="7" t="inlineStr">
        <is>
          <t>^Warhead_Sniper_Light</t>
        </is>
      </c>
    </row>
    <row r="948">
      <c r="A948" t="inlineStr">
        <is>
          <t>tiberiansun</t>
        </is>
      </c>
      <c r="B948" t="inlineStr">
        <is>
          <t>forgotten_mutantsniper</t>
        </is>
      </c>
      <c r="C948" t="inlineStr">
        <is>
          <t>actor_forgotten_mutantsniper.name</t>
        </is>
      </c>
      <c r="D948" s="6" t="inlineStr">
        <is>
          <t>SniperInfantry</t>
        </is>
      </c>
      <c r="E948" s="6" t="n">
        <v>10000</v>
      </c>
      <c r="F948" s="6" t="n">
        <v>70</v>
      </c>
      <c r="G948" t="inlineStr">
        <is>
          <t>Flak</t>
        </is>
      </c>
      <c r="H948" s="6" t="n">
        <v>1</v>
      </c>
      <c r="I948" s="6" t="n">
        <v>1</v>
      </c>
      <c r="J948" s="6" t="n">
        <v>1</v>
      </c>
      <c r="K948" s="6" t="n"/>
      <c r="P948">
        <f>MAX(P949)</f>
        <v/>
      </c>
      <c r="S948">
        <f>S949</f>
        <v/>
      </c>
      <c r="T948">
        <f>(E948/100000+F948/100+(P948/1000)*J948/5+S948/200)*200*I948*H948</f>
        <v/>
      </c>
      <c r="U948">
        <f>((E948*F948/25000)+((P948/1000)*J948*S948/2.5))*I948*H948</f>
        <v/>
      </c>
      <c r="V948">
        <f>(E948*F948*(P948/1000)*J948*S948*I948*H948)/12500000</f>
        <v/>
      </c>
      <c r="W948">
        <f>(T948+U948+V948)/3</f>
        <v/>
      </c>
      <c r="X948" s="6" t="n">
        <v>650</v>
      </c>
      <c r="Y948">
        <f>IFERROR(W948-X948,"")</f>
        <v/>
      </c>
      <c r="Z948">
        <f>IFERROR(ABS(Y948)/MAX(X948,1),"")</f>
        <v/>
      </c>
      <c r="AA948">
        <f>IFERROR((X948-(((E948/100000+F948/100+S948/200)*200*I948*H948)+((E948*F948/25000)*I948*H948))/3)/(((J948/5)*200*I948*H948)+((J948*S948/2.5)*I948*H948)+((E948*F948*J948*S948*I948*H948)/12500000))/3*1000,"")</f>
        <v/>
      </c>
    </row>
    <row r="949">
      <c r="B949" s="7" t="inlineStr">
        <is>
          <t xml:space="preserve">  ↳ TSSniper</t>
        </is>
      </c>
      <c r="C949" s="7" t="inlineStr">
        <is>
          <t>Armament@PRIMARY</t>
        </is>
      </c>
      <c r="L949" s="6" t="n">
        <v>10000</v>
      </c>
      <c r="M949" s="6" t="n">
        <v>25</v>
      </c>
      <c r="N949" s="6" t="n">
        <v>1</v>
      </c>
      <c r="O949" s="6" t="n"/>
      <c r="P949" s="6" t="n">
        <v>9557</v>
      </c>
      <c r="Q949" s="6" t="n">
        <v>0.75</v>
      </c>
      <c r="R949">
        <f>M949+IF(N949&gt;1,N(O949)*(N949-1),0)</f>
        <v/>
      </c>
      <c r="S949">
        <f>IFERROR(L949*MAX(N949,1)/R949*IF(ISBLANK(K948),1,K948),0)</f>
        <v/>
      </c>
      <c r="AB949" s="7" t="inlineStr">
        <is>
          <t>^Warhead_Sniper_Light</t>
        </is>
      </c>
    </row>
    <row r="950">
      <c r="B950" s="7" t="inlineStr">
        <is>
          <t xml:space="preserve">  ↳ TSSniper</t>
        </is>
      </c>
      <c r="C950" s="7" t="inlineStr">
        <is>
          <t>Armament@GARRISONED</t>
        </is>
      </c>
      <c r="L950" s="6" t="n">
        <v>10000</v>
      </c>
      <c r="M950" s="6" t="n">
        <v>25</v>
      </c>
      <c r="N950" s="6" t="n">
        <v>1</v>
      </c>
      <c r="O950" s="6" t="n"/>
      <c r="P950" s="6" t="n">
        <v>9557</v>
      </c>
      <c r="Q950" s="6" t="n">
        <v>0.75</v>
      </c>
      <c r="R950">
        <f>M950+IF(N950&gt;1,N(O950)*(N950-1),0)</f>
        <v/>
      </c>
      <c r="S950">
        <f>IFERROR(L950*MAX(N950,1)/R950*IF(ISBLANK(K948),1,K948),0)</f>
        <v/>
      </c>
      <c r="AB950" s="7" t="inlineStr">
        <is>
          <t>^Warhead_Sniper_Light</t>
        </is>
      </c>
    </row>
    <row r="951">
      <c r="A951" t="inlineStr">
        <is>
          <t>tiberiansun</t>
        </is>
      </c>
      <c r="B951" t="inlineStr">
        <is>
          <t>forgotten_mutantsniper_r4</t>
        </is>
      </c>
      <c r="C951" t="inlineStr">
        <is>
          <t>actor_forgotten_mutantsniper.name</t>
        </is>
      </c>
      <c r="D951" s="6" t="inlineStr">
        <is>
          <t>SniperInfantry</t>
        </is>
      </c>
      <c r="E951" s="6" t="n">
        <v>10000</v>
      </c>
      <c r="F951" s="6" t="n">
        <v>70</v>
      </c>
      <c r="G951" t="inlineStr">
        <is>
          <t>Flak</t>
        </is>
      </c>
      <c r="H951" s="6" t="n">
        <v>1</v>
      </c>
      <c r="I951" s="6" t="n">
        <v>1</v>
      </c>
      <c r="J951" s="6" t="n">
        <v>1</v>
      </c>
      <c r="K951" s="6" t="n"/>
      <c r="P951">
        <f>MAX(P952)</f>
        <v/>
      </c>
      <c r="S951">
        <f>S952</f>
        <v/>
      </c>
      <c r="T951">
        <f>(E951/100000+F951/100+(P951/1000)*J951/5+S951/200)*200*I951*H951</f>
        <v/>
      </c>
      <c r="U951">
        <f>((E951*F951/25000)+((P951/1000)*J951*S951/2.5))*I951*H951</f>
        <v/>
      </c>
      <c r="V951">
        <f>(E951*F951*(P951/1000)*J951*S951*I951*H951)/12500000</f>
        <v/>
      </c>
      <c r="W951">
        <f>(T951+U951+V951)/3</f>
        <v/>
      </c>
      <c r="X951" s="6" t="n">
        <v>650</v>
      </c>
      <c r="Y951">
        <f>IFERROR(W951-X951,"")</f>
        <v/>
      </c>
      <c r="Z951">
        <f>IFERROR(ABS(Y951)/MAX(X951,1),"")</f>
        <v/>
      </c>
      <c r="AA951">
        <f>IFERROR((X951-(((E951/100000+F951/100+S951/200)*200*I951*H951)+((E951*F951/25000)*I951*H951))/3)/(((J951/5)*200*I951*H951)+((J951*S951/2.5)*I951*H951)+((E951*F951*J951*S951*I951*H951)/12500000))/3*1000,"")</f>
        <v/>
      </c>
    </row>
    <row r="952">
      <c r="B952" s="7" t="inlineStr">
        <is>
          <t xml:space="preserve">  ↳ TSSniper</t>
        </is>
      </c>
      <c r="C952" s="7" t="inlineStr">
        <is>
          <t>Armament@PRIMARY</t>
        </is>
      </c>
      <c r="L952" s="6" t="n">
        <v>10000</v>
      </c>
      <c r="M952" s="6" t="n">
        <v>25</v>
      </c>
      <c r="N952" s="6" t="n">
        <v>1</v>
      </c>
      <c r="O952" s="6" t="n"/>
      <c r="P952" s="6" t="n">
        <v>9557</v>
      </c>
      <c r="Q952" s="6" t="n">
        <v>0.75</v>
      </c>
      <c r="R952">
        <f>M952+IF(N952&gt;1,N(O952)*(N952-1),0)</f>
        <v/>
      </c>
      <c r="S952">
        <f>IFERROR(L952*MAX(N952,1)/R952*IF(ISBLANK(K951),1,K951),0)</f>
        <v/>
      </c>
      <c r="AB952" s="7" t="inlineStr">
        <is>
          <t>^Warhead_Sniper_Light</t>
        </is>
      </c>
    </row>
    <row r="953">
      <c r="B953" s="7" t="inlineStr">
        <is>
          <t xml:space="preserve">  ↳ TSSniper</t>
        </is>
      </c>
      <c r="C953" s="7" t="inlineStr">
        <is>
          <t>Armament@GARRISONED</t>
        </is>
      </c>
      <c r="L953" s="6" t="n">
        <v>10000</v>
      </c>
      <c r="M953" s="6" t="n">
        <v>25</v>
      </c>
      <c r="N953" s="6" t="n">
        <v>1</v>
      </c>
      <c r="O953" s="6" t="n"/>
      <c r="P953" s="6" t="n">
        <v>9557</v>
      </c>
      <c r="Q953" s="6" t="n">
        <v>0.75</v>
      </c>
      <c r="R953">
        <f>M953+IF(N953&gt;1,N(O953)*(N953-1),0)</f>
        <v/>
      </c>
      <c r="S953">
        <f>IFERROR(L953*MAX(N953,1)/R953*IF(ISBLANK(K951),1,K951),0)</f>
        <v/>
      </c>
      <c r="AB953" s="7" t="inlineStr">
        <is>
          <t>^Warhead_Sniper_Light</t>
        </is>
      </c>
    </row>
    <row r="954">
      <c r="A954" t="inlineStr">
        <is>
          <t>tiberiansun</t>
        </is>
      </c>
      <c r="B954" t="inlineStr">
        <is>
          <t>forgotten_mutantsniper_sp</t>
        </is>
      </c>
      <c r="C954" t="inlineStr">
        <is>
          <t>actor_forgotten_mutantsniper.name</t>
        </is>
      </c>
      <c r="D954" s="6" t="inlineStr">
        <is>
          <t>SniperInfantry</t>
        </is>
      </c>
      <c r="E954" s="6" t="n">
        <v>10000</v>
      </c>
      <c r="F954" s="6" t="n">
        <v>70</v>
      </c>
      <c r="G954" t="inlineStr">
        <is>
          <t>Flak</t>
        </is>
      </c>
      <c r="H954" s="6" t="n">
        <v>1</v>
      </c>
      <c r="I954" s="6" t="n">
        <v>1</v>
      </c>
      <c r="J954" s="6" t="n">
        <v>1</v>
      </c>
      <c r="K954" s="6" t="n"/>
      <c r="P954">
        <f>MAX(P955)</f>
        <v/>
      </c>
      <c r="S954">
        <f>S955</f>
        <v/>
      </c>
      <c r="T954">
        <f>(E954/100000+F954/100+(P954/1000)*J954/5+S954/200)*200*I954*H954</f>
        <v/>
      </c>
      <c r="U954">
        <f>((E954*F954/25000)+((P954/1000)*J954*S954/2.5))*I954*H954</f>
        <v/>
      </c>
      <c r="V954">
        <f>(E954*F954*(P954/1000)*J954*S954*I954*H954)/12500000</f>
        <v/>
      </c>
      <c r="W954">
        <f>(T954+U954+V954)/3</f>
        <v/>
      </c>
      <c r="X954" s="6" t="n">
        <v>650</v>
      </c>
      <c r="Y954">
        <f>IFERROR(W954-X954,"")</f>
        <v/>
      </c>
      <c r="Z954">
        <f>IFERROR(ABS(Y954)/MAX(X954,1),"")</f>
        <v/>
      </c>
      <c r="AA954">
        <f>IFERROR((X954-(((E954/100000+F954/100+S954/200)*200*I954*H954)+((E954*F954/25000)*I954*H954))/3)/(((J954/5)*200*I954*H954)+((J954*S954/2.5)*I954*H954)+((E954*F954*J954*S954*I954*H954)/12500000))/3*1000,"")</f>
        <v/>
      </c>
    </row>
    <row r="955">
      <c r="B955" s="7" t="inlineStr">
        <is>
          <t xml:space="preserve">  ↳ TSSniper</t>
        </is>
      </c>
      <c r="C955" s="7" t="inlineStr">
        <is>
          <t>Armament@PRIMARY</t>
        </is>
      </c>
      <c r="L955" s="6" t="n">
        <v>10000</v>
      </c>
      <c r="M955" s="6" t="n">
        <v>25</v>
      </c>
      <c r="N955" s="6" t="n">
        <v>1</v>
      </c>
      <c r="O955" s="6" t="n"/>
      <c r="P955" s="6" t="n">
        <v>9557</v>
      </c>
      <c r="Q955" s="6" t="n">
        <v>0.75</v>
      </c>
      <c r="R955">
        <f>M955+IF(N955&gt;1,N(O955)*(N955-1),0)</f>
        <v/>
      </c>
      <c r="S955">
        <f>IFERROR(L955*MAX(N955,1)/R955*IF(ISBLANK(K954),1,K954),0)</f>
        <v/>
      </c>
      <c r="AB955" s="7" t="inlineStr">
        <is>
          <t>^Warhead_Sniper_Light</t>
        </is>
      </c>
    </row>
    <row r="956">
      <c r="B956" s="7" t="inlineStr">
        <is>
          <t xml:space="preserve">  ↳ TSSniper</t>
        </is>
      </c>
      <c r="C956" s="7" t="inlineStr">
        <is>
          <t>Armament@GARRISONED</t>
        </is>
      </c>
      <c r="L956" s="6" t="n">
        <v>10000</v>
      </c>
      <c r="M956" s="6" t="n">
        <v>25</v>
      </c>
      <c r="N956" s="6" t="n">
        <v>1</v>
      </c>
      <c r="O956" s="6" t="n"/>
      <c r="P956" s="6" t="n">
        <v>9557</v>
      </c>
      <c r="Q956" s="6" t="n">
        <v>0.75</v>
      </c>
      <c r="R956">
        <f>M956+IF(N956&gt;1,N(O956)*(N956-1),0)</f>
        <v/>
      </c>
      <c r="S956">
        <f>IFERROR(L956*MAX(N956,1)/R956*IF(ISBLANK(K954),1,K954),0)</f>
        <v/>
      </c>
      <c r="AB956" s="7" t="inlineStr">
        <is>
          <t>^Warhead_Sniper_Light</t>
        </is>
      </c>
    </row>
    <row r="957">
      <c r="A957" t="inlineStr">
        <is>
          <t>redalert2</t>
        </is>
      </c>
      <c r="B957" t="inlineStr">
        <is>
          <t>ra2_allies_sniper</t>
        </is>
      </c>
      <c r="C957" t="inlineStr">
        <is>
          <t>Sniper</t>
        </is>
      </c>
      <c r="D957" s="6" t="inlineStr">
        <is>
          <t>SniperInfantry</t>
        </is>
      </c>
      <c r="E957" s="6" t="n">
        <v>22000</v>
      </c>
      <c r="F957" s="6" t="n">
        <v>56</v>
      </c>
      <c r="G957" t="inlineStr">
        <is>
          <t>Flak</t>
        </is>
      </c>
      <c r="H957" s="6" t="n">
        <v>0.5305</v>
      </c>
      <c r="I957" s="6" t="n">
        <v>1</v>
      </c>
      <c r="J957" s="6" t="n">
        <v>1</v>
      </c>
      <c r="K957" s="6" t="n"/>
      <c r="P957">
        <f>MAX(P958,P959)</f>
        <v/>
      </c>
      <c r="S957">
        <f>S958+S959</f>
        <v/>
      </c>
      <c r="T957">
        <f>(E957/100000+F957/100+(P957/1000)*J957/5+S957/200)*200*I957*H957</f>
        <v/>
      </c>
      <c r="U957">
        <f>((E957*F957/25000)+((P957/1000)*J957*S957/2.5))*I957*H957</f>
        <v/>
      </c>
      <c r="V957">
        <f>(E957*F957*(P957/1000)*J957*S957*I957*H957)/12500000</f>
        <v/>
      </c>
      <c r="W957">
        <f>(T957+U957+V957)/3</f>
        <v/>
      </c>
      <c r="X957" s="6" t="n">
        <v>800</v>
      </c>
      <c r="Y957">
        <f>IFERROR(W957-X957,"")</f>
        <v/>
      </c>
      <c r="Z957">
        <f>IFERROR(ABS(Y957)/MAX(X957,1),"")</f>
        <v/>
      </c>
      <c r="AA957">
        <f>IFERROR((X957-(((E957/100000+F957/100+S957/200)*200*I957*H957)+((E957*F957/25000)*I957*H957))/3)/(((J957/5)*200*I957*H957)+((J957*S957/2.5)*I957*H957)+((E957*F957*J957*S957*I957*H957)/12500000))/3*1000,"")</f>
        <v/>
      </c>
    </row>
    <row r="958">
      <c r="B958" s="7" t="inlineStr">
        <is>
          <t xml:space="preserve">  ↳ RA2AWP</t>
        </is>
      </c>
      <c r="C958" s="7" t="inlineStr">
        <is>
          <t>Armament@PRIMARY</t>
        </is>
      </c>
      <c r="L958" s="6" t="n">
        <v>44000</v>
      </c>
      <c r="M958" s="6" t="n">
        <v>54</v>
      </c>
      <c r="N958" s="6" t="n">
        <v>1</v>
      </c>
      <c r="O958" s="6" t="n"/>
      <c r="P958" s="6" t="n">
        <v>10000</v>
      </c>
      <c r="Q958" s="6" t="n">
        <v>0.75</v>
      </c>
      <c r="R958">
        <f>M958+IF(N958&gt;1,N(O958)*(N958-1),0)</f>
        <v/>
      </c>
      <c r="S958">
        <f>IFERROR(L958*MAX(N958,1)/R958*IF(ISBLANK(K957),1,K957),0)</f>
        <v/>
      </c>
      <c r="AB958" s="7" t="inlineStr">
        <is>
          <t>^Warhead_Sniper_Light</t>
        </is>
      </c>
    </row>
    <row r="959">
      <c r="B959" s="7" t="inlineStr">
        <is>
          <t xml:space="preserve">  ↳ RA2AWP_elite</t>
        </is>
      </c>
      <c r="C959" s="7" t="inlineStr">
        <is>
          <t>Armament@ELITE</t>
        </is>
      </c>
      <c r="L959" s="6" t="n">
        <v>88000</v>
      </c>
      <c r="M959" s="6" t="n">
        <v>54</v>
      </c>
      <c r="N959" s="6" t="n">
        <v>1</v>
      </c>
      <c r="O959" s="6" t="n"/>
      <c r="P959" s="6" t="n">
        <v>12345</v>
      </c>
      <c r="Q959" s="6" t="n">
        <v>0.75</v>
      </c>
      <c r="R959">
        <f>M959+IF(N959&gt;1,N(O959)*(N959-1),0)</f>
        <v/>
      </c>
      <c r="S959">
        <f>IFERROR(L959*MAX(N959,1)/R959*IF(ISBLANK(K957),1,K957),0)</f>
        <v/>
      </c>
      <c r="AB959" s="7" t="inlineStr">
        <is>
          <t>^Warhead_Sniper_Light</t>
        </is>
      </c>
    </row>
    <row r="960">
      <c r="B960" s="7" t="inlineStr">
        <is>
          <t xml:space="preserve">  ↳ RA2AWP</t>
        </is>
      </c>
      <c r="C960" s="7" t="inlineStr">
        <is>
          <t>Armament@GARRISONED</t>
        </is>
      </c>
      <c r="L960" s="6" t="n">
        <v>44000</v>
      </c>
      <c r="M960" s="6" t="n">
        <v>54</v>
      </c>
      <c r="N960" s="6" t="n">
        <v>1</v>
      </c>
      <c r="O960" s="6" t="n"/>
      <c r="P960" s="6" t="n">
        <v>10000</v>
      </c>
      <c r="Q960" s="6" t="n">
        <v>0.75</v>
      </c>
      <c r="R960">
        <f>M960+IF(N960&gt;1,N(O960)*(N960-1),0)</f>
        <v/>
      </c>
      <c r="S960">
        <f>IFERROR(L960*MAX(N960,1)/R960*IF(ISBLANK(K957),1,K957),0)</f>
        <v/>
      </c>
      <c r="AB960" s="7" t="inlineStr">
        <is>
          <t>^Warhead_Sniper_Light</t>
        </is>
      </c>
    </row>
    <row r="961">
      <c r="B961" s="7" t="inlineStr">
        <is>
          <t xml:space="preserve">  ↳ RA2AWP_elite</t>
        </is>
      </c>
      <c r="C961" s="7" t="inlineStr">
        <is>
          <t>Armament@GARRISONEDELITE</t>
        </is>
      </c>
      <c r="L961" s="6" t="n">
        <v>88000</v>
      </c>
      <c r="M961" s="6" t="n">
        <v>54</v>
      </c>
      <c r="N961" s="6" t="n">
        <v>1</v>
      </c>
      <c r="O961" s="6" t="n"/>
      <c r="P961" s="6" t="n">
        <v>12345</v>
      </c>
      <c r="Q961" s="6" t="n">
        <v>0.75</v>
      </c>
      <c r="R961">
        <f>M961+IF(N961&gt;1,N(O961)*(N961-1),0)</f>
        <v/>
      </c>
      <c r="S961">
        <f>IFERROR(L961*MAX(N961,1)/R961*IF(ISBLANK(K957),1,K957),0)</f>
        <v/>
      </c>
      <c r="AB961" s="7" t="inlineStr">
        <is>
          <t>^Warhead_Sniper_Light</t>
        </is>
      </c>
    </row>
    <row r="962">
      <c r="A962" t="inlineStr">
        <is>
          <t>redalert2</t>
        </is>
      </c>
      <c r="B962" t="inlineStr">
        <is>
          <t>yuri_virus</t>
        </is>
      </c>
      <c r="C962" t="inlineStr">
        <is>
          <t>Virus</t>
        </is>
      </c>
      <c r="D962" s="6" t="inlineStr">
        <is>
          <t>SniperInfantry</t>
        </is>
      </c>
      <c r="E962" s="6" t="n">
        <v>12000</v>
      </c>
      <c r="F962" s="6" t="n">
        <v>52</v>
      </c>
      <c r="G962" t="inlineStr">
        <is>
          <t>Flak</t>
        </is>
      </c>
      <c r="H962" s="6" t="n">
        <v>1</v>
      </c>
      <c r="I962" s="6" t="n">
        <v>0.75</v>
      </c>
      <c r="J962" s="6" t="n">
        <v>1.25</v>
      </c>
      <c r="K962" s="6" t="n"/>
      <c r="P962">
        <f>MAX(P963,P964,P965,P966)</f>
        <v/>
      </c>
      <c r="S962">
        <f>S963+S964+S965+S966</f>
        <v/>
      </c>
      <c r="T962">
        <f>(E962/100000+F962/100+(P962/1000)*J962/5+S962/200)*200*I962*H962</f>
        <v/>
      </c>
      <c r="U962">
        <f>((E962*F962/25000)+((P962/1000)*J962*S962/2.5))*I962*H962</f>
        <v/>
      </c>
      <c r="V962">
        <f>(E962*F962*(P962/1000)*J962*S962*I962*H962)/12500000</f>
        <v/>
      </c>
      <c r="W962">
        <f>(((E962/25000)+(F962/80)+(S962/400)+((P962/8000)*J962))*700/4+(((E962/25000)*(F962/80))+(((P962/8000)*J962)*(S962/400)))*700/2+((E962/25000)*(F962/80)*((P962/8000)*J962)*(S962/400))*700)*(H962/0.7674)/3</f>
        <v/>
      </c>
      <c r="X962" s="6" t="n">
        <v>700</v>
      </c>
      <c r="Y962">
        <f>IFERROR(W962-X962,"")</f>
        <v/>
      </c>
      <c r="Z962">
        <f>IFERROR(ABS(Y962)/MAX(X962,1),"")</f>
        <v/>
      </c>
      <c r="AA962">
        <f>IFERROR(ROUND(((3*X962-(((E962/25000)+(F962/80)+(S962/400))*700/4+((E962/25000)*(F962/80))*700/2)*(H962/0.7674))/(700/4+((S962/400))*700/2+((E962/25000)*(F962/80)*(S962/400))*700)*(H962/0.7674)*8000)/J962,-1),"")</f>
        <v/>
      </c>
    </row>
    <row r="963">
      <c r="B963" s="7" t="inlineStr">
        <is>
          <t xml:space="preserve">  ↳ RA2Virusgun</t>
        </is>
      </c>
      <c r="C963" s="7" t="inlineStr">
        <is>
          <t>Armament@PRIMARY</t>
        </is>
      </c>
      <c r="L963" s="6" t="n">
        <v>24000</v>
      </c>
      <c r="M963" s="6" t="n">
        <v>74</v>
      </c>
      <c r="N963" s="6" t="n">
        <v>1</v>
      </c>
      <c r="O963" s="6" t="n"/>
      <c r="P963" s="6" t="n">
        <v>9999</v>
      </c>
      <c r="Q963" s="6" t="n">
        <v>1</v>
      </c>
      <c r="R963">
        <f>M963+IF(N963&gt;1,N(O963)*(N963-1),0)</f>
        <v/>
      </c>
      <c r="S963">
        <f>IFERROR(L963*MAX(N963,1)/R963*IF(ISBLANK(K962),1,K962),0)</f>
        <v/>
      </c>
      <c r="AB963" s="7" t="inlineStr">
        <is>
          <t>^HeavyChemicalWeapon, ^SniperWeapon</t>
        </is>
      </c>
    </row>
    <row r="964">
      <c r="B964" s="7" t="inlineStr">
        <is>
          <t xml:space="preserve">  ↳ RA2Virusgun2</t>
        </is>
      </c>
      <c r="C964" s="7" t="inlineStr">
        <is>
          <t>Armament@PRIMARY2</t>
        </is>
      </c>
      <c r="L964" s="6" t="n">
        <v>36000</v>
      </c>
      <c r="M964" s="6" t="n">
        <v>74</v>
      </c>
      <c r="N964" s="6" t="n">
        <v>1</v>
      </c>
      <c r="O964" s="6" t="n"/>
      <c r="P964" s="6" t="n">
        <v>9999</v>
      </c>
      <c r="Q964" s="6" t="n">
        <v>1</v>
      </c>
      <c r="R964">
        <f>M964+IF(N964&gt;1,N(O964)*(N964-1),0)</f>
        <v/>
      </c>
      <c r="S964">
        <f>IFERROR(L964*MAX(N964,1)/R964*IF(ISBLANK(K962),1,K962),0)</f>
        <v/>
      </c>
      <c r="AB964" s="7" t="inlineStr">
        <is>
          <t>^Warhead_Flak_Medium</t>
        </is>
      </c>
    </row>
    <row r="965">
      <c r="B965" s="7" t="inlineStr">
        <is>
          <t xml:space="preserve">  ↳ RA2Virusgun3</t>
        </is>
      </c>
      <c r="C965" s="7" t="inlineStr">
        <is>
          <t>Armament@PRIMARY3</t>
        </is>
      </c>
      <c r="L965" s="6" t="n">
        <v>48000</v>
      </c>
      <c r="M965" s="6" t="n">
        <v>74</v>
      </c>
      <c r="N965" s="6" t="n">
        <v>1</v>
      </c>
      <c r="O965" s="6" t="n"/>
      <c r="P965" s="6" t="n">
        <v>9999</v>
      </c>
      <c r="Q965" s="6" t="n">
        <v>1</v>
      </c>
      <c r="R965">
        <f>M965+IF(N965&gt;1,N(O965)*(N965-1),0)</f>
        <v/>
      </c>
      <c r="S965">
        <f>IFERROR(L965*MAX(N965,1)/R965*IF(ISBLANK(K962),1,K962),0)</f>
        <v/>
      </c>
      <c r="AB965" s="7" t="inlineStr">
        <is>
          <t>^Warhead_MissileAP_Medium, ^Warhead_Flak_Medium</t>
        </is>
      </c>
    </row>
    <row r="966">
      <c r="B966" s="7" t="inlineStr">
        <is>
          <t xml:space="preserve">  ↳ RA2Virusgun_elite</t>
        </is>
      </c>
      <c r="C966" s="7" t="inlineStr">
        <is>
          <t>Armament@ELITE</t>
        </is>
      </c>
      <c r="L966" s="6" t="n">
        <v>48000</v>
      </c>
      <c r="M966" s="6" t="n">
        <v>74</v>
      </c>
      <c r="N966" s="6" t="n">
        <v>1</v>
      </c>
      <c r="O966" s="6" t="n"/>
      <c r="P966" s="6" t="n">
        <v>11111</v>
      </c>
      <c r="Q966" s="6" t="n">
        <v>1</v>
      </c>
      <c r="R966">
        <f>M966+IF(N966&gt;1,N(O966)*(N966-1),0)</f>
        <v/>
      </c>
      <c r="S966">
        <f>IFERROR(L966*MAX(N966,1)/R966*IF(ISBLANK(K962),1,K962),0)</f>
        <v/>
      </c>
      <c r="AB966" s="7" t="inlineStr">
        <is>
          <t>^Warhead_MissileAP_Medium, ^Warhead_Flak_Medium</t>
        </is>
      </c>
    </row>
    <row r="967">
      <c r="B967" s="7" t="inlineStr">
        <is>
          <t xml:space="preserve">  ↳ RA2Virusgun</t>
        </is>
      </c>
      <c r="C967" s="7" t="inlineStr">
        <is>
          <t>Armament@GARRISONED</t>
        </is>
      </c>
      <c r="L967" s="6" t="n">
        <v>24000</v>
      </c>
      <c r="M967" s="6" t="n">
        <v>74</v>
      </c>
      <c r="N967" s="6" t="n">
        <v>1</v>
      </c>
      <c r="O967" s="6" t="n"/>
      <c r="P967" s="6" t="n">
        <v>9999</v>
      </c>
      <c r="Q967" s="6" t="n">
        <v>1</v>
      </c>
      <c r="R967">
        <f>M967+IF(N967&gt;1,N(O967)*(N967-1),0)</f>
        <v/>
      </c>
      <c r="S967">
        <f>IFERROR(L967*MAX(N967,1)/R967*IF(ISBLANK(K962),1,K962),0)</f>
        <v/>
      </c>
      <c r="AB967" s="7" t="inlineStr">
        <is>
          <t>^HeavyChemicalWeapon, ^SniperWeapon</t>
        </is>
      </c>
    </row>
    <row r="968">
      <c r="B968" s="7" t="inlineStr">
        <is>
          <t xml:space="preserve">  ↳ RA2Virusgun2</t>
        </is>
      </c>
      <c r="C968" s="7" t="inlineStr">
        <is>
          <t>Armament@GARRISONED2</t>
        </is>
      </c>
      <c r="L968" s="6" t="n">
        <v>36000</v>
      </c>
      <c r="M968" s="6" t="n">
        <v>74</v>
      </c>
      <c r="N968" s="6" t="n">
        <v>1</v>
      </c>
      <c r="O968" s="6" t="n"/>
      <c r="P968" s="6" t="n">
        <v>9999</v>
      </c>
      <c r="Q968" s="6" t="n">
        <v>1</v>
      </c>
      <c r="R968">
        <f>M968+IF(N968&gt;1,N(O968)*(N968-1),0)</f>
        <v/>
      </c>
      <c r="S968">
        <f>IFERROR(L968*MAX(N968,1)/R968*IF(ISBLANK(K962),1,K962),0)</f>
        <v/>
      </c>
      <c r="AB968" s="7" t="inlineStr">
        <is>
          <t>^Warhead_Flak_Medium</t>
        </is>
      </c>
    </row>
    <row r="969">
      <c r="B969" s="7" t="inlineStr">
        <is>
          <t xml:space="preserve">  ↳ RA2Virusgun3</t>
        </is>
      </c>
      <c r="C969" s="7" t="inlineStr">
        <is>
          <t>Armament@GARRISONED3</t>
        </is>
      </c>
      <c r="L969" s="6" t="n">
        <v>48000</v>
      </c>
      <c r="M969" s="6" t="n">
        <v>74</v>
      </c>
      <c r="N969" s="6" t="n">
        <v>1</v>
      </c>
      <c r="O969" s="6" t="n"/>
      <c r="P969" s="6" t="n">
        <v>9999</v>
      </c>
      <c r="Q969" s="6" t="n">
        <v>1</v>
      </c>
      <c r="R969">
        <f>M969+IF(N969&gt;1,N(O969)*(N969-1),0)</f>
        <v/>
      </c>
      <c r="S969">
        <f>IFERROR(L969*MAX(N969,1)/R969*IF(ISBLANK(K962),1,K962),0)</f>
        <v/>
      </c>
      <c r="AB969" s="7" t="inlineStr">
        <is>
          <t>^Warhead_MissileAP_Medium, ^Warhead_Flak_Medium</t>
        </is>
      </c>
    </row>
    <row r="970">
      <c r="B970" s="7" t="inlineStr">
        <is>
          <t xml:space="preserve">  ↳ RA2Virusgun_elite</t>
        </is>
      </c>
      <c r="C970" s="7" t="inlineStr">
        <is>
          <t>Armament@GARRISONEDELITE</t>
        </is>
      </c>
      <c r="L970" s="6" t="n">
        <v>48000</v>
      </c>
      <c r="M970" s="6" t="n">
        <v>74</v>
      </c>
      <c r="N970" s="6" t="n">
        <v>1</v>
      </c>
      <c r="O970" s="6" t="n"/>
      <c r="P970" s="6" t="n">
        <v>11111</v>
      </c>
      <c r="Q970" s="6" t="n">
        <v>1</v>
      </c>
      <c r="R970">
        <f>M970+IF(N970&gt;1,N(O970)*(N970-1),0)</f>
        <v/>
      </c>
      <c r="S970">
        <f>IFERROR(L970*MAX(N970,1)/R970*IF(ISBLANK(K962),1,K962),0)</f>
        <v/>
      </c>
      <c r="AB970" s="7" t="inlineStr">
        <is>
          <t>^Warhead_MissileAP_Medium, ^Warhead_Flak_Medium</t>
        </is>
      </c>
    </row>
    <row r="971">
      <c r="A971" t="inlineStr">
        <is>
          <t>redalert2mod</t>
        </is>
      </c>
      <c r="B971" t="inlineStr">
        <is>
          <t>asianalliance_asdf</t>
        </is>
      </c>
      <c r="C971" t="inlineStr">
        <is>
          <t>ASDF</t>
        </is>
      </c>
      <c r="D971" s="6" t="inlineStr">
        <is>
          <t>SniperInfantry</t>
        </is>
      </c>
      <c r="E971" s="6" t="n">
        <v>39000</v>
      </c>
      <c r="F971" s="6" t="n">
        <v>58</v>
      </c>
      <c r="G971" t="inlineStr">
        <is>
          <t>Flak</t>
        </is>
      </c>
      <c r="H971" s="6" t="n">
        <v>0.75</v>
      </c>
      <c r="I971" s="6" t="n">
        <v>0.75</v>
      </c>
      <c r="J971" s="6" t="n">
        <v>1.25</v>
      </c>
      <c r="K971" s="6" t="n">
        <v>0.0109</v>
      </c>
      <c r="P971">
        <f>MAX(P972,P973)</f>
        <v/>
      </c>
      <c r="S971">
        <f>S972+S973</f>
        <v/>
      </c>
      <c r="T971">
        <f>(E971/100000+F971/100+(P971/1000)*J971/5+S971/200)*200*I971*H971</f>
        <v/>
      </c>
      <c r="U971">
        <f>((E971*F971/25000)+((P971/1000)*J971*S971/2.5))*I971*H971</f>
        <v/>
      </c>
      <c r="V971">
        <f>(E971*F971*(P971/1000)*J971*S971*I971*H971)/12500000</f>
        <v/>
      </c>
      <c r="W971">
        <f>(T971+U971+V971)/3</f>
        <v/>
      </c>
      <c r="X971" s="6" t="n">
        <v>357</v>
      </c>
      <c r="Y971">
        <f>IFERROR(W971-X971,"")</f>
        <v/>
      </c>
      <c r="Z971">
        <f>IFERROR(ABS(Y971)/MAX(X971,1),"")</f>
        <v/>
      </c>
      <c r="AA971">
        <f>IFERROR((X971-(((E971/100000+F971/100+S971/200)*200*I971*H971)+((E971*F971/25000)*I971*H971))/3)/(((J971/5)*200*I971*H971)+((J971*S971/2.5)*I971*H971)+((E971*F971*J971*S971*I971*H971)/12500000))/3*1000,"")</f>
        <v/>
      </c>
    </row>
    <row r="972">
      <c r="B972" s="7" t="inlineStr">
        <is>
          <t xml:space="preserve">  ↳ ASDFGun</t>
        </is>
      </c>
      <c r="C972" s="7" t="inlineStr">
        <is>
          <t>Armament@PRIMARY</t>
        </is>
      </c>
      <c r="L972" s="6" t="n">
        <v>4000</v>
      </c>
      <c r="M972" s="6" t="n">
        <v>16</v>
      </c>
      <c r="N972" s="6" t="n">
        <v>3</v>
      </c>
      <c r="O972" s="6" t="n">
        <v>2</v>
      </c>
      <c r="P972" s="6" t="n">
        <v>5935</v>
      </c>
      <c r="Q972" s="6" t="n">
        <v>0.875</v>
      </c>
      <c r="R972">
        <f>M972+IF(N972&gt;1,N(O972)*(N972-1),0)</f>
        <v/>
      </c>
      <c r="S972">
        <f>IFERROR(L972*MAX(N972,1)/R972*IF(ISBLANK(K971),1,K971),0)</f>
        <v/>
      </c>
      <c r="AB972" s="7" t="inlineStr">
        <is>
          <t>^Warhead_Bullet_Light, ^Warhead_Bullet_Medium</t>
        </is>
      </c>
    </row>
    <row r="973">
      <c r="B973" s="7" t="inlineStr">
        <is>
          <t xml:space="preserve">  ↳ ASDFGun2</t>
        </is>
      </c>
      <c r="C973" s="7" t="inlineStr">
        <is>
          <t>Armament@Upgrade</t>
        </is>
      </c>
      <c r="L973" s="6" t="n">
        <v>6000</v>
      </c>
      <c r="M973" s="6" t="n">
        <v>16</v>
      </c>
      <c r="N973" s="6" t="n">
        <v>3</v>
      </c>
      <c r="O973" s="6" t="n">
        <v>2</v>
      </c>
      <c r="P973" s="6" t="n">
        <v>5935</v>
      </c>
      <c r="Q973" s="6" t="n">
        <v>1</v>
      </c>
      <c r="R973">
        <f>M973+IF(N973&gt;1,N(O973)*(N973-1),0)</f>
        <v/>
      </c>
      <c r="S973">
        <f>IFERROR(L973*MAX(N973,1)/R973*IF(ISBLANK(K971),1,K971),0)</f>
        <v/>
      </c>
      <c r="AB973" s="7" t="inlineStr">
        <is>
          <t>^Warhead_Railgun_Heavy, ^Warhead_Bullet_Light, ^Warhead_Bullet_Medium</t>
        </is>
      </c>
    </row>
    <row r="974">
      <c r="B974" s="7" t="inlineStr">
        <is>
          <t xml:space="preserve">  ↳ ASDFKamikazeTargeting</t>
        </is>
      </c>
      <c r="C974" s="7" t="inlineStr">
        <is>
          <t>Armament@SECONDARY</t>
        </is>
      </c>
      <c r="L974" s="6" t="n"/>
      <c r="M974" s="6" t="n">
        <v>100</v>
      </c>
      <c r="N974" s="6" t="n">
        <v>1</v>
      </c>
      <c r="O974" s="6" t="n"/>
      <c r="P974" s="6" t="n">
        <v>7250</v>
      </c>
      <c r="Q974" s="6" t="n">
        <v>1</v>
      </c>
      <c r="R974">
        <f>M974+IF(N974&gt;1,N(O974)*(N974-1),0)</f>
        <v/>
      </c>
      <c r="S974">
        <f>IFERROR(L974*MAX(N974,1)/R974*IF(ISBLANK(K971),1,K971),0)</f>
        <v/>
      </c>
      <c r="AB974" s="7" t="inlineStr"/>
    </row>
    <row r="975">
      <c r="B975" s="7" t="inlineStr">
        <is>
          <t xml:space="preserve">  ↳ ASDFGun</t>
        </is>
      </c>
      <c r="C975" s="7" t="inlineStr">
        <is>
          <t>Armament@GARRISONED</t>
        </is>
      </c>
      <c r="L975" s="6" t="n">
        <v>4000</v>
      </c>
      <c r="M975" s="6" t="n">
        <v>16</v>
      </c>
      <c r="N975" s="6" t="n">
        <v>3</v>
      </c>
      <c r="O975" s="6" t="n">
        <v>2</v>
      </c>
      <c r="P975" s="6" t="n">
        <v>5935</v>
      </c>
      <c r="Q975" s="6" t="n">
        <v>0.875</v>
      </c>
      <c r="R975">
        <f>M975+IF(N975&gt;1,N(O975)*(N975-1),0)</f>
        <v/>
      </c>
      <c r="S975">
        <f>IFERROR(L975*MAX(N975,1)/R975*IF(ISBLANK(K971),1,K971),0)</f>
        <v/>
      </c>
      <c r="AB975" s="7" t="inlineStr">
        <is>
          <t>^Warhead_Bullet_Light, ^Warhead_Bullet_Medium</t>
        </is>
      </c>
    </row>
    <row r="976">
      <c r="B976" s="7" t="inlineStr">
        <is>
          <t xml:space="preserve">  ↳ ASDFGun2</t>
        </is>
      </c>
      <c r="C976" s="7" t="inlineStr">
        <is>
          <t>Armament@UpgradeGARRISONED</t>
        </is>
      </c>
      <c r="L976" s="6" t="n">
        <v>6000</v>
      </c>
      <c r="M976" s="6" t="n">
        <v>16</v>
      </c>
      <c r="N976" s="6" t="n">
        <v>3</v>
      </c>
      <c r="O976" s="6" t="n">
        <v>2</v>
      </c>
      <c r="P976" s="6" t="n">
        <v>5935</v>
      </c>
      <c r="Q976" s="6" t="n">
        <v>1</v>
      </c>
      <c r="R976">
        <f>M976+IF(N976&gt;1,N(O976)*(N976-1),0)</f>
        <v/>
      </c>
      <c r="S976">
        <f>IFERROR(L976*MAX(N976,1)/R976*IF(ISBLANK(K971),1,K971),0)</f>
        <v/>
      </c>
      <c r="AB976" s="7" t="inlineStr">
        <is>
          <t>^Warhead_Railgun_Heavy, ^Warhead_Bullet_Light, ^Warhead_Bullet_Medium</t>
        </is>
      </c>
    </row>
    <row r="977">
      <c r="A977" t="inlineStr">
        <is>
          <t>redalert2mod</t>
        </is>
      </c>
      <c r="B977" t="inlineStr">
        <is>
          <t>asianalliance_shinobi</t>
        </is>
      </c>
      <c r="C977" t="inlineStr">
        <is>
          <t>Shinobi</t>
        </is>
      </c>
      <c r="D977" s="6" t="inlineStr">
        <is>
          <t>SniperInfantry</t>
        </is>
      </c>
      <c r="E977" s="6" t="n">
        <v>20000</v>
      </c>
      <c r="F977" s="6" t="n">
        <v>60</v>
      </c>
      <c r="G977" t="inlineStr">
        <is>
          <t>Flak</t>
        </is>
      </c>
      <c r="H977" s="6" t="n">
        <v>1</v>
      </c>
      <c r="I977" s="6" t="n">
        <v>0.75</v>
      </c>
      <c r="J977" s="6" t="n">
        <v>1</v>
      </c>
      <c r="K977" s="6" t="n"/>
      <c r="P977">
        <f>MAX(P978,P979)</f>
        <v/>
      </c>
      <c r="S977">
        <f>S978+S979</f>
        <v/>
      </c>
      <c r="T977">
        <f>(E977/100000+F977/100+(P977/1000)*J977/5+S977/200)*200*I977*H977</f>
        <v/>
      </c>
      <c r="U977">
        <f>((E977*F977/25000)+((P977/1000)*J977*S977/2.5))*I977*H977</f>
        <v/>
      </c>
      <c r="V977">
        <f>(E977*F977*(P977/1000)*J977*S977*I977*H977)/12500000</f>
        <v/>
      </c>
      <c r="W977">
        <f>(T977+U977+V977)/3</f>
        <v/>
      </c>
      <c r="X977" s="6" t="n">
        <v>750</v>
      </c>
      <c r="Y977">
        <f>IFERROR(W977-X977,"")</f>
        <v/>
      </c>
      <c r="Z977">
        <f>IFERROR(ABS(Y977)/MAX(X977,1),"")</f>
        <v/>
      </c>
      <c r="AA977">
        <f>IFERROR((X977-(((E977/100000+F977/100+S977/200)*200*I977*H977)+((E977*F977/25000)*I977*H977))/3)/(((J977/5)*200*I977*H977)+((J977*S977/2.5)*I977*H977)+((E977*F977*J977*S977*I977*H977)/12500000))/3*1000,"")</f>
        <v/>
      </c>
    </row>
    <row r="978">
      <c r="B978" s="7" t="inlineStr">
        <is>
          <t xml:space="preserve">  ↳ AsianNinjaStar</t>
        </is>
      </c>
      <c r="C978" s="7" t="inlineStr">
        <is>
          <t>Armament@PRIMARY</t>
        </is>
      </c>
      <c r="L978" s="6" t="n">
        <v>20000</v>
      </c>
      <c r="M978" s="6" t="n">
        <v>25</v>
      </c>
      <c r="N978" s="6" t="n">
        <v>1</v>
      </c>
      <c r="O978" s="6" t="n"/>
      <c r="P978" s="6" t="n">
        <v>4560</v>
      </c>
      <c r="Q978" s="6" t="n">
        <v>1</v>
      </c>
      <c r="R978">
        <f>M978+IF(N978&gt;1,N(O978)*(N978-1),0)</f>
        <v/>
      </c>
      <c r="S978">
        <f>IFERROR(L978*MAX(N978,1)/R978*IF(ISBLANK(K977),1,K977),0)</f>
        <v/>
      </c>
      <c r="AB978" s="7" t="inlineStr">
        <is>
          <t>^Warhead_Melee_Medium</t>
        </is>
      </c>
    </row>
    <row r="979">
      <c r="B979" s="7" t="inlineStr">
        <is>
          <t xml:space="preserve">  ↳ AsianNinjaStar_elite</t>
        </is>
      </c>
      <c r="C979" s="7" t="inlineStr">
        <is>
          <t>Armament@ELITE</t>
        </is>
      </c>
      <c r="L979" s="6" t="n">
        <v>20000</v>
      </c>
      <c r="M979" s="6" t="n">
        <v>25</v>
      </c>
      <c r="N979" s="6" t="n">
        <v>2</v>
      </c>
      <c r="O979" s="6" t="n">
        <v>3</v>
      </c>
      <c r="P979" s="6" t="n">
        <v>5560</v>
      </c>
      <c r="Q979" s="6" t="n">
        <v>1</v>
      </c>
      <c r="R979">
        <f>M979+IF(N979&gt;1,N(O979)*(N979-1),0)</f>
        <v/>
      </c>
      <c r="S979">
        <f>IFERROR(L979*MAX(N979,1)/R979*IF(ISBLANK(K977),1,K977),0)</f>
        <v/>
      </c>
      <c r="AB979" s="7" t="inlineStr">
        <is>
          <t>^Warhead_Melee_Medium</t>
        </is>
      </c>
    </row>
    <row r="980">
      <c r="B980" s="7" t="inlineStr">
        <is>
          <t xml:space="preserve">  ↳ AsianNinjaStar</t>
        </is>
      </c>
      <c r="C980" s="7" t="inlineStr">
        <is>
          <t>Armament@GARRISONED</t>
        </is>
      </c>
      <c r="L980" s="6" t="n">
        <v>20000</v>
      </c>
      <c r="M980" s="6" t="n">
        <v>25</v>
      </c>
      <c r="N980" s="6" t="n">
        <v>1</v>
      </c>
      <c r="O980" s="6" t="n"/>
      <c r="P980" s="6" t="n">
        <v>4560</v>
      </c>
      <c r="Q980" s="6" t="n">
        <v>1</v>
      </c>
      <c r="R980">
        <f>M980+IF(N980&gt;1,N(O980)*(N980-1),0)</f>
        <v/>
      </c>
      <c r="S980">
        <f>IFERROR(L980*MAX(N980,1)/R980*IF(ISBLANK(K977),1,K977),0)</f>
        <v/>
      </c>
      <c r="AB980" s="7" t="inlineStr">
        <is>
          <t>^Warhead_Melee_Medium</t>
        </is>
      </c>
    </row>
    <row r="981">
      <c r="B981" s="7" t="inlineStr">
        <is>
          <t xml:space="preserve">  ↳ AsianNinjaStar_elite</t>
        </is>
      </c>
      <c r="C981" s="7" t="inlineStr">
        <is>
          <t>Armament@GARRISONEDELITE</t>
        </is>
      </c>
      <c r="L981" s="6" t="n">
        <v>20000</v>
      </c>
      <c r="M981" s="6" t="n">
        <v>25</v>
      </c>
      <c r="N981" s="6" t="n">
        <v>2</v>
      </c>
      <c r="O981" s="6" t="n">
        <v>3</v>
      </c>
      <c r="P981" s="6" t="n">
        <v>5560</v>
      </c>
      <c r="Q981" s="6" t="n">
        <v>1</v>
      </c>
      <c r="R981">
        <f>M981+IF(N981&gt;1,N(O981)*(N981-1),0)</f>
        <v/>
      </c>
      <c r="S981">
        <f>IFERROR(L981*MAX(N981,1)/R981*IF(ISBLANK(K977),1,K977),0)</f>
        <v/>
      </c>
      <c r="AB981" s="7" t="inlineStr">
        <is>
          <t>^Warhead_Melee_Medium</t>
        </is>
      </c>
    </row>
    <row r="982">
      <c r="A982" t="inlineStr">
        <is>
          <t>redalert2mod</t>
        </is>
      </c>
      <c r="B982" t="inlineStr">
        <is>
          <t>latinsyndicate_narco</t>
        </is>
      </c>
      <c r="C982" t="inlineStr">
        <is>
          <t>Narco</t>
        </is>
      </c>
      <c r="D982" s="6" t="inlineStr">
        <is>
          <t>SniperInfantry</t>
        </is>
      </c>
      <c r="E982" s="6" t="n">
        <v>28000</v>
      </c>
      <c r="F982" s="6" t="n">
        <v>70</v>
      </c>
      <c r="G982" t="inlineStr">
        <is>
          <t>Flak</t>
        </is>
      </c>
      <c r="H982" s="6" t="n">
        <v>0.75</v>
      </c>
      <c r="I982" s="6" t="n">
        <v>0.75</v>
      </c>
      <c r="J982" s="6" t="n">
        <v>1</v>
      </c>
      <c r="K982" s="6" t="n">
        <v>0.0105</v>
      </c>
      <c r="P982">
        <f>MAX(P983,P984,P985,P986)</f>
        <v/>
      </c>
      <c r="S982">
        <f>S983+S984+S985+S986</f>
        <v/>
      </c>
      <c r="T982">
        <f>(E982/100000+F982/100+(P982/1000)*J982/5+S982/200)*200*I982*H982</f>
        <v/>
      </c>
      <c r="U982">
        <f>((E982*F982/25000)+((P982/1000)*J982*S982/2.5))*I982*H982</f>
        <v/>
      </c>
      <c r="V982">
        <f>(E982*F982*(P982/1000)*J982*S982*I982*H982)/12500000</f>
        <v/>
      </c>
      <c r="W982">
        <f>(((E982/5000)+(F982/50)+(S982/0)+((P982/0)*J982))*500/4+(((E982/5000)*(F982/50))+(((P982/0)*J982)*(S982/0)))*500/2+((E982/5000)*(F982/50)*((P982/0)*J982)*(S982/0))*500)*(H982/1.0)/3</f>
        <v/>
      </c>
      <c r="X982" s="6" t="n">
        <v>756</v>
      </c>
      <c r="Y982">
        <f>IFERROR(W982-X982,"")</f>
        <v/>
      </c>
      <c r="Z982">
        <f>IFERROR(ABS(Y982)/MAX(X982,1),"")</f>
        <v/>
      </c>
      <c r="AA982">
        <f>IFERROR(ROUND(((3*X982-(((E982/5000)+(F982/50)+(S982/0))*500/4+((E982/5000)*(F982/50))*500/2)*(H982/1.0))/(500/4+((S982/0))*500/2+((E982/5000)*(F982/50)*(S982/0))*500)*(H982/1.0)*0)/J982,-1),"")</f>
        <v/>
      </c>
    </row>
    <row r="983">
      <c r="B983" s="7" t="inlineStr">
        <is>
          <t xml:space="preserve">  ↳ NarcoGrenade</t>
        </is>
      </c>
      <c r="C983" s="7" t="inlineStr">
        <is>
          <t>Armament@Grenade</t>
        </is>
      </c>
      <c r="L983" s="6" t="n">
        <v>70000</v>
      </c>
      <c r="M983" s="6" t="n">
        <v>77</v>
      </c>
      <c r="N983" s="6" t="n">
        <v>1</v>
      </c>
      <c r="O983" s="6" t="n"/>
      <c r="P983" s="6" t="n">
        <v>5701</v>
      </c>
      <c r="Q983" s="6" t="n">
        <v>0.75</v>
      </c>
      <c r="R983">
        <f>M983+IF(N983&gt;1,N(O983)*(N983-1),0)</f>
        <v/>
      </c>
      <c r="S983">
        <f>IFERROR(L983*MAX(N983,1)/R983*IF(ISBLANK(K982),1,K982),0)</f>
        <v/>
      </c>
      <c r="AB983" s="7" t="inlineStr">
        <is>
          <t>^Warhead_Demolition_Light</t>
        </is>
      </c>
    </row>
    <row r="984">
      <c r="B984" s="7" t="inlineStr">
        <is>
          <t xml:space="preserve">  ↳ NarcoGrenade_elite</t>
        </is>
      </c>
      <c r="C984" s="7" t="inlineStr">
        <is>
          <t>Armament@GrenadeELITE</t>
        </is>
      </c>
      <c r="L984" s="6" t="n">
        <v>70000</v>
      </c>
      <c r="M984" s="6" t="n">
        <v>77</v>
      </c>
      <c r="N984" s="6" t="n">
        <v>2</v>
      </c>
      <c r="O984" s="6" t="n">
        <v>3</v>
      </c>
      <c r="P984" s="6" t="n">
        <v>7300</v>
      </c>
      <c r="Q984" s="6" t="n">
        <v>0.75</v>
      </c>
      <c r="R984">
        <f>M984+IF(N984&gt;1,N(O984)*(N984-1),0)</f>
        <v/>
      </c>
      <c r="S984">
        <f>IFERROR(L984*MAX(N984,1)/R984*IF(ISBLANK(K982),1,K982),0)</f>
        <v/>
      </c>
      <c r="AB984" s="7" t="inlineStr">
        <is>
          <t>^Warhead_Demolition_Light</t>
        </is>
      </c>
    </row>
    <row r="985">
      <c r="B985" s="7" t="inlineStr">
        <is>
          <t xml:space="preserve">  ↳ RA2NarcoPistol</t>
        </is>
      </c>
      <c r="C985" s="7" t="inlineStr">
        <is>
          <t>Armament@Pistol</t>
        </is>
      </c>
      <c r="L985" s="6" t="n">
        <v>20000</v>
      </c>
      <c r="M985" s="6" t="n">
        <v>22</v>
      </c>
      <c r="N985" s="6" t="n">
        <v>1</v>
      </c>
      <c r="O985" s="6" t="n"/>
      <c r="P985" s="6" t="n">
        <v>6300</v>
      </c>
      <c r="Q985" s="6" t="n">
        <v>0.75</v>
      </c>
      <c r="R985">
        <f>M985+IF(N985&gt;1,N(O985)*(N985-1),0)</f>
        <v/>
      </c>
      <c r="S985">
        <f>IFERROR(L985*MAX(N985,1)/R985*IF(ISBLANK(K982),1,K982),0)</f>
        <v/>
      </c>
      <c r="AB985" s="7" t="inlineStr">
        <is>
          <t>^Warhead_Sniper_Light</t>
        </is>
      </c>
    </row>
    <row r="986">
      <c r="B986" s="7" t="inlineStr">
        <is>
          <t xml:space="preserve">  ↳ RA2NarcoPistols_elite</t>
        </is>
      </c>
      <c r="C986" s="7" t="inlineStr">
        <is>
          <t>Armament@PistolELITE</t>
        </is>
      </c>
      <c r="L986" s="6" t="n">
        <v>20000</v>
      </c>
      <c r="M986" s="6" t="n">
        <v>22</v>
      </c>
      <c r="N986" s="6" t="n">
        <v>2</v>
      </c>
      <c r="O986" s="6" t="n">
        <v>3</v>
      </c>
      <c r="P986" s="6" t="n">
        <v>7300</v>
      </c>
      <c r="Q986" s="6" t="n">
        <v>0.75</v>
      </c>
      <c r="R986">
        <f>M986+IF(N986&gt;1,N(O986)*(N986-1),0)</f>
        <v/>
      </c>
      <c r="S986">
        <f>IFERROR(L986*MAX(N986,1)/R986*IF(ISBLANK(K982),1,K982),0)</f>
        <v/>
      </c>
      <c r="AB986" s="7" t="inlineStr">
        <is>
          <t>^Warhead_Sniper_Light</t>
        </is>
      </c>
    </row>
    <row r="987">
      <c r="B987" s="7" t="inlineStr">
        <is>
          <t xml:space="preserve">  ↳ NarcoGrenade</t>
        </is>
      </c>
      <c r="C987" s="7" t="inlineStr">
        <is>
          <t>Armament@GrenadeGARRISONED</t>
        </is>
      </c>
      <c r="L987" s="6" t="n">
        <v>70000</v>
      </c>
      <c r="M987" s="6" t="n">
        <v>77</v>
      </c>
      <c r="N987" s="6" t="n">
        <v>1</v>
      </c>
      <c r="O987" s="6" t="n"/>
      <c r="P987" s="6" t="n">
        <v>5701</v>
      </c>
      <c r="Q987" s="6" t="n">
        <v>0.75</v>
      </c>
      <c r="R987">
        <f>M987+IF(N987&gt;1,N(O987)*(N987-1),0)</f>
        <v/>
      </c>
      <c r="S987">
        <f>IFERROR(L987*MAX(N987,1)/R987*IF(ISBLANK(K982),1,K982),0)</f>
        <v/>
      </c>
      <c r="AB987" s="7" t="inlineStr">
        <is>
          <t>^Warhead_Demolition_Light</t>
        </is>
      </c>
    </row>
    <row r="988">
      <c r="B988" s="7" t="inlineStr">
        <is>
          <t xml:space="preserve">  ↳ NarcoGrenade_elite</t>
        </is>
      </c>
      <c r="C988" s="7" t="inlineStr">
        <is>
          <t>Armament@GrenadeGARRISONEDELITE</t>
        </is>
      </c>
      <c r="L988" s="6" t="n">
        <v>70000</v>
      </c>
      <c r="M988" s="6" t="n">
        <v>77</v>
      </c>
      <c r="N988" s="6" t="n">
        <v>2</v>
      </c>
      <c r="O988" s="6" t="n">
        <v>3</v>
      </c>
      <c r="P988" s="6" t="n">
        <v>7300</v>
      </c>
      <c r="Q988" s="6" t="n">
        <v>0.75</v>
      </c>
      <c r="R988">
        <f>M988+IF(N988&gt;1,N(O988)*(N988-1),0)</f>
        <v/>
      </c>
      <c r="S988">
        <f>IFERROR(L988*MAX(N988,1)/R988*IF(ISBLANK(K982),1,K982),0)</f>
        <v/>
      </c>
      <c r="AB988" s="7" t="inlineStr">
        <is>
          <t>^Warhead_Demolition_Light</t>
        </is>
      </c>
    </row>
    <row r="989">
      <c r="B989" s="7" t="inlineStr">
        <is>
          <t xml:space="preserve">  ↳ RA2NarcoPistol</t>
        </is>
      </c>
      <c r="C989" s="7" t="inlineStr">
        <is>
          <t>Armament@PistolGARRISONED</t>
        </is>
      </c>
      <c r="L989" s="6" t="n">
        <v>20000</v>
      </c>
      <c r="M989" s="6" t="n">
        <v>22</v>
      </c>
      <c r="N989" s="6" t="n">
        <v>1</v>
      </c>
      <c r="O989" s="6" t="n"/>
      <c r="P989" s="6" t="n">
        <v>6300</v>
      </c>
      <c r="Q989" s="6" t="n">
        <v>0.75</v>
      </c>
      <c r="R989">
        <f>M989+IF(N989&gt;1,N(O989)*(N989-1),0)</f>
        <v/>
      </c>
      <c r="S989">
        <f>IFERROR(L989*MAX(N989,1)/R989*IF(ISBLANK(K982),1,K982),0)</f>
        <v/>
      </c>
      <c r="AB989" s="7" t="inlineStr">
        <is>
          <t>^Warhead_Sniper_Light</t>
        </is>
      </c>
    </row>
    <row r="990">
      <c r="B990" s="7" t="inlineStr">
        <is>
          <t xml:space="preserve">  ↳ RA2NarcoPistols_elite</t>
        </is>
      </c>
      <c r="C990" s="7" t="inlineStr">
        <is>
          <t>Armament@PistolGARRISONEDELITE</t>
        </is>
      </c>
      <c r="L990" s="6" t="n">
        <v>20000</v>
      </c>
      <c r="M990" s="6" t="n">
        <v>22</v>
      </c>
      <c r="N990" s="6" t="n">
        <v>2</v>
      </c>
      <c r="O990" s="6" t="n">
        <v>3</v>
      </c>
      <c r="P990" s="6" t="n">
        <v>7300</v>
      </c>
      <c r="Q990" s="6" t="n">
        <v>0.75</v>
      </c>
      <c r="R990">
        <f>M990+IF(N990&gt;1,N(O990)*(N990-1),0)</f>
        <v/>
      </c>
      <c r="S990">
        <f>IFERROR(L990*MAX(N990,1)/R990*IF(ISBLANK(K982),1,K982),0)</f>
        <v/>
      </c>
      <c r="AB990" s="7" t="inlineStr">
        <is>
          <t>^Warhead_Sniper_Light</t>
        </is>
      </c>
    </row>
    <row r="991">
      <c r="A991" t="inlineStr">
        <is>
          <t>redalert2mod</t>
        </is>
      </c>
      <c r="B991" t="inlineStr">
        <is>
          <t>naxis_naximercenarysniper</t>
        </is>
      </c>
      <c r="C991" t="inlineStr">
        <is>
          <t>Naxi Mercenary Sniper</t>
        </is>
      </c>
      <c r="D991" s="6" t="inlineStr">
        <is>
          <t>SniperInfantry</t>
        </is>
      </c>
      <c r="E991" s="6" t="n">
        <v>8000</v>
      </c>
      <c r="F991" s="6" t="n">
        <v>60</v>
      </c>
      <c r="G991" t="inlineStr">
        <is>
          <t>Flak</t>
        </is>
      </c>
      <c r="H991" s="6" t="n">
        <v>0.514</v>
      </c>
      <c r="I991" s="6" t="n">
        <v>1</v>
      </c>
      <c r="J991" s="6" t="n">
        <v>1</v>
      </c>
      <c r="K991" s="6" t="n"/>
      <c r="P991">
        <f>MAX(P992,P993)</f>
        <v/>
      </c>
      <c r="S991">
        <f>S992+S993</f>
        <v/>
      </c>
      <c r="T991">
        <f>(E991/100000+F991/100+(P991/1000)*J991/5+S991/200)*200*I991*H991</f>
        <v/>
      </c>
      <c r="U991">
        <f>((E991*F991/25000)+((P991/1000)*J991*S991/2.5))*I991*H991</f>
        <v/>
      </c>
      <c r="V991">
        <f>(E991*F991*(P991/1000)*J991*S991*I991*H991)/12500000</f>
        <v/>
      </c>
      <c r="W991">
        <f>(T991+U991+V991)/3</f>
        <v/>
      </c>
      <c r="X991" s="6" t="n">
        <v>250</v>
      </c>
      <c r="Y991">
        <f>IFERROR(W991-X991,"")</f>
        <v/>
      </c>
      <c r="Z991">
        <f>IFERROR(ABS(Y991)/MAX(X991,1),"")</f>
        <v/>
      </c>
      <c r="AA991">
        <f>IFERROR((X991-(((E991/100000+F991/100+S991/200)*200*I991*H991)+((E991*F991/25000)*I991*H991))/3)/(((J991/5)*200*I991*H991)+((J991*S991/2.5)*I991*H991)+((E991*F991*J991*S991*I991*H991)/12500000))/3*1000,"")</f>
        <v/>
      </c>
    </row>
    <row r="992">
      <c r="B992" s="7" t="inlineStr">
        <is>
          <t xml:space="preserve">  ↳ NaxiSniper</t>
        </is>
      </c>
      <c r="C992" s="7" t="inlineStr">
        <is>
          <t>Armament@PRIMARY</t>
        </is>
      </c>
      <c r="L992" s="6" t="n">
        <v>24000</v>
      </c>
      <c r="M992" s="6" t="n">
        <v>120</v>
      </c>
      <c r="N992" s="6" t="n">
        <v>1</v>
      </c>
      <c r="O992" s="6" t="n"/>
      <c r="P992" s="6" t="n">
        <v>7777</v>
      </c>
      <c r="Q992" s="6" t="n">
        <v>0.75</v>
      </c>
      <c r="R992">
        <f>M992+IF(N992&gt;1,N(O992)*(N992-1),0)</f>
        <v/>
      </c>
      <c r="S992">
        <f>IFERROR(L992*MAX(N992,1)/R992*IF(ISBLANK(K991),1,K991),0)</f>
        <v/>
      </c>
      <c r="AB992" s="7" t="inlineStr">
        <is>
          <t>^Warhead_Sniper_Light</t>
        </is>
      </c>
    </row>
    <row r="993">
      <c r="B993" s="7" t="inlineStr">
        <is>
          <t xml:space="preserve">  ↳ NaxiSniper_elite</t>
        </is>
      </c>
      <c r="C993" s="7" t="inlineStr">
        <is>
          <t>Armament@ELITE</t>
        </is>
      </c>
      <c r="L993" s="6" t="n">
        <v>24000</v>
      </c>
      <c r="M993" s="6" t="n">
        <v>120</v>
      </c>
      <c r="N993" s="6" t="n">
        <v>2</v>
      </c>
      <c r="O993" s="6" t="n">
        <v>3</v>
      </c>
      <c r="P993" s="6" t="n">
        <v>8888</v>
      </c>
      <c r="Q993" s="6" t="n">
        <v>0.75</v>
      </c>
      <c r="R993">
        <f>M993+IF(N993&gt;1,N(O993)*(N993-1),0)</f>
        <v/>
      </c>
      <c r="S993">
        <f>IFERROR(L993*MAX(N993,1)/R993*IF(ISBLANK(K991),1,K991),0)</f>
        <v/>
      </c>
      <c r="AB993" s="7" t="inlineStr">
        <is>
          <t>^Warhead_Sniper_Light</t>
        </is>
      </c>
    </row>
    <row r="994">
      <c r="B994" s="7" t="inlineStr">
        <is>
          <t xml:space="preserve">  ↳ NaxiSniper</t>
        </is>
      </c>
      <c r="C994" s="7" t="inlineStr">
        <is>
          <t>Armament@GARRISONED</t>
        </is>
      </c>
      <c r="L994" s="6" t="n">
        <v>24000</v>
      </c>
      <c r="M994" s="6" t="n">
        <v>120</v>
      </c>
      <c r="N994" s="6" t="n">
        <v>1</v>
      </c>
      <c r="O994" s="6" t="n"/>
      <c r="P994" s="6" t="n">
        <v>7777</v>
      </c>
      <c r="Q994" s="6" t="n">
        <v>0.75</v>
      </c>
      <c r="R994">
        <f>M994+IF(N994&gt;1,N(O994)*(N994-1),0)</f>
        <v/>
      </c>
      <c r="S994">
        <f>IFERROR(L994*MAX(N994,1)/R994*IF(ISBLANK(K991),1,K991),0)</f>
        <v/>
      </c>
      <c r="AB994" s="7" t="inlineStr">
        <is>
          <t>^Warhead_Sniper_Light</t>
        </is>
      </c>
    </row>
    <row r="995">
      <c r="B995" s="7" t="inlineStr">
        <is>
          <t xml:space="preserve">  ↳ NaxiSniper_elite</t>
        </is>
      </c>
      <c r="C995" s="7" t="inlineStr">
        <is>
          <t>Armament@GARRISONEDELITE</t>
        </is>
      </c>
      <c r="L995" s="6" t="n">
        <v>24000</v>
      </c>
      <c r="M995" s="6" t="n">
        <v>120</v>
      </c>
      <c r="N995" s="6" t="n">
        <v>2</v>
      </c>
      <c r="O995" s="6" t="n">
        <v>3</v>
      </c>
      <c r="P995" s="6" t="n">
        <v>8888</v>
      </c>
      <c r="Q995" s="6" t="n">
        <v>0.75</v>
      </c>
      <c r="R995">
        <f>M995+IF(N995&gt;1,N(O995)*(N995-1),0)</f>
        <v/>
      </c>
      <c r="S995">
        <f>IFERROR(L995*MAX(N995,1)/R995*IF(ISBLANK(K991),1,K991),0)</f>
        <v/>
      </c>
      <c r="AB995" s="7" t="inlineStr">
        <is>
          <t>^Warhead_Sniper_Light</t>
        </is>
      </c>
    </row>
    <row r="996">
      <c r="A996" t="inlineStr">
        <is>
          <t>redalert2mod</t>
        </is>
      </c>
      <c r="B996" t="inlineStr">
        <is>
          <t>tkm_sniper</t>
        </is>
      </c>
      <c r="C996" t="inlineStr">
        <is>
          <t>Sniper</t>
        </is>
      </c>
      <c r="D996" s="6" t="inlineStr">
        <is>
          <t>SniperInfantry</t>
        </is>
      </c>
      <c r="E996" s="6" t="n">
        <v>20000</v>
      </c>
      <c r="F996" s="6" t="n">
        <v>60</v>
      </c>
      <c r="G996" t="inlineStr">
        <is>
          <t>Flak</t>
        </is>
      </c>
      <c r="H996" s="6" t="n">
        <v>0.6522</v>
      </c>
      <c r="I996" s="6" t="n">
        <v>1</v>
      </c>
      <c r="J996" s="6" t="n">
        <v>1</v>
      </c>
      <c r="K996" s="6" t="n"/>
      <c r="P996">
        <f>MAX(P997)</f>
        <v/>
      </c>
      <c r="S996">
        <f>S997</f>
        <v/>
      </c>
      <c r="T996">
        <f>(E996/100000+F996/100+(P996/1000)*J996/5+S996/200)*200*I996*H996</f>
        <v/>
      </c>
      <c r="U996">
        <f>((E996*F996/25000)+((P996/1000)*J996*S996/2.5))*I996*H996</f>
        <v/>
      </c>
      <c r="V996">
        <f>(E996*F996*(P996/1000)*J996*S996*I996*H996)/12500000</f>
        <v/>
      </c>
      <c r="W996">
        <f>(T996+U996+V996)/3</f>
        <v/>
      </c>
      <c r="X996" s="6" t="n">
        <v>600</v>
      </c>
      <c r="Y996">
        <f>IFERROR(W996-X996,"")</f>
        <v/>
      </c>
      <c r="Z996">
        <f>IFERROR(ABS(Y996)/MAX(X996,1),"")</f>
        <v/>
      </c>
      <c r="AA996">
        <f>IFERROR((X996-(((E996/100000+F996/100+S996/200)*200*I996*H996)+((E996*F996/25000)*I996*H996))/3)/(((J996/5)*200*I996*H996)+((J996*S996/2.5)*I996*H996)+((E996*F996*J996*S996*I996*H996)/12500000))/3*1000,"")</f>
        <v/>
      </c>
    </row>
    <row r="997">
      <c r="B997" s="7" t="inlineStr">
        <is>
          <t xml:space="preserve">  ↳ tkmawp</t>
        </is>
      </c>
      <c r="C997" s="7" t="inlineStr">
        <is>
          <t>Armament@PRIMARY</t>
        </is>
      </c>
      <c r="L997" s="6" t="n">
        <v>44000</v>
      </c>
      <c r="M997" s="6" t="n">
        <v>55</v>
      </c>
      <c r="N997" s="6" t="n">
        <v>1</v>
      </c>
      <c r="O997" s="6" t="n"/>
      <c r="P997" s="6" t="n">
        <v>10021</v>
      </c>
      <c r="Q997" s="6" t="n">
        <v>0.75</v>
      </c>
      <c r="R997">
        <f>M997+IF(N997&gt;1,N(O997)*(N997-1),0)</f>
        <v/>
      </c>
      <c r="S997">
        <f>IFERROR(L997*MAX(N997,1)/R997*IF(ISBLANK(K996),1,K996),0)</f>
        <v/>
      </c>
      <c r="AB997" s="7" t="inlineStr">
        <is>
          <t>^Warhead_Sniper_Light</t>
        </is>
      </c>
    </row>
    <row r="998">
      <c r="B998" s="7" t="inlineStr">
        <is>
          <t xml:space="preserve">  ↳ tkmawp</t>
        </is>
      </c>
      <c r="C998" s="7" t="inlineStr">
        <is>
          <t>Armament@GARRISONED</t>
        </is>
      </c>
      <c r="L998" s="6" t="n">
        <v>44000</v>
      </c>
      <c r="M998" s="6" t="n">
        <v>55</v>
      </c>
      <c r="N998" s="6" t="n">
        <v>1</v>
      </c>
      <c r="O998" s="6" t="n"/>
      <c r="P998" s="6" t="n">
        <v>10021</v>
      </c>
      <c r="Q998" s="6" t="n">
        <v>0.75</v>
      </c>
      <c r="R998">
        <f>M998+IF(N998&gt;1,N(O998)*(N998-1),0)</f>
        <v/>
      </c>
      <c r="S998">
        <f>IFERROR(L998*MAX(N998,1)/R998*IF(ISBLANK(K996),1,K996),0)</f>
        <v/>
      </c>
      <c r="AB998" s="7" t="inlineStr">
        <is>
          <t>^Warhead_Sniper_Light</t>
        </is>
      </c>
    </row>
    <row r="999">
      <c r="A999" t="inlineStr">
        <is>
          <t>starcraft</t>
        </is>
      </c>
      <c r="B999" t="inlineStr">
        <is>
          <t>terran_ghost</t>
        </is>
      </c>
      <c r="C999" t="inlineStr">
        <is>
          <t>Ghost</t>
        </is>
      </c>
      <c r="D999" s="6" t="inlineStr">
        <is>
          <t>SniperInfantry</t>
        </is>
      </c>
      <c r="E999" s="6" t="n">
        <v>44000</v>
      </c>
      <c r="F999" s="6" t="n">
        <v>75</v>
      </c>
      <c r="G999" t="inlineStr">
        <is>
          <t>Flak</t>
        </is>
      </c>
      <c r="H999" s="6" t="n">
        <v>0.75</v>
      </c>
      <c r="I999" s="6" t="n">
        <v>0.75</v>
      </c>
      <c r="J999" s="6" t="n">
        <v>1</v>
      </c>
      <c r="K999" s="6" t="n">
        <v>0.0103</v>
      </c>
      <c r="P999">
        <f>MAX(P1000,P1001)</f>
        <v/>
      </c>
      <c r="S999">
        <f>S1000+S1001</f>
        <v/>
      </c>
      <c r="T999">
        <f>(E999/100000+F999/100+(P999/1000)*J999/5+S999/200)*200*I999*H999</f>
        <v/>
      </c>
      <c r="U999">
        <f>((E999*F999/25000)+((P999/1000)*J999*S999/2.5))*I999*H999</f>
        <v/>
      </c>
      <c r="V999">
        <f>(E999*F999*(P999/1000)*J999*S999*I999*H999)/12500000</f>
        <v/>
      </c>
      <c r="W999">
        <f>(((E999/15000)+(F999/50)+(S999/240)+((P999/6000)*J999))*200/4+(((E999/15000)*(F999/50))+(((P999/6000)*J999)*(S999/240)))*200/2+((E999/15000)*(F999/50)*((P999/6000)*J999)*(S999/240))*200)*(H999/1.0)/3</f>
        <v/>
      </c>
      <c r="X999" s="6" t="n">
        <v>1176</v>
      </c>
      <c r="Y999">
        <f>IFERROR(W999-X999,"")</f>
        <v/>
      </c>
      <c r="Z999">
        <f>IFERROR(ABS(Y999)/MAX(X999,1),"")</f>
        <v/>
      </c>
      <c r="AA999">
        <f>IFERROR(ROUND(((3*X999-(((E999/15000)+(F999/50)+(S999/240))*200/4+((E999/15000)*(F999/50))*200/2)*(H999/1.0))/(200/4+((S999/240))*200/2+((E999/15000)*(F999/50)*(S999/240))*200)*(H999/1.0)*6000)/J999,-1),"")</f>
        <v/>
      </c>
    </row>
    <row r="1000">
      <c r="B1000" s="7" t="inlineStr">
        <is>
          <t xml:space="preserve">  ↳ GhostSniperLockdown</t>
        </is>
      </c>
      <c r="C1000" s="7" t="inlineStr">
        <is>
          <t>Armament@lockdown</t>
        </is>
      </c>
      <c r="L1000" s="6" t="n">
        <v>124000</v>
      </c>
      <c r="M1000" s="6" t="n">
        <v>22</v>
      </c>
      <c r="N1000" s="6" t="n">
        <v>1</v>
      </c>
      <c r="O1000" s="6" t="n"/>
      <c r="P1000" s="6" t="n">
        <v>8428</v>
      </c>
      <c r="Q1000" s="6" t="n">
        <v>1.25</v>
      </c>
      <c r="R1000">
        <f>M1000+IF(N1000&gt;1,N(O1000)*(N1000-1),0)</f>
        <v/>
      </c>
      <c r="S1000">
        <f>IFERROR(L1000*MAX(N1000,1)/R1000*IF(ISBLANK(K999),1,K999),0)</f>
        <v/>
      </c>
      <c r="AB1000" s="7" t="inlineStr">
        <is>
          <t>^Warhead_Tesla_Super, ^Warhead_CannonHE_Heavy</t>
        </is>
      </c>
    </row>
    <row r="1001">
      <c r="B1001" s="7" t="inlineStr">
        <is>
          <t xml:space="preserve">  ↳ GhostSniper</t>
        </is>
      </c>
      <c r="C1001" s="7" t="inlineStr">
        <is>
          <t>Armament@PRIMARY</t>
        </is>
      </c>
      <c r="L1001" s="6" t="n">
        <v>10000</v>
      </c>
      <c r="M1001" s="6" t="n">
        <v>22</v>
      </c>
      <c r="N1001" s="6" t="n">
        <v>1</v>
      </c>
      <c r="O1001" s="6" t="n"/>
      <c r="P1001" s="6" t="n">
        <v>8428</v>
      </c>
      <c r="Q1001" s="6" t="n">
        <v>1.25</v>
      </c>
      <c r="R1001">
        <f>M1001+IF(N1001&gt;1,N(O1001)*(N1001-1),0)</f>
        <v/>
      </c>
      <c r="S1001">
        <f>IFERROR(L1001*MAX(N1001,1)/R1001*IF(ISBLANK(K999),1,K999),0)</f>
        <v/>
      </c>
      <c r="AB1001" s="7" t="inlineStr">
        <is>
          <t>^Warhead_CannonHE_Heavy</t>
        </is>
      </c>
    </row>
    <row r="1002">
      <c r="B1002" s="7" t="inlineStr">
        <is>
          <t xml:space="preserve">  ↳ GhostSniper</t>
        </is>
      </c>
      <c r="C1002" s="7" t="inlineStr">
        <is>
          <t>Armament@GARRISONED</t>
        </is>
      </c>
      <c r="L1002" s="6" t="n">
        <v>10000</v>
      </c>
      <c r="M1002" s="6" t="n">
        <v>22</v>
      </c>
      <c r="N1002" s="6" t="n">
        <v>1</v>
      </c>
      <c r="O1002" s="6" t="n"/>
      <c r="P1002" s="6" t="n">
        <v>8428</v>
      </c>
      <c r="Q1002" s="6" t="n">
        <v>1.25</v>
      </c>
      <c r="R1002">
        <f>M1002+IF(N1002&gt;1,N(O1002)*(N1002-1),0)</f>
        <v/>
      </c>
      <c r="S1002">
        <f>IFERROR(L1002*MAX(N1002,1)/R1002*IF(ISBLANK(K999),1,K999),0)</f>
        <v/>
      </c>
      <c r="AB1002" s="7" t="inlineStr">
        <is>
          <t>^Warhead_CannonHE_Heavy</t>
        </is>
      </c>
    </row>
    <row r="1003">
      <c r="A1003" t="inlineStr">
        <is>
          <t>starcraft</t>
        </is>
      </c>
      <c r="B1003" t="inlineStr">
        <is>
          <t>terran_reaper</t>
        </is>
      </c>
      <c r="C1003" t="inlineStr">
        <is>
          <t>Reaper</t>
        </is>
      </c>
      <c r="D1003" s="6" t="inlineStr">
        <is>
          <t>SniperInfantry</t>
        </is>
      </c>
      <c r="E1003" s="6" t="n">
        <v>60000</v>
      </c>
      <c r="F1003" s="6" t="n">
        <v>120</v>
      </c>
      <c r="G1003" t="inlineStr">
        <is>
          <t>Flak</t>
        </is>
      </c>
      <c r="H1003" s="6" t="n">
        <v>1</v>
      </c>
      <c r="I1003" s="6" t="n">
        <v>0.5</v>
      </c>
      <c r="J1003" s="6" t="n">
        <v>2</v>
      </c>
      <c r="K1003" s="6" t="n"/>
      <c r="P1003">
        <f>MAX(P1004,P1005,P1006)</f>
        <v/>
      </c>
      <c r="S1003">
        <f>S1004+S1005+S1006</f>
        <v/>
      </c>
      <c r="T1003">
        <f>(E1003/100000+F1003/100+(P1003/1000)*J1003/5+S1003/200)*200*I1003*H1003</f>
        <v/>
      </c>
      <c r="U1003">
        <f>((E1003*F1003/25000)+((P1003/1000)*J1003*S1003/2.5))*I1003*H1003</f>
        <v/>
      </c>
      <c r="V1003">
        <f>(E1003*F1003*(P1003/1000)*J1003*S1003*I1003*H1003)/12500000</f>
        <v/>
      </c>
      <c r="W1003">
        <f>(T1003+U1003+V1003)/3</f>
        <v/>
      </c>
      <c r="X1003" s="6" t="n">
        <v>600</v>
      </c>
      <c r="Y1003">
        <f>IFERROR(W1003-X1003,"")</f>
        <v/>
      </c>
      <c r="Z1003">
        <f>IFERROR(ABS(Y1003)/MAX(X1003,1),"")</f>
        <v/>
      </c>
      <c r="AA1003">
        <f>IFERROR((X1003-(((E1003/100000+F1003/100+S1003/200)*200*I1003*H1003)+((E1003*F1003/25000)*I1003*H1003))/3)/(((J1003/5)*200*I1003*H1003)+((J1003*S1003/2.5)*I1003*H1003)+((E1003*F1003*J1003*S1003*I1003*H1003)/12500000))/3*1000,"")</f>
        <v/>
      </c>
    </row>
    <row r="1004">
      <c r="B1004" s="7" t="inlineStr">
        <is>
          <t xml:space="preserve">  ↳ ReaperPistols</t>
        </is>
      </c>
      <c r="C1004" s="7" t="inlineStr">
        <is>
          <t>Armament@PRIMARY</t>
        </is>
      </c>
      <c r="L1004" s="6" t="n">
        <v>4000</v>
      </c>
      <c r="M1004" s="6" t="n">
        <v>22</v>
      </c>
      <c r="N1004" s="6" t="n">
        <v>1</v>
      </c>
      <c r="O1004" s="6" t="n"/>
      <c r="P1004" s="6" t="n">
        <v>4375</v>
      </c>
      <c r="Q1004" s="6" t="n">
        <v>0.75</v>
      </c>
      <c r="R1004">
        <f>M1004+IF(N1004&gt;1,N(O1004)*(N1004-1),0)</f>
        <v/>
      </c>
      <c r="S1004">
        <f>IFERROR(L1004*MAX(N1004,1)/R1004*IF(ISBLANK(K1003),1,K1003),0)</f>
        <v/>
      </c>
      <c r="AB1004" s="7" t="inlineStr">
        <is>
          <t>^Warhead_Sniper_Light</t>
        </is>
      </c>
    </row>
    <row r="1005">
      <c r="B1005" s="7" t="inlineStr">
        <is>
          <t xml:space="preserve">  ↳ ReaperPistols</t>
        </is>
      </c>
      <c r="C1005" s="7" t="inlineStr">
        <is>
          <t>Armament@SECONDARY</t>
        </is>
      </c>
      <c r="L1005" s="6" t="n">
        <v>4000</v>
      </c>
      <c r="M1005" s="6" t="n">
        <v>22</v>
      </c>
      <c r="N1005" s="6" t="n">
        <v>1</v>
      </c>
      <c r="O1005" s="6" t="n"/>
      <c r="P1005" s="6" t="n">
        <v>4375</v>
      </c>
      <c r="Q1005" s="6" t="n">
        <v>0.75</v>
      </c>
      <c r="R1005">
        <f>M1005+IF(N1005&gt;1,N(O1005)*(N1005-1),0)</f>
        <v/>
      </c>
      <c r="S1005">
        <f>IFERROR(L1005*MAX(N1005,1)/R1005*IF(ISBLANK(K1003),1,K1003),0)</f>
        <v/>
      </c>
      <c r="AB1005" s="7" t="inlineStr">
        <is>
          <t>^Warhead_Sniper_Light</t>
        </is>
      </c>
    </row>
    <row r="1006">
      <c r="B1006" s="7" t="inlineStr">
        <is>
          <t xml:space="preserve">  ↳ ReaperGrenade</t>
        </is>
      </c>
      <c r="C1006" s="7" t="inlineStr">
        <is>
          <t>Armament@Grenade</t>
        </is>
      </c>
      <c r="L1006" s="6" t="n">
        <v>12000</v>
      </c>
      <c r="M1006" s="6" t="n">
        <v>45</v>
      </c>
      <c r="N1006" s="6" t="n">
        <v>1</v>
      </c>
      <c r="O1006" s="6" t="n"/>
      <c r="P1006" s="6" t="n">
        <v>4375</v>
      </c>
      <c r="Q1006" s="6" t="n">
        <v>1</v>
      </c>
      <c r="R1006">
        <f>M1006+IF(N1006&gt;1,N(O1006)*(N1006-1),0)</f>
        <v/>
      </c>
      <c r="S1006">
        <f>IFERROR(L1006*MAX(N1006,1)/R1006*IF(ISBLANK(K1003),1,K1003),0)</f>
        <v/>
      </c>
      <c r="AB1006" s="7" t="inlineStr">
        <is>
          <t>^Warhead_Demolition_Light, ^Warhead_Concussion_Medium, ^Warhead_CannonHE_Heavy</t>
        </is>
      </c>
    </row>
    <row r="1007">
      <c r="B1007" s="7" t="inlineStr">
        <is>
          <t xml:space="preserve">  ↳ ReaperPistols</t>
        </is>
      </c>
      <c r="C1007" s="7" t="inlineStr">
        <is>
          <t>Armament@GARRISONED1</t>
        </is>
      </c>
      <c r="L1007" s="6" t="n">
        <v>4000</v>
      </c>
      <c r="M1007" s="6" t="n">
        <v>22</v>
      </c>
      <c r="N1007" s="6" t="n">
        <v>1</v>
      </c>
      <c r="O1007" s="6" t="n"/>
      <c r="P1007" s="6" t="n">
        <v>4375</v>
      </c>
      <c r="Q1007" s="6" t="n">
        <v>0.75</v>
      </c>
      <c r="R1007">
        <f>M1007+IF(N1007&gt;1,N(O1007)*(N1007-1),0)</f>
        <v/>
      </c>
      <c r="S1007">
        <f>IFERROR(L1007*MAX(N1007,1)/R1007*IF(ISBLANK(K1003),1,K1003),0)</f>
        <v/>
      </c>
      <c r="AB1007" s="7" t="inlineStr">
        <is>
          <t>^Warhead_Sniper_Light</t>
        </is>
      </c>
    </row>
    <row r="1008">
      <c r="B1008" s="7" t="inlineStr">
        <is>
          <t xml:space="preserve">  ↳ ReaperPistols</t>
        </is>
      </c>
      <c r="C1008" s="7" t="inlineStr">
        <is>
          <t>Armament@GARRISONED2</t>
        </is>
      </c>
      <c r="L1008" s="6" t="n">
        <v>4000</v>
      </c>
      <c r="M1008" s="6" t="n">
        <v>22</v>
      </c>
      <c r="N1008" s="6" t="n">
        <v>1</v>
      </c>
      <c r="O1008" s="6" t="n"/>
      <c r="P1008" s="6" t="n">
        <v>4375</v>
      </c>
      <c r="Q1008" s="6" t="n">
        <v>0.75</v>
      </c>
      <c r="R1008">
        <f>M1008+IF(N1008&gt;1,N(O1008)*(N1008-1),0)</f>
        <v/>
      </c>
      <c r="S1008">
        <f>IFERROR(L1008*MAX(N1008,1)/R1008*IF(ISBLANK(K1003),1,K1003),0)</f>
        <v/>
      </c>
      <c r="AB1008" s="7" t="inlineStr">
        <is>
          <t>^Warhead_Sniper_Light</t>
        </is>
      </c>
    </row>
    <row r="1009">
      <c r="B1009" s="7" t="inlineStr">
        <is>
          <t xml:space="preserve">  ↳ ReaperGrenade</t>
        </is>
      </c>
      <c r="C1009" s="7" t="inlineStr">
        <is>
          <t>Armament@GARRISONEDGrenade</t>
        </is>
      </c>
      <c r="L1009" s="6" t="n">
        <v>12000</v>
      </c>
      <c r="M1009" s="6" t="n">
        <v>45</v>
      </c>
      <c r="N1009" s="6" t="n">
        <v>1</v>
      </c>
      <c r="O1009" s="6" t="n"/>
      <c r="P1009" s="6" t="n">
        <v>4375</v>
      </c>
      <c r="Q1009" s="6" t="n">
        <v>1</v>
      </c>
      <c r="R1009">
        <f>M1009+IF(N1009&gt;1,N(O1009)*(N1009-1),0)</f>
        <v/>
      </c>
      <c r="S1009">
        <f>IFERROR(L1009*MAX(N1009,1)/R1009*IF(ISBLANK(K1003),1,K1003),0)</f>
        <v/>
      </c>
      <c r="AB1009" s="7" t="inlineStr">
        <is>
          <t>^Warhead_Demolition_Light, ^Warhead_Concussion_Medium, ^Warhead_CannonHE_Heavy</t>
        </is>
      </c>
    </row>
    <row r="1010">
      <c r="A1010" t="inlineStr">
        <is>
          <t>starcraft</t>
        </is>
      </c>
      <c r="B1010" t="inlineStr">
        <is>
          <t>terran_specter</t>
        </is>
      </c>
      <c r="C1010" t="inlineStr">
        <is>
          <t>Specter</t>
        </is>
      </c>
      <c r="D1010" s="6" t="inlineStr">
        <is>
          <t>SniperInfantry</t>
        </is>
      </c>
      <c r="E1010" s="6" t="n">
        <v>50000</v>
      </c>
      <c r="F1010" s="6" t="n">
        <v>80</v>
      </c>
      <c r="G1010" t="inlineStr">
        <is>
          <t>Flak</t>
        </is>
      </c>
      <c r="H1010" s="6" t="n">
        <v>0.75</v>
      </c>
      <c r="I1010" s="6" t="n">
        <v>0.75</v>
      </c>
      <c r="J1010" s="6" t="n">
        <v>1</v>
      </c>
      <c r="K1010" s="6" t="n">
        <v>0.0106</v>
      </c>
      <c r="P1010">
        <f>MAX(P1011,P1012)</f>
        <v/>
      </c>
      <c r="S1010">
        <f>S1011+S1012</f>
        <v/>
      </c>
      <c r="T1010">
        <f>(E1010/100000+F1010/100+(P1010/1000)*J1010/5+S1010/200)*200*I1010*H1010</f>
        <v/>
      </c>
      <c r="U1010">
        <f>((E1010*F1010/25000)+((P1010/1000)*J1010*S1010/2.5))*I1010*H1010</f>
        <v/>
      </c>
      <c r="V1010">
        <f>(E1010*F1010*(P1010/1000)*J1010*S1010*I1010*H1010)/12500000</f>
        <v/>
      </c>
      <c r="W1010">
        <f>(((E1010/15000)+(F1010/50)+(S1010/240)+((P1010/6000)*J1010))*200/4+(((E1010/15000)*(F1010/50))+(((P1010/6000)*J1010)*(S1010/240)))*200/2+((E1010/15000)*(F1010/50)*((P1010/6000)*J1010)*(S1010/240))*200)*(H1010/1.0)/3</f>
        <v/>
      </c>
      <c r="X1010" s="6" t="n">
        <v>1744</v>
      </c>
      <c r="Y1010">
        <f>IFERROR(W1010-X1010,"")</f>
        <v/>
      </c>
      <c r="Z1010">
        <f>IFERROR(ABS(Y1010)/MAX(X1010,1),"")</f>
        <v/>
      </c>
      <c r="AA1010">
        <f>IFERROR(ROUND(((3*X1010-(((E1010/15000)+(F1010/50)+(S1010/240))*200/4+((E1010/15000)*(F1010/50))*200/2)*(H1010/1.0))/(200/4+((S1010/240))*200/2+((E1010/15000)*(F1010/50)*(S1010/240))*200)*(H1010/1.0)*6000)/J1010,-1),"")</f>
        <v/>
      </c>
    </row>
    <row r="1011">
      <c r="B1011" s="7" t="inlineStr">
        <is>
          <t xml:space="preserve">  ↳ SpecterSniperLockdown</t>
        </is>
      </c>
      <c r="C1011" s="7" t="inlineStr">
        <is>
          <t>Armament@lockdown</t>
        </is>
      </c>
      <c r="L1011" s="6" t="n">
        <v>248000</v>
      </c>
      <c r="M1011" s="6" t="n">
        <v>33</v>
      </c>
      <c r="N1011" s="6" t="n">
        <v>1</v>
      </c>
      <c r="O1011" s="6" t="n"/>
      <c r="P1011" s="6" t="n">
        <v>7922</v>
      </c>
      <c r="Q1011" s="6" t="n">
        <v>1.25</v>
      </c>
      <c r="R1011">
        <f>M1011+IF(N1011&gt;1,N(O1011)*(N1011-1),0)</f>
        <v/>
      </c>
      <c r="S1011">
        <f>IFERROR(L1011*MAX(N1011,1)/R1011*IF(ISBLANK(K1010),1,K1010),0)</f>
        <v/>
      </c>
      <c r="AB1011" s="7" t="inlineStr">
        <is>
          <t>^Warhead_Tesla_Super, ^Warhead_CannonHE_Heavy</t>
        </is>
      </c>
    </row>
    <row r="1012">
      <c r="B1012" s="7" t="inlineStr">
        <is>
          <t xml:space="preserve">  ↳ SpecterSniper</t>
        </is>
      </c>
      <c r="C1012" s="7" t="inlineStr">
        <is>
          <t>Armament@PRIMARY</t>
        </is>
      </c>
      <c r="L1012" s="6" t="n">
        <v>20000</v>
      </c>
      <c r="M1012" s="6" t="n">
        <v>33</v>
      </c>
      <c r="N1012" s="6" t="n">
        <v>1</v>
      </c>
      <c r="O1012" s="6" t="n"/>
      <c r="P1012" s="6" t="n">
        <v>7922</v>
      </c>
      <c r="Q1012" s="6" t="n">
        <v>1.25</v>
      </c>
      <c r="R1012">
        <f>M1012+IF(N1012&gt;1,N(O1012)*(N1012-1),0)</f>
        <v/>
      </c>
      <c r="S1012">
        <f>IFERROR(L1012*MAX(N1012,1)/R1012*IF(ISBLANK(K1010),1,K1010),0)</f>
        <v/>
      </c>
      <c r="AB1012" s="7" t="inlineStr">
        <is>
          <t>^Warhead_CannonHE_Heavy</t>
        </is>
      </c>
    </row>
    <row r="1013">
      <c r="B1013" s="7" t="inlineStr">
        <is>
          <t xml:space="preserve">  ↳ SpecterSniper</t>
        </is>
      </c>
      <c r="C1013" s="7" t="inlineStr">
        <is>
          <t>Armament@GARRISONED</t>
        </is>
      </c>
      <c r="L1013" s="6" t="n">
        <v>20000</v>
      </c>
      <c r="M1013" s="6" t="n">
        <v>33</v>
      </c>
      <c r="N1013" s="6" t="n">
        <v>1</v>
      </c>
      <c r="O1013" s="6" t="n"/>
      <c r="P1013" s="6" t="n">
        <v>7922</v>
      </c>
      <c r="Q1013" s="6" t="n">
        <v>1.25</v>
      </c>
      <c r="R1013">
        <f>M1013+IF(N1013&gt;1,N(O1013)*(N1013-1),0)</f>
        <v/>
      </c>
      <c r="S1013">
        <f>IFERROR(L1013*MAX(N1013,1)/R1013*IF(ISBLANK(K1010),1,K1010),0)</f>
        <v/>
      </c>
      <c r="AB1013" s="7" t="inlineStr">
        <is>
          <t>^Warhead_CannonHE_Heavy</t>
        </is>
      </c>
    </row>
    <row r="1014">
      <c r="A1014" t="inlineStr">
        <is>
          <t>warcraft2</t>
        </is>
      </c>
      <c r="B1014" t="inlineStr">
        <is>
          <t>wc2_orcs_deathknight</t>
        </is>
      </c>
      <c r="C1014" t="inlineStr">
        <is>
          <t>Death Knight</t>
        </is>
      </c>
      <c r="D1014" s="6" t="inlineStr">
        <is>
          <t>SniperInfantry</t>
        </is>
      </c>
      <c r="E1014" s="6" t="n">
        <v>50000</v>
      </c>
      <c r="F1014" s="6" t="n">
        <v>65</v>
      </c>
      <c r="G1014" t="inlineStr">
        <is>
          <t>Flak</t>
        </is>
      </c>
      <c r="H1014" s="6" t="n">
        <v>0.6</v>
      </c>
      <c r="I1014" s="6" t="n">
        <v>1</v>
      </c>
      <c r="J1014" s="6" t="n">
        <v>1</v>
      </c>
      <c r="K1014" s="6" t="n"/>
      <c r="P1014">
        <f>MAX(P1015,P1017,P1018,P1019,P1020,P1021,P1022)</f>
        <v/>
      </c>
      <c r="S1014">
        <f>S1015+S1017+S1018+S1019+S1020+S1021+S1022</f>
        <v/>
      </c>
      <c r="T1014">
        <f>(E1014/100000+F1014/100+(P1014/1000)*J1014/5+S1014/200)*200*I1014*H1014</f>
        <v/>
      </c>
      <c r="U1014">
        <f>((E1014*F1014/25000)+((P1014/1000)*J1014*S1014/2.5))*I1014*H1014</f>
        <v/>
      </c>
      <c r="V1014">
        <f>(E1014*F1014*(P1014/1000)*J1014*S1014*I1014*H1014)/12500000</f>
        <v/>
      </c>
      <c r="W1014">
        <f>(T1014+U1014+V1014)/3</f>
        <v/>
      </c>
      <c r="X1014" s="6" t="n">
        <v>1000</v>
      </c>
      <c r="Y1014">
        <f>IFERROR(W1014-X1014,"")</f>
        <v/>
      </c>
      <c r="Z1014">
        <f>IFERROR(ABS(Y1014)/MAX(X1014,1),"")</f>
        <v/>
      </c>
      <c r="AA1014">
        <f>IFERROR((X1014-(((E1014/100000+F1014/100+S1014/200)*200*I1014*H1014)+((E1014*F1014/25000)*I1014*H1014))/3)/(((J1014/5)*200*I1014*H1014)+((J1014*S1014/2.5)*I1014*H1014)+((E1014*F1014*J1014*S1014*I1014*H1014)/12500000))/3*1000,"")</f>
        <v/>
      </c>
    </row>
    <row r="1015">
      <c r="B1015" s="7" t="inlineStr">
        <is>
          <t xml:space="preserve">  ↳ wc2deathknightFire</t>
        </is>
      </c>
      <c r="C1015" s="7" t="inlineStr">
        <is>
          <t>Armament</t>
        </is>
      </c>
      <c r="L1015" s="6" t="n">
        <v>16000</v>
      </c>
      <c r="M1015" s="6" t="n">
        <v>40</v>
      </c>
      <c r="N1015" s="6" t="n">
        <v>1</v>
      </c>
      <c r="O1015" s="6" t="n"/>
      <c r="P1015" s="6" t="n">
        <v>8000</v>
      </c>
      <c r="Q1015" s="6" t="n">
        <v>1.25</v>
      </c>
      <c r="R1015">
        <f>M1015+IF(N1015&gt;1,N(O1015)*(N1015-1),0)</f>
        <v/>
      </c>
      <c r="S1015">
        <f>IFERROR(L1015*MAX(N1015,1)/R1015*IF(ISBLANK(K1014),1,K1014),0)</f>
        <v/>
      </c>
      <c r="AB1015" s="7" t="inlineStr">
        <is>
          <t>^Warhead_Flame_Heavy, ^Warhead_Tesla_Super</t>
        </is>
      </c>
    </row>
    <row r="1016">
      <c r="B1016" s="7" t="inlineStr">
        <is>
          <t xml:space="preserve">  ↳ wc2deathknightFire</t>
        </is>
      </c>
      <c r="C1016" s="7" t="inlineStr">
        <is>
          <t>Armament@GARRISONED</t>
        </is>
      </c>
      <c r="L1016" s="6" t="n">
        <v>16000</v>
      </c>
      <c r="M1016" s="6" t="n">
        <v>40</v>
      </c>
      <c r="N1016" s="6" t="n">
        <v>1</v>
      </c>
      <c r="O1016" s="6" t="n"/>
      <c r="P1016" s="6" t="n">
        <v>8000</v>
      </c>
      <c r="Q1016" s="6" t="n">
        <v>1.25</v>
      </c>
      <c r="R1016">
        <f>M1016+IF(N1016&gt;1,N(O1016)*(N1016-1),0)</f>
        <v/>
      </c>
      <c r="S1016">
        <f>IFERROR(L1016*MAX(N1016,1)/R1016*IF(ISBLANK(K1014),1,K1014),0)</f>
        <v/>
      </c>
      <c r="AB1016" s="7" t="inlineStr">
        <is>
          <t>^Warhead_Flame_Heavy, ^Warhead_Tesla_Super</t>
        </is>
      </c>
    </row>
    <row r="1017">
      <c r="B1017" s="7" t="inlineStr">
        <is>
          <t xml:space="preserve">  ↳ wc2deathknightDeathCoil</t>
        </is>
      </c>
      <c r="C1017" s="7" t="inlineStr">
        <is>
          <t>Armament@DEATHCOIL</t>
        </is>
      </c>
      <c r="L1017" s="6" t="n">
        <v>16000</v>
      </c>
      <c r="M1017" s="6" t="n">
        <v>80</v>
      </c>
      <c r="N1017" s="6" t="n">
        <v>1</v>
      </c>
      <c r="O1017" s="6" t="n"/>
      <c r="P1017" s="6" t="n">
        <v>8000</v>
      </c>
      <c r="Q1017" s="6" t="n">
        <v>1.25</v>
      </c>
      <c r="R1017">
        <f>M1017+IF(N1017&gt;1,N(O1017)*(N1017-1),0)</f>
        <v/>
      </c>
      <c r="S1017">
        <f>IFERROR(L1017*MAX(N1017,1)/R1017*IF(ISBLANK(K1014),1,K1014),0)</f>
        <v/>
      </c>
      <c r="AB1017" s="7" t="inlineStr">
        <is>
          <t>^Warhead_Flame_Heavy, ^Warhead_Tesla_Super</t>
        </is>
      </c>
    </row>
    <row r="1018">
      <c r="B1018" s="7" t="inlineStr">
        <is>
          <t xml:space="preserve">  ↳ wc2deathknightDeathCoilScatter_Left</t>
        </is>
      </c>
      <c r="C1018" s="7" t="inlineStr">
        <is>
          <t>Armament@DEATHCOILSCATTER1</t>
        </is>
      </c>
      <c r="L1018" s="6" t="n">
        <v>16000</v>
      </c>
      <c r="M1018" s="6" t="n">
        <v>80</v>
      </c>
      <c r="N1018" s="6" t="n">
        <v>1</v>
      </c>
      <c r="O1018" s="6" t="n"/>
      <c r="P1018" s="6" t="n">
        <v>8000</v>
      </c>
      <c r="Q1018" s="6" t="n">
        <v>1.25</v>
      </c>
      <c r="R1018">
        <f>M1018+IF(N1018&gt;1,N(O1018)*(N1018-1),0)</f>
        <v/>
      </c>
      <c r="S1018">
        <f>IFERROR(L1018*MAX(N1018,1)/R1018*IF(ISBLANK(K1014),1,K1014),0)</f>
        <v/>
      </c>
      <c r="AB1018" s="7" t="inlineStr">
        <is>
          <t>^Warhead_Flame_Heavy, ^Warhead_Tesla_Super</t>
        </is>
      </c>
    </row>
    <row r="1019">
      <c r="B1019" s="7" t="inlineStr">
        <is>
          <t xml:space="preserve">  ↳ wc2deathknightDeathCoilScatter_Right</t>
        </is>
      </c>
      <c r="C1019" s="7" t="inlineStr">
        <is>
          <t>Armament@DEATHCOILSCATTER2</t>
        </is>
      </c>
      <c r="L1019" s="6" t="n">
        <v>16000</v>
      </c>
      <c r="M1019" s="6" t="n">
        <v>80</v>
      </c>
      <c r="N1019" s="6" t="n">
        <v>1</v>
      </c>
      <c r="O1019" s="6" t="n"/>
      <c r="P1019" s="6" t="n">
        <v>8000</v>
      </c>
      <c r="Q1019" s="6" t="n">
        <v>1.25</v>
      </c>
      <c r="R1019">
        <f>M1019+IF(N1019&gt;1,N(O1019)*(N1019-1),0)</f>
        <v/>
      </c>
      <c r="S1019">
        <f>IFERROR(L1019*MAX(N1019,1)/R1019*IF(ISBLANK(K1014),1,K1014),0)</f>
        <v/>
      </c>
      <c r="AB1019" s="7" t="inlineStr">
        <is>
          <t>^Warhead_Flame_Heavy, ^Warhead_Tesla_Super</t>
        </is>
      </c>
    </row>
    <row r="1020">
      <c r="B1020" s="7" t="inlineStr">
        <is>
          <t xml:space="preserve">  ↳ wc2deathknightHaste</t>
        </is>
      </c>
      <c r="C1020" s="7" t="inlineStr">
        <is>
          <t>Armament@HASTE</t>
        </is>
      </c>
      <c r="L1020" s="6" t="n">
        <v>1</v>
      </c>
      <c r="M1020" s="6" t="n">
        <v>60</v>
      </c>
      <c r="N1020" s="6" t="n">
        <v>1</v>
      </c>
      <c r="O1020" s="6" t="n"/>
      <c r="P1020" s="6" t="n">
        <v>5120</v>
      </c>
      <c r="Q1020" s="6" t="n">
        <v>1</v>
      </c>
      <c r="R1020">
        <f>M1020+IF(N1020&gt;1,N(O1020)*(N1020-1),0)</f>
        <v/>
      </c>
      <c r="S1020">
        <f>IFERROR(L1020*MAX(N1020,1)/R1020*IF(ISBLANK(K1014),1,K1014),0)</f>
        <v/>
      </c>
      <c r="AB1020" s="7" t="inlineStr"/>
    </row>
    <row r="1021">
      <c r="B1021" s="7" t="inlineStr">
        <is>
          <t xml:space="preserve">  ↳ wc2deathknightDeathAndDecay</t>
        </is>
      </c>
      <c r="C1021" s="7" t="inlineStr">
        <is>
          <t>Armament@DEATHANDDECAY</t>
        </is>
      </c>
      <c r="L1021" s="6" t="n">
        <v>1</v>
      </c>
      <c r="M1021" s="6" t="n">
        <v>50</v>
      </c>
      <c r="N1021" s="6" t="n">
        <v>1</v>
      </c>
      <c r="O1021" s="6" t="n"/>
      <c r="P1021" s="6" t="n">
        <v>8000</v>
      </c>
      <c r="Q1021" s="6" t="n">
        <v>1</v>
      </c>
      <c r="R1021">
        <f>M1021+IF(N1021&gt;1,N(O1021)*(N1021-1),0)</f>
        <v/>
      </c>
      <c r="S1021">
        <f>IFERROR(L1021*MAX(N1021,1)/R1021*IF(ISBLANK(K1014),1,K1014),0)</f>
        <v/>
      </c>
      <c r="AB1021" s="7" t="inlineStr">
        <is>
          <t>wc2mageBlizzard</t>
        </is>
      </c>
    </row>
    <row r="1022">
      <c r="B1022" s="7" t="inlineStr">
        <is>
          <t xml:space="preserve">  ↳ wc2deathknightRaiseDead</t>
        </is>
      </c>
      <c r="C1022" s="7" t="inlineStr">
        <is>
          <t>Armament@RAISEDEAD</t>
        </is>
      </c>
      <c r="L1022" s="6" t="n">
        <v>0</v>
      </c>
      <c r="M1022" s="6" t="n">
        <v>60</v>
      </c>
      <c r="N1022" s="6" t="n">
        <v>1</v>
      </c>
      <c r="O1022" s="6" t="n"/>
      <c r="P1022" s="6" t="n">
        <v>5120</v>
      </c>
      <c r="Q1022" s="6" t="n">
        <v>1</v>
      </c>
      <c r="R1022">
        <f>M1022+IF(N1022&gt;1,N(O1022)*(N1022-1),0)</f>
        <v/>
      </c>
      <c r="S1022">
        <f>IFERROR(L1022*MAX(N1022,1)/R1022*IF(ISBLANK(K1014),1,K1014),0)</f>
        <v/>
      </c>
      <c r="AB1022" s="7" t="inlineStr"/>
    </row>
    <row r="1023">
      <c r="A1023" t="inlineStr">
        <is>
          <t>warcraft2</t>
        </is>
      </c>
      <c r="B1023" t="inlineStr">
        <is>
          <t>wc2_humans_archmage</t>
        </is>
      </c>
      <c r="C1023" t="inlineStr">
        <is>
          <t>Archmage</t>
        </is>
      </c>
      <c r="D1023" s="6" t="inlineStr">
        <is>
          <t>SniperInfantry</t>
        </is>
      </c>
      <c r="E1023" s="6" t="n">
        <v>50000</v>
      </c>
      <c r="F1023" s="6" t="n">
        <v>65</v>
      </c>
      <c r="G1023" t="inlineStr">
        <is>
          <t>Flak</t>
        </is>
      </c>
      <c r="H1023" s="6" t="n">
        <v>0.6</v>
      </c>
      <c r="I1023" s="6" t="n">
        <v>1</v>
      </c>
      <c r="J1023" s="6" t="n">
        <v>1</v>
      </c>
      <c r="K1023" s="6" t="n"/>
      <c r="P1023">
        <f>MAX(P1024,P1026,P1027,P1028,P1030)</f>
        <v/>
      </c>
      <c r="S1023">
        <f>S1024+S1026+S1027+S1028+S1030</f>
        <v/>
      </c>
      <c r="T1023">
        <f>(E1023/100000+F1023/100+(P1023/1000)*J1023/5+S1023/200)*200*I1023*H1023</f>
        <v/>
      </c>
      <c r="U1023">
        <f>((E1023*F1023/25000)+((P1023/1000)*J1023*S1023/2.5))*I1023*H1023</f>
        <v/>
      </c>
      <c r="V1023">
        <f>(E1023*F1023*(P1023/1000)*J1023*S1023*I1023*H1023)/12500000</f>
        <v/>
      </c>
      <c r="W1023">
        <f>(T1023+U1023+V1023)/3</f>
        <v/>
      </c>
      <c r="X1023" s="6" t="n">
        <v>1000</v>
      </c>
      <c r="Y1023">
        <f>IFERROR(W1023-X1023,"")</f>
        <v/>
      </c>
      <c r="Z1023">
        <f>IFERROR(ABS(Y1023)/MAX(X1023,1),"")</f>
        <v/>
      </c>
      <c r="AA1023">
        <f>IFERROR((X1023-(((E1023/100000+F1023/100+S1023/200)*200*I1023*H1023)+((E1023*F1023/25000)*I1023*H1023))/3)/(((J1023/5)*200*I1023*H1023)+((J1023*S1023/2.5)*I1023*H1023)+((E1023*F1023*J1023*S1023*I1023*H1023)/12500000))/3*1000,"")</f>
        <v/>
      </c>
    </row>
    <row r="1024">
      <c r="B1024" s="7" t="inlineStr">
        <is>
          <t xml:space="preserve">  ↳ wc2mageFire</t>
        </is>
      </c>
      <c r="C1024" s="7" t="inlineStr">
        <is>
          <t>Armament</t>
        </is>
      </c>
      <c r="L1024" s="6" t="n">
        <v>8000</v>
      </c>
      <c r="M1024" s="6" t="n">
        <v>40</v>
      </c>
      <c r="N1024" s="6" t="n">
        <v>1</v>
      </c>
      <c r="O1024" s="6" t="n"/>
      <c r="P1024" s="6" t="n">
        <v>8000</v>
      </c>
      <c r="Q1024" s="6" t="n">
        <v>1</v>
      </c>
      <c r="R1024">
        <f>M1024+IF(N1024&gt;1,N(O1024)*(N1024-1),0)</f>
        <v/>
      </c>
      <c r="S1024">
        <f>IFERROR(L1024*MAX(N1024,1)/R1024*IF(ISBLANK(K1023),1,K1023),0)</f>
        <v/>
      </c>
      <c r="AB1024" s="7" t="inlineStr">
        <is>
          <t>^Warhead_Tesla_Super</t>
        </is>
      </c>
    </row>
    <row r="1025">
      <c r="B1025" s="7" t="inlineStr">
        <is>
          <t xml:space="preserve">  ↳ wc2mageFire</t>
        </is>
      </c>
      <c r="C1025" s="7" t="inlineStr">
        <is>
          <t>Armament@GARRISONED</t>
        </is>
      </c>
      <c r="L1025" s="6" t="n">
        <v>8000</v>
      </c>
      <c r="M1025" s="6" t="n">
        <v>40</v>
      </c>
      <c r="N1025" s="6" t="n">
        <v>1</v>
      </c>
      <c r="O1025" s="6" t="n"/>
      <c r="P1025" s="6" t="n">
        <v>8000</v>
      </c>
      <c r="Q1025" s="6" t="n">
        <v>1</v>
      </c>
      <c r="R1025">
        <f>M1025+IF(N1025&gt;1,N(O1025)*(N1025-1),0)</f>
        <v/>
      </c>
      <c r="S1025">
        <f>IFERROR(L1025*MAX(N1025,1)/R1025*IF(ISBLANK(K1023),1,K1023),0)</f>
        <v/>
      </c>
      <c r="AB1025" s="7" t="inlineStr">
        <is>
          <t>^Warhead_Tesla_Super</t>
        </is>
      </c>
    </row>
    <row r="1026">
      <c r="B1026" s="7" t="inlineStr">
        <is>
          <t xml:space="preserve">  ↳ wc2mageFireballVisible</t>
        </is>
      </c>
      <c r="C1026" s="7" t="inlineStr">
        <is>
          <t>Armament@FIREBALL_VISIBLE</t>
        </is>
      </c>
      <c r="L1026" s="6" t="n">
        <v>18000</v>
      </c>
      <c r="M1026" s="6" t="n">
        <v>80</v>
      </c>
      <c r="N1026" s="6" t="n">
        <v>1</v>
      </c>
      <c r="O1026" s="6" t="n"/>
      <c r="P1026" s="6" t="n">
        <v>8000</v>
      </c>
      <c r="Q1026" s="6" t="n">
        <v>1</v>
      </c>
      <c r="R1026">
        <f>M1026+IF(N1026&gt;1,N(O1026)*(N1026-1),0)</f>
        <v/>
      </c>
      <c r="S1026">
        <f>IFERROR(L1026*MAX(N1026,1)/R1026*IF(ISBLANK(K1023),1,K1023),0)</f>
        <v/>
      </c>
      <c r="AB1026" s="7" t="inlineStr">
        <is>
          <t>^TankDestroyerCannon, ^MediumCannon, ^HeavyCannon, ^Grenade, ^ShrapnelWeapon, ^HeavyBomb, ^MediumMissile, ^Chaingun, ^FlakWeapon</t>
        </is>
      </c>
    </row>
    <row r="1027">
      <c r="B1027" s="7" t="inlineStr">
        <is>
          <t xml:space="preserve">  ↳ wc2mageFireballExplosion</t>
        </is>
      </c>
      <c r="C1027" s="7" t="inlineStr">
        <is>
          <t>Armament@FIREBALL_EXPLOSIONS</t>
        </is>
      </c>
      <c r="L1027" s="6" t="n">
        <v>18000</v>
      </c>
      <c r="M1027" s="6" t="n">
        <v>80</v>
      </c>
      <c r="N1027" s="6" t="n">
        <v>5</v>
      </c>
      <c r="O1027" s="6" t="n">
        <v>0</v>
      </c>
      <c r="P1027" s="6" t="n">
        <v>8000</v>
      </c>
      <c r="Q1027" s="6" t="n">
        <v>1</v>
      </c>
      <c r="R1027">
        <f>M1027+IF(N1027&gt;1,N(O1027)*(N1027-1),0)</f>
        <v/>
      </c>
      <c r="S1027">
        <f>IFERROR(L1027*MAX(N1027,1)/R1027*IF(ISBLANK(K1023),1,K1023),0)</f>
        <v/>
      </c>
      <c r="AB1027" s="7" t="inlineStr">
        <is>
          <t>wc2mageFireballVisible</t>
        </is>
      </c>
    </row>
    <row r="1028">
      <c r="B1028" s="7" t="inlineStr">
        <is>
          <t xml:space="preserve">  ↳ wc2mageSlow</t>
        </is>
      </c>
      <c r="C1028" s="7" t="inlineStr">
        <is>
          <t>Armament@SLOW</t>
        </is>
      </c>
      <c r="L1028" s="6" t="n">
        <v>1</v>
      </c>
      <c r="M1028" s="6" t="n">
        <v>60</v>
      </c>
      <c r="N1028" s="6" t="n">
        <v>1</v>
      </c>
      <c r="O1028" s="6" t="n"/>
      <c r="P1028" s="6" t="n">
        <v>8000</v>
      </c>
      <c r="Q1028" s="6" t="n">
        <v>1</v>
      </c>
      <c r="R1028">
        <f>M1028+IF(N1028&gt;1,N(O1028)*(N1028-1),0)</f>
        <v/>
      </c>
      <c r="S1028">
        <f>IFERROR(L1028*MAX(N1028,1)/R1028*IF(ISBLANK(K1023),1,K1023),0)</f>
        <v/>
      </c>
      <c r="AB1028" s="7" t="inlineStr"/>
    </row>
    <row r="1029">
      <c r="B1029" s="7" t="inlineStr">
        <is>
          <t xml:space="preserve">  ↳ wc2magePolymorph</t>
        </is>
      </c>
      <c r="C1029" s="7" t="inlineStr">
        <is>
          <t>Armament@POLYMORPH</t>
        </is>
      </c>
      <c r="L1029" s="6" t="n"/>
      <c r="M1029" s="6" t="n">
        <v>60</v>
      </c>
      <c r="N1029" s="6" t="n">
        <v>1</v>
      </c>
      <c r="O1029" s="6" t="n"/>
      <c r="P1029" s="6" t="n">
        <v>8000</v>
      </c>
      <c r="Q1029" s="6" t="n">
        <v>1</v>
      </c>
      <c r="R1029">
        <f>M1029+IF(N1029&gt;1,N(O1029)*(N1029-1),0)</f>
        <v/>
      </c>
      <c r="S1029">
        <f>IFERROR(L1029*MAX(N1029,1)/R1029*IF(ISBLANK(K1023),1,K1023),0)</f>
        <v/>
      </c>
      <c r="AB1029" s="7" t="inlineStr"/>
    </row>
    <row r="1030">
      <c r="B1030" s="7" t="inlineStr">
        <is>
          <t xml:space="preserve">  ↳ wc2mageBlizzard</t>
        </is>
      </c>
      <c r="C1030" s="7" t="inlineStr">
        <is>
          <t>Armament@BLIZZARD</t>
        </is>
      </c>
      <c r="L1030" s="6" t="n">
        <v>1</v>
      </c>
      <c r="M1030" s="6" t="n">
        <v>50</v>
      </c>
      <c r="N1030" s="6" t="n">
        <v>1</v>
      </c>
      <c r="O1030" s="6" t="n"/>
      <c r="P1030" s="6" t="n">
        <v>8000</v>
      </c>
      <c r="Q1030" s="6" t="n">
        <v>1</v>
      </c>
      <c r="R1030">
        <f>M1030+IF(N1030&gt;1,N(O1030)*(N1030-1),0)</f>
        <v/>
      </c>
      <c r="S1030">
        <f>IFERROR(L1030*MAX(N1030,1)/R1030*IF(ISBLANK(K1023),1,K1023),0)</f>
        <v/>
      </c>
      <c r="AB1030" s="7" t="inlineStr"/>
    </row>
    <row r="1031">
      <c r="A1031" t="inlineStr">
        <is>
          <t>warcraft2</t>
        </is>
      </c>
      <c r="B1031" t="inlineStr">
        <is>
          <t>wc2_humans_highelfpriest</t>
        </is>
      </c>
      <c r="C1031" t="inlineStr">
        <is>
          <t>High Elf priest</t>
        </is>
      </c>
      <c r="D1031" s="6" t="inlineStr">
        <is>
          <t>SniperInfantry</t>
        </is>
      </c>
      <c r="E1031" s="6" t="n">
        <v>50000</v>
      </c>
      <c r="F1031" s="6" t="n">
        <v>65</v>
      </c>
      <c r="G1031" t="inlineStr">
        <is>
          <t>Flak</t>
        </is>
      </c>
      <c r="H1031" s="6" t="n">
        <v>0.6</v>
      </c>
      <c r="I1031" s="6" t="n">
        <v>1</v>
      </c>
      <c r="J1031" s="6" t="n">
        <v>1</v>
      </c>
      <c r="K1031" s="6" t="n"/>
      <c r="P1031">
        <f>MAX(P1032,P1033,P1034)</f>
        <v/>
      </c>
      <c r="S1031">
        <f>S1032+S1033+S1034</f>
        <v/>
      </c>
      <c r="T1031">
        <f>(E1031/100000+F1031/100+(P1031/1000)*J1031/5+S1031/200)*200*I1031*H1031</f>
        <v/>
      </c>
      <c r="U1031">
        <f>((E1031*F1031/25000)+((P1031/1000)*J1031*S1031/2.5))*I1031*H1031</f>
        <v/>
      </c>
      <c r="V1031">
        <f>(E1031*F1031*(P1031/1000)*J1031*S1031*I1031*H1031)/12500000</f>
        <v/>
      </c>
      <c r="W1031">
        <f>(T1031+U1031+V1031)/3</f>
        <v/>
      </c>
      <c r="X1031" s="6" t="n">
        <v>1000</v>
      </c>
      <c r="Y1031">
        <f>IFERROR(W1031-X1031,"")</f>
        <v/>
      </c>
      <c r="Z1031">
        <f>IFERROR(ABS(Y1031)/MAX(X1031,1),"")</f>
        <v/>
      </c>
      <c r="AA1031">
        <f>IFERROR((X1031-(((E1031/100000+F1031/100+S1031/200)*200*I1031*H1031)+((E1031*F1031/25000)*I1031*H1031))/3)/(((J1031/5)*200*I1031*H1031)+((J1031*S1031/2.5)*I1031*H1031)+((E1031*F1031*J1031*S1031*I1031*H1031)/12500000))/3*1000,"")</f>
        <v/>
      </c>
    </row>
    <row r="1032">
      <c r="B1032" s="7" t="inlineStr">
        <is>
          <t xml:space="preserve">  ↳ wc2mageFire</t>
        </is>
      </c>
      <c r="C1032" s="7" t="inlineStr">
        <is>
          <t>Armament</t>
        </is>
      </c>
      <c r="L1032" s="6" t="n">
        <v>8000</v>
      </c>
      <c r="M1032" s="6" t="n">
        <v>40</v>
      </c>
      <c r="N1032" s="6" t="n">
        <v>1</v>
      </c>
      <c r="O1032" s="6" t="n"/>
      <c r="P1032" s="6" t="n">
        <v>8000</v>
      </c>
      <c r="Q1032" s="6" t="n">
        <v>1</v>
      </c>
      <c r="R1032">
        <f>M1032+IF(N1032&gt;1,N(O1032)*(N1032-1),0)</f>
        <v/>
      </c>
      <c r="S1032">
        <f>IFERROR(L1032*MAX(N1032,1)/R1032*IF(ISBLANK(K1031),1,K1031),0)</f>
        <v/>
      </c>
      <c r="AB1032" s="7" t="inlineStr">
        <is>
          <t>^Warhead_Tesla_Super</t>
        </is>
      </c>
    </row>
    <row r="1033">
      <c r="B1033" s="7" t="inlineStr">
        <is>
          <t xml:space="preserve">  ↳ wc2priesthealing</t>
        </is>
      </c>
      <c r="C1033" s="7" t="inlineStr">
        <is>
          <t>Armament@HEAL</t>
        </is>
      </c>
      <c r="L1033" s="6" t="n">
        <v>-5000</v>
      </c>
      <c r="M1033" s="6" t="n">
        <v>40</v>
      </c>
      <c r="N1033" s="6" t="n">
        <v>1</v>
      </c>
      <c r="O1033" s="6" t="n"/>
      <c r="P1033" s="6" t="n">
        <v>5120</v>
      </c>
      <c r="Q1033" s="6" t="n">
        <v>1</v>
      </c>
      <c r="R1033">
        <f>M1033+IF(N1033&gt;1,N(O1033)*(N1033-1),0)</f>
        <v/>
      </c>
      <c r="S1033">
        <f>IFERROR(L1033*MAX(N1033,1)/R1033*IF(ISBLANK(K1031),1,K1031),0)</f>
        <v/>
      </c>
      <c r="AB1033" s="7" t="inlineStr"/>
    </row>
    <row r="1034">
      <c r="B1034" s="7" t="inlineStr">
        <is>
          <t xml:space="preserve">  ↳ wc2paladinexorcism</t>
        </is>
      </c>
      <c r="C1034" s="7" t="inlineStr">
        <is>
          <t>Armament@EXORCISM</t>
        </is>
      </c>
      <c r="L1034" s="6" t="n">
        <v>4025</v>
      </c>
      <c r="M1034" s="6" t="n">
        <v>60</v>
      </c>
      <c r="N1034" s="6" t="n">
        <v>1</v>
      </c>
      <c r="O1034" s="6" t="n"/>
      <c r="P1034" s="6" t="n">
        <v>5120</v>
      </c>
      <c r="Q1034" s="6" t="n">
        <v>1</v>
      </c>
      <c r="R1034">
        <f>M1034+IF(N1034&gt;1,N(O1034)*(N1034-1),0)</f>
        <v/>
      </c>
      <c r="S1034">
        <f>IFERROR(L1034*MAX(N1034,1)/R1034*IF(ISBLANK(K1031),1,K1031),0)</f>
        <v/>
      </c>
      <c r="AB1034" s="7" t="inlineStr"/>
    </row>
    <row r="1035">
      <c r="A1035" t="inlineStr">
        <is>
          <t>warcraft2</t>
        </is>
      </c>
      <c r="B1035" t="inlineStr">
        <is>
          <t>wc2_humans_highelfsorceress</t>
        </is>
      </c>
      <c r="C1035" t="inlineStr">
        <is>
          <t>High Elf Sorceress</t>
        </is>
      </c>
      <c r="D1035" s="6" t="inlineStr">
        <is>
          <t>SniperInfantry</t>
        </is>
      </c>
      <c r="E1035" s="6" t="n">
        <v>50000</v>
      </c>
      <c r="F1035" s="6" t="n">
        <v>65</v>
      </c>
      <c r="G1035" t="inlineStr">
        <is>
          <t>Flak</t>
        </is>
      </c>
      <c r="H1035" s="6" t="n">
        <v>0.6</v>
      </c>
      <c r="I1035" s="6" t="n">
        <v>1</v>
      </c>
      <c r="J1035" s="6" t="n">
        <v>1</v>
      </c>
      <c r="K1035" s="6" t="n"/>
      <c r="P1035">
        <f>MAX(P1036,P1037,P1038)</f>
        <v/>
      </c>
      <c r="S1035">
        <f>S1036+S1037+S1038</f>
        <v/>
      </c>
      <c r="T1035">
        <f>(E1035/100000+F1035/100+(P1035/1000)*J1035/5+S1035/200)*200*I1035*H1035</f>
        <v/>
      </c>
      <c r="U1035">
        <f>((E1035*F1035/25000)+((P1035/1000)*J1035*S1035/2.5))*I1035*H1035</f>
        <v/>
      </c>
      <c r="V1035">
        <f>(E1035*F1035*(P1035/1000)*J1035*S1035*I1035*H1035)/12500000</f>
        <v/>
      </c>
      <c r="W1035">
        <f>(T1035+U1035+V1035)/3</f>
        <v/>
      </c>
      <c r="X1035" s="6" t="n">
        <v>1000</v>
      </c>
      <c r="Y1035">
        <f>IFERROR(W1035-X1035,"")</f>
        <v/>
      </c>
      <c r="Z1035">
        <f>IFERROR(ABS(Y1035)/MAX(X1035,1),"")</f>
        <v/>
      </c>
      <c r="AA1035">
        <f>IFERROR((X1035-(((E1035/100000+F1035/100+S1035/200)*200*I1035*H1035)+((E1035*F1035/25000)*I1035*H1035))/3)/(((J1035/5)*200*I1035*H1035)+((J1035*S1035/2.5)*I1035*H1035)+((E1035*F1035*J1035*S1035*I1035*H1035)/12500000))/3*1000,"")</f>
        <v/>
      </c>
    </row>
    <row r="1036">
      <c r="B1036" s="7" t="inlineStr">
        <is>
          <t xml:space="preserve">  ↳ wc2mageFire</t>
        </is>
      </c>
      <c r="C1036" s="7" t="inlineStr">
        <is>
          <t>Armament</t>
        </is>
      </c>
      <c r="L1036" s="6" t="n">
        <v>8000</v>
      </c>
      <c r="M1036" s="6" t="n">
        <v>40</v>
      </c>
      <c r="N1036" s="6" t="n">
        <v>1</v>
      </c>
      <c r="O1036" s="6" t="n"/>
      <c r="P1036" s="6" t="n">
        <v>8000</v>
      </c>
      <c r="Q1036" s="6" t="n">
        <v>1</v>
      </c>
      <c r="R1036">
        <f>M1036+IF(N1036&gt;1,N(O1036)*(N1036-1),0)</f>
        <v/>
      </c>
      <c r="S1036">
        <f>IFERROR(L1036*MAX(N1036,1)/R1036*IF(ISBLANK(K1035),1,K1035),0)</f>
        <v/>
      </c>
      <c r="AB1036" s="7" t="inlineStr">
        <is>
          <t>^Warhead_Tesla_Super</t>
        </is>
      </c>
    </row>
    <row r="1037">
      <c r="B1037" s="7" t="inlineStr">
        <is>
          <t xml:space="preserve">  ↳ wc2paladinhealing</t>
        </is>
      </c>
      <c r="C1037" s="7" t="inlineStr">
        <is>
          <t>Armament@HEAL</t>
        </is>
      </c>
      <c r="L1037" s="6" t="n">
        <v>-4025</v>
      </c>
      <c r="M1037" s="6" t="n">
        <v>60</v>
      </c>
      <c r="N1037" s="6" t="n">
        <v>1</v>
      </c>
      <c r="O1037" s="6" t="n"/>
      <c r="P1037" s="6" t="n">
        <v>5120</v>
      </c>
      <c r="Q1037" s="6" t="n">
        <v>1</v>
      </c>
      <c r="R1037">
        <f>M1037+IF(N1037&gt;1,N(O1037)*(N1037-1),0)</f>
        <v/>
      </c>
      <c r="S1037">
        <f>IFERROR(L1037*MAX(N1037,1)/R1037*IF(ISBLANK(K1035),1,K1035),0)</f>
        <v/>
      </c>
      <c r="AB1037" s="7" t="inlineStr"/>
    </row>
    <row r="1038">
      <c r="B1038" s="7" t="inlineStr">
        <is>
          <t xml:space="preserve">  ↳ wc2paladinexorcism</t>
        </is>
      </c>
      <c r="C1038" s="7" t="inlineStr">
        <is>
          <t>Armament@EXORCISM</t>
        </is>
      </c>
      <c r="L1038" s="6" t="n">
        <v>4025</v>
      </c>
      <c r="M1038" s="6" t="n">
        <v>60</v>
      </c>
      <c r="N1038" s="6" t="n">
        <v>1</v>
      </c>
      <c r="O1038" s="6" t="n"/>
      <c r="P1038" s="6" t="n">
        <v>5120</v>
      </c>
      <c r="Q1038" s="6" t="n">
        <v>1</v>
      </c>
      <c r="R1038">
        <f>M1038+IF(N1038&gt;1,N(O1038)*(N1038-1),0)</f>
        <v/>
      </c>
      <c r="S1038">
        <f>IFERROR(L1038*MAX(N1038,1)/R1038*IF(ISBLANK(K1035),1,K1035),0)</f>
        <v/>
      </c>
      <c r="AB1038" s="7" t="inlineStr"/>
    </row>
    <row r="1039">
      <c r="A1039" t="inlineStr">
        <is>
          <t>warcraft2</t>
        </is>
      </c>
      <c r="B1039" t="inlineStr">
        <is>
          <t>wc2_humans_mage</t>
        </is>
      </c>
      <c r="C1039" t="inlineStr">
        <is>
          <t>Mage</t>
        </is>
      </c>
      <c r="D1039" s="6" t="inlineStr">
        <is>
          <t>SniperInfantry</t>
        </is>
      </c>
      <c r="E1039" s="6" t="n">
        <v>50000</v>
      </c>
      <c r="F1039" s="6" t="n">
        <v>65</v>
      </c>
      <c r="G1039" t="inlineStr">
        <is>
          <t>Flak</t>
        </is>
      </c>
      <c r="H1039" s="6" t="n">
        <v>0.6</v>
      </c>
      <c r="I1039" s="6" t="n">
        <v>1</v>
      </c>
      <c r="J1039" s="6" t="n">
        <v>1</v>
      </c>
      <c r="K1039" s="6" t="n"/>
      <c r="P1039">
        <f>MAX(P1040,P1042,P1043,P1044,P1046)</f>
        <v/>
      </c>
      <c r="S1039">
        <f>S1040+S1042+S1043+S1044+S1046</f>
        <v/>
      </c>
      <c r="T1039">
        <f>(E1039/100000+F1039/100+(P1039/1000)*J1039/5+S1039/200)*200*I1039*H1039</f>
        <v/>
      </c>
      <c r="U1039">
        <f>((E1039*F1039/25000)+((P1039/1000)*J1039*S1039/2.5))*I1039*H1039</f>
        <v/>
      </c>
      <c r="V1039">
        <f>(E1039*F1039*(P1039/1000)*J1039*S1039*I1039*H1039)/12500000</f>
        <v/>
      </c>
      <c r="W1039">
        <f>(T1039+U1039+V1039)/3</f>
        <v/>
      </c>
      <c r="X1039" s="6" t="n">
        <v>1000</v>
      </c>
      <c r="Y1039">
        <f>IFERROR(W1039-X1039,"")</f>
        <v/>
      </c>
      <c r="Z1039">
        <f>IFERROR(ABS(Y1039)/MAX(X1039,1),"")</f>
        <v/>
      </c>
      <c r="AA1039">
        <f>IFERROR((X1039-(((E1039/100000+F1039/100+S1039/200)*200*I1039*H1039)+((E1039*F1039/25000)*I1039*H1039))/3)/(((J1039/5)*200*I1039*H1039)+((J1039*S1039/2.5)*I1039*H1039)+((E1039*F1039*J1039*S1039*I1039*H1039)/12500000))/3*1000,"")</f>
        <v/>
      </c>
    </row>
    <row r="1040">
      <c r="B1040" s="7" t="inlineStr">
        <is>
          <t xml:space="preserve">  ↳ wc2mageFire</t>
        </is>
      </c>
      <c r="C1040" s="7" t="inlineStr">
        <is>
          <t>Armament</t>
        </is>
      </c>
      <c r="L1040" s="6" t="n">
        <v>8000</v>
      </c>
      <c r="M1040" s="6" t="n">
        <v>40</v>
      </c>
      <c r="N1040" s="6" t="n">
        <v>1</v>
      </c>
      <c r="O1040" s="6" t="n"/>
      <c r="P1040" s="6" t="n">
        <v>8000</v>
      </c>
      <c r="Q1040" s="6" t="n">
        <v>1</v>
      </c>
      <c r="R1040">
        <f>M1040+IF(N1040&gt;1,N(O1040)*(N1040-1),0)</f>
        <v/>
      </c>
      <c r="S1040">
        <f>IFERROR(L1040*MAX(N1040,1)/R1040*IF(ISBLANK(K1039),1,K1039),0)</f>
        <v/>
      </c>
      <c r="AB1040" s="7" t="inlineStr">
        <is>
          <t>^Warhead_Tesla_Super</t>
        </is>
      </c>
    </row>
    <row r="1041">
      <c r="B1041" s="7" t="inlineStr">
        <is>
          <t xml:space="preserve">  ↳ wc2mageFire</t>
        </is>
      </c>
      <c r="C1041" s="7" t="inlineStr">
        <is>
          <t>Armament@GARRISONED</t>
        </is>
      </c>
      <c r="L1041" s="6" t="n">
        <v>8000</v>
      </c>
      <c r="M1041" s="6" t="n">
        <v>40</v>
      </c>
      <c r="N1041" s="6" t="n">
        <v>1</v>
      </c>
      <c r="O1041" s="6" t="n"/>
      <c r="P1041" s="6" t="n">
        <v>8000</v>
      </c>
      <c r="Q1041" s="6" t="n">
        <v>1</v>
      </c>
      <c r="R1041">
        <f>M1041+IF(N1041&gt;1,N(O1041)*(N1041-1),0)</f>
        <v/>
      </c>
      <c r="S1041">
        <f>IFERROR(L1041*MAX(N1041,1)/R1041*IF(ISBLANK(K1039),1,K1039),0)</f>
        <v/>
      </c>
      <c r="AB1041" s="7" t="inlineStr">
        <is>
          <t>^Warhead_Tesla_Super</t>
        </is>
      </c>
    </row>
    <row r="1042">
      <c r="B1042" s="7" t="inlineStr">
        <is>
          <t xml:space="preserve">  ↳ wc2mageFireballVisible</t>
        </is>
      </c>
      <c r="C1042" s="7" t="inlineStr">
        <is>
          <t>Armament@FIREBALL_VISIBLE</t>
        </is>
      </c>
      <c r="L1042" s="6" t="n">
        <v>18000</v>
      </c>
      <c r="M1042" s="6" t="n">
        <v>80</v>
      </c>
      <c r="N1042" s="6" t="n">
        <v>1</v>
      </c>
      <c r="O1042" s="6" t="n"/>
      <c r="P1042" s="6" t="n">
        <v>8000</v>
      </c>
      <c r="Q1042" s="6" t="n">
        <v>1</v>
      </c>
      <c r="R1042">
        <f>M1042+IF(N1042&gt;1,N(O1042)*(N1042-1),0)</f>
        <v/>
      </c>
      <c r="S1042">
        <f>IFERROR(L1042*MAX(N1042,1)/R1042*IF(ISBLANK(K1039),1,K1039),0)</f>
        <v/>
      </c>
      <c r="AB1042" s="7" t="inlineStr">
        <is>
          <t>^TankDestroyerCannon, ^MediumCannon, ^HeavyCannon, ^Grenade, ^ShrapnelWeapon, ^HeavyBomb, ^MediumMissile, ^Chaingun, ^FlakWeapon</t>
        </is>
      </c>
    </row>
    <row r="1043">
      <c r="B1043" s="7" t="inlineStr">
        <is>
          <t xml:space="preserve">  ↳ wc2mageFireballExplosion</t>
        </is>
      </c>
      <c r="C1043" s="7" t="inlineStr">
        <is>
          <t>Armament@FIREBALL_EXPLOSIONS</t>
        </is>
      </c>
      <c r="L1043" s="6" t="n">
        <v>18000</v>
      </c>
      <c r="M1043" s="6" t="n">
        <v>80</v>
      </c>
      <c r="N1043" s="6" t="n">
        <v>5</v>
      </c>
      <c r="O1043" s="6" t="n">
        <v>0</v>
      </c>
      <c r="P1043" s="6" t="n">
        <v>8000</v>
      </c>
      <c r="Q1043" s="6" t="n">
        <v>1</v>
      </c>
      <c r="R1043">
        <f>M1043+IF(N1043&gt;1,N(O1043)*(N1043-1),0)</f>
        <v/>
      </c>
      <c r="S1043">
        <f>IFERROR(L1043*MAX(N1043,1)/R1043*IF(ISBLANK(K1039),1,K1039),0)</f>
        <v/>
      </c>
      <c r="AB1043" s="7" t="inlineStr">
        <is>
          <t>wc2mageFireballVisible</t>
        </is>
      </c>
    </row>
    <row r="1044">
      <c r="B1044" s="7" t="inlineStr">
        <is>
          <t xml:space="preserve">  ↳ wc2mageSlow</t>
        </is>
      </c>
      <c r="C1044" s="7" t="inlineStr">
        <is>
          <t>Armament@SLOW</t>
        </is>
      </c>
      <c r="L1044" s="6" t="n">
        <v>1</v>
      </c>
      <c r="M1044" s="6" t="n">
        <v>60</v>
      </c>
      <c r="N1044" s="6" t="n">
        <v>1</v>
      </c>
      <c r="O1044" s="6" t="n"/>
      <c r="P1044" s="6" t="n">
        <v>8000</v>
      </c>
      <c r="Q1044" s="6" t="n">
        <v>1</v>
      </c>
      <c r="R1044">
        <f>M1044+IF(N1044&gt;1,N(O1044)*(N1044-1),0)</f>
        <v/>
      </c>
      <c r="S1044">
        <f>IFERROR(L1044*MAX(N1044,1)/R1044*IF(ISBLANK(K1039),1,K1039),0)</f>
        <v/>
      </c>
      <c r="AB1044" s="7" t="inlineStr"/>
    </row>
    <row r="1045">
      <c r="B1045" s="7" t="inlineStr">
        <is>
          <t xml:space="preserve">  ↳ wc2magePolymorph</t>
        </is>
      </c>
      <c r="C1045" s="7" t="inlineStr">
        <is>
          <t>Armament@POLYMORPH</t>
        </is>
      </c>
      <c r="L1045" s="6" t="n"/>
      <c r="M1045" s="6" t="n">
        <v>60</v>
      </c>
      <c r="N1045" s="6" t="n">
        <v>1</v>
      </c>
      <c r="O1045" s="6" t="n"/>
      <c r="P1045" s="6" t="n">
        <v>8000</v>
      </c>
      <c r="Q1045" s="6" t="n">
        <v>1</v>
      </c>
      <c r="R1045">
        <f>M1045+IF(N1045&gt;1,N(O1045)*(N1045-1),0)</f>
        <v/>
      </c>
      <c r="S1045">
        <f>IFERROR(L1045*MAX(N1045,1)/R1045*IF(ISBLANK(K1039),1,K1039),0)</f>
        <v/>
      </c>
      <c r="AB1045" s="7" t="inlineStr"/>
    </row>
    <row r="1046">
      <c r="B1046" s="7" t="inlineStr">
        <is>
          <t xml:space="preserve">  ↳ wc2mageBlizzard</t>
        </is>
      </c>
      <c r="C1046" s="7" t="inlineStr">
        <is>
          <t>Armament@BLIZZARD</t>
        </is>
      </c>
      <c r="L1046" s="6" t="n">
        <v>1</v>
      </c>
      <c r="M1046" s="6" t="n">
        <v>50</v>
      </c>
      <c r="N1046" s="6" t="n">
        <v>1</v>
      </c>
      <c r="O1046" s="6" t="n"/>
      <c r="P1046" s="6" t="n">
        <v>8000</v>
      </c>
      <c r="Q1046" s="6" t="n">
        <v>1</v>
      </c>
      <c r="R1046">
        <f>M1046+IF(N1046&gt;1,N(O1046)*(N1046-1),0)</f>
        <v/>
      </c>
      <c r="S1046">
        <f>IFERROR(L1046*MAX(N1046,1)/R1046*IF(ISBLANK(K1039),1,K1039),0)</f>
        <v/>
      </c>
      <c r="AB1046" s="7" t="inlineStr"/>
    </row>
    <row r="1047">
      <c r="A1047" s="4" t="inlineStr">
        <is>
          <t>HeroInfantry</t>
        </is>
      </c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5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</row>
    <row r="1048">
      <c r="A1048" t="inlineStr">
        <is>
          <t>tiberiandawn</t>
        </is>
      </c>
      <c r="B1048" t="inlineStr">
        <is>
          <t>td_gdi_commando</t>
        </is>
      </c>
      <c r="C1048" t="inlineStr">
        <is>
          <t>GDI Commando</t>
        </is>
      </c>
      <c r="D1048" s="6" t="inlineStr">
        <is>
          <t>HeroInfantry</t>
        </is>
      </c>
      <c r="E1048" s="6" t="n">
        <v>80000</v>
      </c>
      <c r="F1048" s="6" t="n">
        <v>65</v>
      </c>
      <c r="G1048" t="inlineStr">
        <is>
          <t>Heroic</t>
        </is>
      </c>
      <c r="H1048" s="6" t="n">
        <v>0.3976</v>
      </c>
      <c r="I1048" s="6" t="n">
        <v>1</v>
      </c>
      <c r="J1048" s="6" t="n">
        <v>1</v>
      </c>
      <c r="K1048" s="6" t="n"/>
      <c r="P1048">
        <f>MAX(P1051,P1053)</f>
        <v/>
      </c>
      <c r="S1048">
        <f>S1051+S1053</f>
        <v/>
      </c>
      <c r="T1048">
        <f>(E1048/100000+F1048/100+(P1048/1000)*J1048/5+S1048/200)*200*I1048*H1048</f>
        <v/>
      </c>
      <c r="U1048">
        <f>((E1048*F1048/25000)+((P1048/1000)*J1048*S1048/2.5))*I1048*H1048</f>
        <v/>
      </c>
      <c r="V1048">
        <f>(E1048*F1048*(P1048/1000)*J1048*S1048*I1048*H1048)/12500000</f>
        <v/>
      </c>
      <c r="W1048">
        <f>(T1048+U1048+V1048)/3</f>
        <v/>
      </c>
      <c r="X1048" s="6" t="n">
        <v>3000</v>
      </c>
      <c r="Y1048">
        <f>IFERROR(W1048-X1048,"")</f>
        <v/>
      </c>
      <c r="Z1048">
        <f>IFERROR(ABS(Y1048)/MAX(X1048,1),"")</f>
        <v/>
      </c>
      <c r="AA1048">
        <f>IFERROR((X1048-(((E1048/100000+F1048/100+S1048/200)*200*I1048*H1048)+((E1048*F1048/25000)*I1048*H1048))/3)/(((J1048/5)*200*I1048*H1048)+((J1048*S1048/2.5)*I1048*H1048)+((E1048*F1048*J1048*S1048*I1048*H1048)/12500000))/3*1000,"")</f>
        <v/>
      </c>
    </row>
    <row r="1049">
      <c r="B1049" s="7" t="inlineStr">
        <is>
          <t xml:space="preserve">  ↳ TanyaAttach</t>
        </is>
      </c>
      <c r="C1049" s="7" t="inlineStr">
        <is>
          <t>Armament@c4</t>
        </is>
      </c>
      <c r="L1049" s="6" t="n"/>
      <c r="M1049" s="6" t="n">
        <v>20</v>
      </c>
      <c r="N1049" s="6" t="n">
        <v>1</v>
      </c>
      <c r="O1049" s="6" t="n"/>
      <c r="P1049" s="6" t="n">
        <v>2000</v>
      </c>
      <c r="Q1049" s="6" t="n">
        <v>1</v>
      </c>
      <c r="R1049">
        <f>M1049+IF(N1049&gt;1,N(O1049)*(N1049-1),0)</f>
        <v/>
      </c>
      <c r="S1049">
        <f>IFERROR(L1049*MAX(N1049,1)/R1049*IF(ISBLANK(K1048),1,K1048),0)</f>
        <v/>
      </c>
      <c r="AB1049" s="7" t="inlineStr">
        <is>
          <t>IvanAttach</t>
        </is>
      </c>
    </row>
    <row r="1050">
      <c r="B1050" s="7" t="inlineStr">
        <is>
          <t xml:space="preserve">  ↳ GenericC4</t>
        </is>
      </c>
      <c r="C1050" s="7" t="inlineStr">
        <is>
          <t>Armament@c4building</t>
        </is>
      </c>
      <c r="L1050" s="6" t="n"/>
      <c r="M1050" s="6" t="n">
        <v>20</v>
      </c>
      <c r="N1050" s="6" t="n">
        <v>1</v>
      </c>
      <c r="O1050" s="6" t="n"/>
      <c r="P1050" s="6" t="n">
        <v>2000</v>
      </c>
      <c r="Q1050" s="6" t="n">
        <v>1</v>
      </c>
      <c r="R1050">
        <f>M1050+IF(N1050&gt;1,N(O1050)*(N1050-1),0)</f>
        <v/>
      </c>
      <c r="S1050">
        <f>IFERROR(L1050*MAX(N1050,1)/R1050*IF(ISBLANK(K1048),1,K1048),0)</f>
        <v/>
      </c>
      <c r="AB1050" s="7" t="inlineStr"/>
    </row>
    <row r="1051">
      <c r="B1051" s="7" t="inlineStr">
        <is>
          <t xml:space="preserve">  ↳ td_gdi_commando_sniper</t>
        </is>
      </c>
      <c r="C1051" s="7" t="inlineStr">
        <is>
          <t>Armament</t>
        </is>
      </c>
      <c r="L1051" s="6" t="n">
        <v>40000</v>
      </c>
      <c r="M1051" s="6" t="n">
        <v>25</v>
      </c>
      <c r="N1051" s="6" t="n">
        <v>1</v>
      </c>
      <c r="O1051" s="6" t="n"/>
      <c r="P1051" s="6" t="n">
        <v>8086</v>
      </c>
      <c r="Q1051" s="6" t="n">
        <v>0.75</v>
      </c>
      <c r="R1051">
        <f>M1051+IF(N1051&gt;1,N(O1051)*(N1051-1),0)</f>
        <v/>
      </c>
      <c r="S1051">
        <f>IFERROR(L1051*MAX(N1051,1)/R1051*IF(ISBLANK(K1048),1,K1048),0)</f>
        <v/>
      </c>
      <c r="AB1051" s="7" t="inlineStr">
        <is>
          <t>^Warhead_Sniper_Light</t>
        </is>
      </c>
    </row>
    <row r="1052">
      <c r="B1052" s="7" t="inlineStr">
        <is>
          <t xml:space="preserve">  ↳ td_gdi_commando_sniper</t>
        </is>
      </c>
      <c r="C1052" s="7" t="inlineStr">
        <is>
          <t>Armament@GARRISONED</t>
        </is>
      </c>
      <c r="L1052" s="6" t="n">
        <v>40000</v>
      </c>
      <c r="M1052" s="6" t="n">
        <v>25</v>
      </c>
      <c r="N1052" s="6" t="n">
        <v>1</v>
      </c>
      <c r="O1052" s="6" t="n"/>
      <c r="P1052" s="6" t="n">
        <v>8086</v>
      </c>
      <c r="Q1052" s="6" t="n">
        <v>0.75</v>
      </c>
      <c r="R1052">
        <f>M1052+IF(N1052&gt;1,N(O1052)*(N1052-1),0)</f>
        <v/>
      </c>
      <c r="S1052">
        <f>IFERROR(L1052*MAX(N1052,1)/R1052*IF(ISBLANK(K1048),1,K1048),0)</f>
        <v/>
      </c>
      <c r="AB1052" s="7" t="inlineStr">
        <is>
          <t>^Warhead_Sniper_Light</t>
        </is>
      </c>
    </row>
    <row r="1053">
      <c r="B1053" s="7" t="inlineStr">
        <is>
          <t xml:space="preserve">  ↳ td_gdi_commando_sniper_elite</t>
        </is>
      </c>
      <c r="C1053" s="7" t="inlineStr">
        <is>
          <t>Armament@Upgrade</t>
        </is>
      </c>
      <c r="L1053" s="6" t="n">
        <v>40000</v>
      </c>
      <c r="M1053" s="6" t="n">
        <v>25</v>
      </c>
      <c r="N1053" s="6" t="n">
        <v>1</v>
      </c>
      <c r="O1053" s="6" t="n"/>
      <c r="P1053" s="6" t="n">
        <v>8086</v>
      </c>
      <c r="Q1053" s="6" t="n">
        <v>1</v>
      </c>
      <c r="R1053">
        <f>M1053+IF(N1053&gt;1,N(O1053)*(N1053-1),0)</f>
        <v/>
      </c>
      <c r="S1053">
        <f>IFERROR(L1053*MAX(N1053,1)/R1053*IF(ISBLANK(K1048),1,K1048),0)</f>
        <v/>
      </c>
      <c r="AB1053" s="7" t="inlineStr">
        <is>
          <t>^Warhead_Railgun_Heavy, ^Warhead_Sniper_Light</t>
        </is>
      </c>
    </row>
    <row r="1054">
      <c r="B1054" s="7" t="inlineStr">
        <is>
          <t xml:space="preserve">  ↳ td_gdi_commando_sniper_elite</t>
        </is>
      </c>
      <c r="C1054" s="7" t="inlineStr">
        <is>
          <t>Armament@UpgradeGARRISONED</t>
        </is>
      </c>
      <c r="L1054" s="6" t="n">
        <v>40000</v>
      </c>
      <c r="M1054" s="6" t="n">
        <v>25</v>
      </c>
      <c r="N1054" s="6" t="n">
        <v>1</v>
      </c>
      <c r="O1054" s="6" t="n"/>
      <c r="P1054" s="6" t="n">
        <v>8086</v>
      </c>
      <c r="Q1054" s="6" t="n">
        <v>1</v>
      </c>
      <c r="R1054">
        <f>M1054+IF(N1054&gt;1,N(O1054)*(N1054-1),0)</f>
        <v/>
      </c>
      <c r="S1054">
        <f>IFERROR(L1054*MAX(N1054,1)/R1054*IF(ISBLANK(K1048),1,K1048),0)</f>
        <v/>
      </c>
      <c r="AB1054" s="7" t="inlineStr">
        <is>
          <t>^Warhead_Railgun_Heavy, ^Warhead_Sniper_Light</t>
        </is>
      </c>
    </row>
    <row r="1055">
      <c r="A1055" t="inlineStr">
        <is>
          <t>tiberiandawn</t>
        </is>
      </c>
      <c r="B1055" t="inlineStr">
        <is>
          <t>td_gdi_havoc</t>
        </is>
      </c>
      <c r="C1055" t="inlineStr">
        <is>
          <t>Havoc</t>
        </is>
      </c>
      <c r="D1055" s="6" t="inlineStr">
        <is>
          <t>HeroInfantry</t>
        </is>
      </c>
      <c r="E1055" s="6" t="n">
        <v>100000</v>
      </c>
      <c r="F1055" s="6" t="n">
        <v>75</v>
      </c>
      <c r="G1055" t="inlineStr">
        <is>
          <t>Heroic</t>
        </is>
      </c>
      <c r="H1055" s="6" t="n">
        <v>0.75</v>
      </c>
      <c r="I1055" s="6" t="n">
        <v>1</v>
      </c>
      <c r="J1055" s="6" t="n">
        <v>1.25</v>
      </c>
      <c r="K1055" s="6" t="n">
        <v>0.012</v>
      </c>
      <c r="P1055">
        <f>MAX(P1056,P1057,P1058,P1059)</f>
        <v/>
      </c>
      <c r="S1055">
        <f>S1056+S1057+S1058+S1059</f>
        <v/>
      </c>
      <c r="T1055">
        <f>(E1055/100000+F1055/100+(P1055/1000)*J1055/5+S1055/200)*200*I1055*H1055</f>
        <v/>
      </c>
      <c r="U1055">
        <f>((E1055*F1055/25000)+((P1055/1000)*J1055*S1055/2.5))*I1055*H1055</f>
        <v/>
      </c>
      <c r="V1055">
        <f>(E1055*F1055*(P1055/1000)*J1055*S1055*I1055*H1055)/12500000</f>
        <v/>
      </c>
      <c r="W1055">
        <f>(T1055+U1055+V1055)/3</f>
        <v/>
      </c>
      <c r="X1055" s="6" t="n">
        <v>4000</v>
      </c>
      <c r="Y1055">
        <f>IFERROR(W1055-X1055,"")</f>
        <v/>
      </c>
      <c r="Z1055">
        <f>IFERROR(ABS(Y1055)/MAX(X1055,1),"")</f>
        <v/>
      </c>
      <c r="AA1055">
        <f>IFERROR((X1055-(((E1055/100000+F1055/100+S1055/200)*200*I1055*H1055)+((E1055*F1055/25000)*I1055*H1055))/3)/(((J1055/5)*200*I1055*H1055)+((J1055*S1055/2.5)*I1055*H1055)+((E1055*F1055*J1055*S1055*I1055*H1055)/12500000))/3*1000,"")</f>
        <v/>
      </c>
    </row>
    <row r="1056">
      <c r="B1056" s="7" t="inlineStr">
        <is>
          <t xml:space="preserve">  ↳ CommandoSniper</t>
        </is>
      </c>
      <c r="C1056" s="7" t="inlineStr">
        <is>
          <t>Armament@ra1_allies_alliedsniper</t>
        </is>
      </c>
      <c r="L1056" s="6" t="n">
        <v>40000</v>
      </c>
      <c r="M1056" s="6" t="n">
        <v>100</v>
      </c>
      <c r="N1056" s="6" t="n">
        <v>1</v>
      </c>
      <c r="O1056" s="6" t="n"/>
      <c r="P1056" s="6" t="n">
        <v>7750</v>
      </c>
      <c r="Q1056" s="6" t="n">
        <v>1</v>
      </c>
      <c r="R1056">
        <f>M1056+IF(N1056&gt;1,N(O1056)*(N1056-1),0)</f>
        <v/>
      </c>
      <c r="S1056">
        <f>IFERROR(L1056*MAX(N1056,1)/R1056*IF(ISBLANK(K1055),1,K1055),0)</f>
        <v/>
      </c>
      <c r="AB1056" s="7" t="inlineStr">
        <is>
          <t>^SniperWeapon, ^Chaingun</t>
        </is>
      </c>
    </row>
    <row r="1057">
      <c r="B1057" s="7" t="inlineStr">
        <is>
          <t xml:space="preserve">  ↳ CommandoRocketLauncher</t>
        </is>
      </c>
      <c r="C1057" s="7" t="inlineStr">
        <is>
          <t>Armament@Rocket</t>
        </is>
      </c>
      <c r="L1057" s="6" t="n">
        <v>40000</v>
      </c>
      <c r="M1057" s="6" t="n">
        <v>100</v>
      </c>
      <c r="N1057" s="6" t="n">
        <v>1</v>
      </c>
      <c r="O1057" s="6" t="n"/>
      <c r="P1057" s="6" t="n">
        <v>7750</v>
      </c>
      <c r="Q1057" s="6" t="n">
        <v>0.875</v>
      </c>
      <c r="R1057">
        <f>M1057+IF(N1057&gt;1,N(O1057)*(N1057-1),0)</f>
        <v/>
      </c>
      <c r="S1057">
        <f>IFERROR(L1057*MAX(N1057,1)/R1057*IF(ISBLANK(K1055),1,K1055),0)</f>
        <v/>
      </c>
      <c r="AB1057" s="7" t="inlineStr">
        <is>
          <t>^Warhead_MissileHE_Medium, ^Warhead_MissileHE_Light</t>
        </is>
      </c>
    </row>
    <row r="1058">
      <c r="B1058" s="7" t="inlineStr">
        <is>
          <t xml:space="preserve">  ↳ CommandoGrenadeLauncher</t>
        </is>
      </c>
      <c r="C1058" s="7" t="inlineStr">
        <is>
          <t>Armament@Grenade</t>
        </is>
      </c>
      <c r="L1058" s="6" t="n">
        <v>40000</v>
      </c>
      <c r="M1058" s="6" t="n">
        <v>100</v>
      </c>
      <c r="N1058" s="6" t="n">
        <v>1</v>
      </c>
      <c r="O1058" s="6" t="n"/>
      <c r="P1058" s="6" t="n">
        <v>7750</v>
      </c>
      <c r="Q1058" s="6" t="n">
        <v>1</v>
      </c>
      <c r="R1058">
        <f>M1058+IF(N1058&gt;1,N(O1058)*(N1058-1),0)</f>
        <v/>
      </c>
      <c r="S1058">
        <f>IFERROR(L1058*MAX(N1058,1)/R1058*IF(ISBLANK(K1055),1,K1055),0)</f>
        <v/>
      </c>
      <c r="AB1058" s="7" t="inlineStr">
        <is>
          <t>^ShrapnelWeapon, ^Grenade, ^EMPDamage</t>
        </is>
      </c>
    </row>
    <row r="1059">
      <c r="B1059" s="7" t="inlineStr">
        <is>
          <t xml:space="preserve">  ↳ CommandoM16</t>
        </is>
      </c>
      <c r="C1059" s="7" t="inlineStr">
        <is>
          <t>Armament@M16</t>
        </is>
      </c>
      <c r="L1059" s="6" t="n">
        <v>8000</v>
      </c>
      <c r="M1059" s="6" t="n">
        <v>92</v>
      </c>
      <c r="N1059" s="6" t="n">
        <v>5</v>
      </c>
      <c r="O1059" s="6" t="n">
        <v>2</v>
      </c>
      <c r="P1059" s="6" t="n">
        <v>7750</v>
      </c>
      <c r="Q1059" s="6" t="n">
        <v>1</v>
      </c>
      <c r="R1059">
        <f>M1059+IF(N1059&gt;1,N(O1059)*(N1059-1),0)</f>
        <v/>
      </c>
      <c r="S1059">
        <f>IFERROR(L1059*MAX(N1059,1)/R1059*IF(ISBLANK(K1055),1,K1055),0)</f>
        <v/>
      </c>
      <c r="AB1059" s="7" t="inlineStr">
        <is>
          <t>^SniperWeapon, ^Chaingun</t>
        </is>
      </c>
    </row>
    <row r="1060">
      <c r="B1060" s="7" t="inlineStr">
        <is>
          <t xml:space="preserve">  ↳ CommandoSniper</t>
        </is>
      </c>
      <c r="C1060" s="7" t="inlineStr">
        <is>
          <t>Armament@SniperGARRISONED</t>
        </is>
      </c>
      <c r="L1060" s="6" t="n">
        <v>40000</v>
      </c>
      <c r="M1060" s="6" t="n">
        <v>100</v>
      </c>
      <c r="N1060" s="6" t="n">
        <v>1</v>
      </c>
      <c r="O1060" s="6" t="n"/>
      <c r="P1060" s="6" t="n">
        <v>7750</v>
      </c>
      <c r="Q1060" s="6" t="n">
        <v>1</v>
      </c>
      <c r="R1060">
        <f>M1060+IF(N1060&gt;1,N(O1060)*(N1060-1),0)</f>
        <v/>
      </c>
      <c r="S1060">
        <f>IFERROR(L1060*MAX(N1060,1)/R1060*IF(ISBLANK(K1055),1,K1055),0)</f>
        <v/>
      </c>
      <c r="AB1060" s="7" t="inlineStr">
        <is>
          <t>^SniperWeapon, ^Chaingun</t>
        </is>
      </c>
    </row>
    <row r="1061">
      <c r="B1061" s="7" t="inlineStr">
        <is>
          <t xml:space="preserve">  ↳ CommandoRocketLauncher</t>
        </is>
      </c>
      <c r="C1061" s="7" t="inlineStr">
        <is>
          <t>Armament@RocketGARRISONED</t>
        </is>
      </c>
      <c r="L1061" s="6" t="n">
        <v>40000</v>
      </c>
      <c r="M1061" s="6" t="n">
        <v>100</v>
      </c>
      <c r="N1061" s="6" t="n">
        <v>1</v>
      </c>
      <c r="O1061" s="6" t="n"/>
      <c r="P1061" s="6" t="n">
        <v>7750</v>
      </c>
      <c r="Q1061" s="6" t="n">
        <v>0.875</v>
      </c>
      <c r="R1061">
        <f>M1061+IF(N1061&gt;1,N(O1061)*(N1061-1),0)</f>
        <v/>
      </c>
      <c r="S1061">
        <f>IFERROR(L1061*MAX(N1061,1)/R1061*IF(ISBLANK(K1055),1,K1055),0)</f>
        <v/>
      </c>
      <c r="AB1061" s="7" t="inlineStr">
        <is>
          <t>^Warhead_MissileHE_Medium, ^Warhead_MissileHE_Light</t>
        </is>
      </c>
    </row>
    <row r="1062">
      <c r="B1062" s="7" t="inlineStr">
        <is>
          <t xml:space="preserve">  ↳ CommandoGrenadeLauncher</t>
        </is>
      </c>
      <c r="C1062" s="7" t="inlineStr">
        <is>
          <t>Armament@GrenadeGARRISONED</t>
        </is>
      </c>
      <c r="L1062" s="6" t="n">
        <v>40000</v>
      </c>
      <c r="M1062" s="6" t="n">
        <v>100</v>
      </c>
      <c r="N1062" s="6" t="n">
        <v>1</v>
      </c>
      <c r="O1062" s="6" t="n"/>
      <c r="P1062" s="6" t="n">
        <v>7750</v>
      </c>
      <c r="Q1062" s="6" t="n">
        <v>1</v>
      </c>
      <c r="R1062">
        <f>M1062+IF(N1062&gt;1,N(O1062)*(N1062-1),0)</f>
        <v/>
      </c>
      <c r="S1062">
        <f>IFERROR(L1062*MAX(N1062,1)/R1062*IF(ISBLANK(K1055),1,K1055),0)</f>
        <v/>
      </c>
      <c r="AB1062" s="7" t="inlineStr">
        <is>
          <t>^ShrapnelWeapon, ^Grenade, ^EMPDamage</t>
        </is>
      </c>
    </row>
    <row r="1063">
      <c r="B1063" s="7" t="inlineStr">
        <is>
          <t xml:space="preserve">  ↳ CommandoM16</t>
        </is>
      </c>
      <c r="C1063" s="7" t="inlineStr">
        <is>
          <t>Armament@M16GARRISONED</t>
        </is>
      </c>
      <c r="L1063" s="6" t="n">
        <v>8000</v>
      </c>
      <c r="M1063" s="6" t="n">
        <v>92</v>
      </c>
      <c r="N1063" s="6" t="n">
        <v>5</v>
      </c>
      <c r="O1063" s="6" t="n">
        <v>2</v>
      </c>
      <c r="P1063" s="6" t="n">
        <v>7750</v>
      </c>
      <c r="Q1063" s="6" t="n">
        <v>1</v>
      </c>
      <c r="R1063">
        <f>M1063+IF(N1063&gt;1,N(O1063)*(N1063-1),0)</f>
        <v/>
      </c>
      <c r="S1063">
        <f>IFERROR(L1063*MAX(N1063,1)/R1063*IF(ISBLANK(K1055),1,K1055),0)</f>
        <v/>
      </c>
      <c r="AB1063" s="7" t="inlineStr">
        <is>
          <t>^SniperWeapon, ^Chaingun</t>
        </is>
      </c>
    </row>
    <row r="1064">
      <c r="B1064" s="7" t="inlineStr">
        <is>
          <t xml:space="preserve">  ↳ GenericC4</t>
        </is>
      </c>
      <c r="C1064" s="7" t="inlineStr">
        <is>
          <t>Armament@c4</t>
        </is>
      </c>
      <c r="L1064" s="6" t="n"/>
      <c r="M1064" s="6" t="n">
        <v>20</v>
      </c>
      <c r="N1064" s="6" t="n">
        <v>1</v>
      </c>
      <c r="O1064" s="6" t="n"/>
      <c r="P1064" s="6" t="n">
        <v>2000</v>
      </c>
      <c r="Q1064" s="6" t="n">
        <v>1</v>
      </c>
      <c r="R1064">
        <f>M1064+IF(N1064&gt;1,N(O1064)*(N1064-1),0)</f>
        <v/>
      </c>
      <c r="S1064">
        <f>IFERROR(L1064*MAX(N1064,1)/R1064*IF(ISBLANK(K1055),1,K1055),0)</f>
        <v/>
      </c>
      <c r="AB1064" s="7" t="inlineStr"/>
    </row>
    <row r="1065">
      <c r="A1065" t="inlineStr">
        <is>
          <t>tiberiandawn</t>
        </is>
      </c>
      <c r="B1065" t="inlineStr">
        <is>
          <t>td_nod_commando</t>
        </is>
      </c>
      <c r="C1065" t="inlineStr">
        <is>
          <t>Nod Commando</t>
        </is>
      </c>
      <c r="D1065" s="6" t="inlineStr">
        <is>
          <t>HeroInfantry</t>
        </is>
      </c>
      <c r="E1065" s="6" t="n">
        <v>80000</v>
      </c>
      <c r="F1065" s="6" t="n">
        <v>65</v>
      </c>
      <c r="G1065" t="inlineStr">
        <is>
          <t>Heroic</t>
        </is>
      </c>
      <c r="H1065" s="6" t="n">
        <v>0.3976</v>
      </c>
      <c r="I1065" s="6" t="n">
        <v>1</v>
      </c>
      <c r="J1065" s="6" t="n">
        <v>1</v>
      </c>
      <c r="K1065" s="6" t="n"/>
      <c r="P1065">
        <f>MAX(P1068)</f>
        <v/>
      </c>
      <c r="S1065">
        <f>S1068</f>
        <v/>
      </c>
      <c r="T1065">
        <f>(E1065/100000+F1065/100+(P1065/1000)*J1065/5+S1065/200)*200*I1065*H1065</f>
        <v/>
      </c>
      <c r="U1065">
        <f>((E1065*F1065/25000)+((P1065/1000)*J1065*S1065/2.5))*I1065*H1065</f>
        <v/>
      </c>
      <c r="V1065">
        <f>(E1065*F1065*(P1065/1000)*J1065*S1065*I1065*H1065)/12500000</f>
        <v/>
      </c>
      <c r="W1065">
        <f>(T1065+U1065+V1065)/3</f>
        <v/>
      </c>
      <c r="X1065" s="6" t="n">
        <v>3000</v>
      </c>
      <c r="Y1065">
        <f>IFERROR(W1065-X1065,"")</f>
        <v/>
      </c>
      <c r="Z1065">
        <f>IFERROR(ABS(Y1065)/MAX(X1065,1),"")</f>
        <v/>
      </c>
      <c r="AA1065">
        <f>IFERROR((X1065-(((E1065/100000+F1065/100+S1065/200)*200*I1065*H1065)+((E1065*F1065/25000)*I1065*H1065))/3)/(((J1065/5)*200*I1065*H1065)+((J1065*S1065/2.5)*I1065*H1065)+((E1065*F1065*J1065*S1065*I1065*H1065)/12500000))/3*1000,"")</f>
        <v/>
      </c>
    </row>
    <row r="1066">
      <c r="B1066" s="7" t="inlineStr">
        <is>
          <t xml:space="preserve">  ↳ TanyaAttach</t>
        </is>
      </c>
      <c r="C1066" s="7" t="inlineStr">
        <is>
          <t>Armament@c4</t>
        </is>
      </c>
      <c r="L1066" s="6" t="n"/>
      <c r="M1066" s="6" t="n">
        <v>20</v>
      </c>
      <c r="N1066" s="6" t="n">
        <v>1</v>
      </c>
      <c r="O1066" s="6" t="n"/>
      <c r="P1066" s="6" t="n">
        <v>2000</v>
      </c>
      <c r="Q1066" s="6" t="n">
        <v>1</v>
      </c>
      <c r="R1066">
        <f>M1066+IF(N1066&gt;1,N(O1066)*(N1066-1),0)</f>
        <v/>
      </c>
      <c r="S1066">
        <f>IFERROR(L1066*MAX(N1066,1)/R1066*IF(ISBLANK(K1065),1,K1065),0)</f>
        <v/>
      </c>
      <c r="AB1066" s="7" t="inlineStr">
        <is>
          <t>IvanAttach</t>
        </is>
      </c>
    </row>
    <row r="1067">
      <c r="B1067" s="7" t="inlineStr">
        <is>
          <t xml:space="preserve">  ↳ GenericC4</t>
        </is>
      </c>
      <c r="C1067" s="7" t="inlineStr">
        <is>
          <t>Armament@c4building</t>
        </is>
      </c>
      <c r="L1067" s="6" t="n"/>
      <c r="M1067" s="6" t="n">
        <v>20</v>
      </c>
      <c r="N1067" s="6" t="n">
        <v>1</v>
      </c>
      <c r="O1067" s="6" t="n"/>
      <c r="P1067" s="6" t="n">
        <v>2000</v>
      </c>
      <c r="Q1067" s="6" t="n">
        <v>1</v>
      </c>
      <c r="R1067">
        <f>M1067+IF(N1067&gt;1,N(O1067)*(N1067-1),0)</f>
        <v/>
      </c>
      <c r="S1067">
        <f>IFERROR(L1067*MAX(N1067,1)/R1067*IF(ISBLANK(K1065),1,K1065),0)</f>
        <v/>
      </c>
      <c r="AB1067" s="7" t="inlineStr"/>
    </row>
    <row r="1068">
      <c r="B1068" s="7" t="inlineStr">
        <is>
          <t xml:space="preserve">  ↳ td_gdi_commando_sniper</t>
        </is>
      </c>
      <c r="C1068" s="7" t="inlineStr">
        <is>
          <t>Armament</t>
        </is>
      </c>
      <c r="L1068" s="6" t="n">
        <v>40000</v>
      </c>
      <c r="M1068" s="6" t="n">
        <v>25</v>
      </c>
      <c r="N1068" s="6" t="n">
        <v>1</v>
      </c>
      <c r="O1068" s="6" t="n"/>
      <c r="P1068" s="6" t="n">
        <v>8086</v>
      </c>
      <c r="Q1068" s="6" t="n">
        <v>0.75</v>
      </c>
      <c r="R1068">
        <f>M1068+IF(N1068&gt;1,N(O1068)*(N1068-1),0)</f>
        <v/>
      </c>
      <c r="S1068">
        <f>IFERROR(L1068*MAX(N1068,1)/R1068*IF(ISBLANK(K1065),1,K1065),0)</f>
        <v/>
      </c>
      <c r="AB1068" s="7" t="inlineStr">
        <is>
          <t>^Warhead_Sniper_Light</t>
        </is>
      </c>
    </row>
    <row r="1069">
      <c r="B1069" s="7" t="inlineStr">
        <is>
          <t xml:space="preserve">  ↳ td_gdi_commando_sniper</t>
        </is>
      </c>
      <c r="C1069" s="7" t="inlineStr">
        <is>
          <t>Armament@GARRISONED</t>
        </is>
      </c>
      <c r="L1069" s="6" t="n">
        <v>40000</v>
      </c>
      <c r="M1069" s="6" t="n">
        <v>25</v>
      </c>
      <c r="N1069" s="6" t="n">
        <v>1</v>
      </c>
      <c r="O1069" s="6" t="n"/>
      <c r="P1069" s="6" t="n">
        <v>8086</v>
      </c>
      <c r="Q1069" s="6" t="n">
        <v>0.75</v>
      </c>
      <c r="R1069">
        <f>M1069+IF(N1069&gt;1,N(O1069)*(N1069-1),0)</f>
        <v/>
      </c>
      <c r="S1069">
        <f>IFERROR(L1069*MAX(N1069,1)/R1069*IF(ISBLANK(K1065),1,K1065),0)</f>
        <v/>
      </c>
      <c r="AB1069" s="7" t="inlineStr">
        <is>
          <t>^Warhead_Sniper_Light</t>
        </is>
      </c>
    </row>
    <row r="1070">
      <c r="A1070" t="inlineStr">
        <is>
          <t>tiberiandawn</t>
        </is>
      </c>
      <c r="B1070" t="inlineStr">
        <is>
          <t>td_nod_lasercommando</t>
        </is>
      </c>
      <c r="C1070" t="inlineStr">
        <is>
          <t>Laser Commando</t>
        </is>
      </c>
      <c r="D1070" s="6" t="inlineStr">
        <is>
          <t>HeroInfantry</t>
        </is>
      </c>
      <c r="E1070" s="6" t="n">
        <v>57000</v>
      </c>
      <c r="F1070" s="6" t="n">
        <v>79</v>
      </c>
      <c r="G1070" t="inlineStr">
        <is>
          <t>Heroic</t>
        </is>
      </c>
      <c r="H1070" s="6" t="n">
        <v>0.75</v>
      </c>
      <c r="I1070" s="6" t="n">
        <v>1</v>
      </c>
      <c r="J1070" s="6" t="n">
        <v>2</v>
      </c>
      <c r="K1070" s="6" t="n"/>
      <c r="P1070">
        <f>MAX(P1071,P1072)</f>
        <v/>
      </c>
      <c r="S1070">
        <f>S1071+S1072</f>
        <v/>
      </c>
      <c r="T1070">
        <f>(E1070/100000+F1070/100+(P1070/1000)*J1070/5+S1070/200)*200*I1070*H1070</f>
        <v/>
      </c>
      <c r="U1070">
        <f>((E1070*F1070/25000)+((P1070/1000)*J1070*S1070/2.5))*I1070*H1070</f>
        <v/>
      </c>
      <c r="V1070">
        <f>(E1070*F1070*(P1070/1000)*J1070*S1070*I1070*H1070)/12500000</f>
        <v/>
      </c>
      <c r="W1070">
        <f>(T1070+U1070+V1070)/3</f>
        <v/>
      </c>
      <c r="X1070" s="6" t="n">
        <v>5000</v>
      </c>
      <c r="Y1070">
        <f>IFERROR(W1070-X1070,"")</f>
        <v/>
      </c>
      <c r="Z1070">
        <f>IFERROR(ABS(Y1070)/MAX(X1070,1),"")</f>
        <v/>
      </c>
      <c r="AA1070">
        <f>IFERROR((X1070-(((E1070/100000+F1070/100+S1070/200)*200*I1070*H1070)+((E1070*F1070/25000)*I1070*H1070))/3)/(((J1070/5)*200*I1070*H1070)+((J1070*S1070/2.5)*I1070*H1070)+((E1070*F1070*J1070*S1070*I1070*H1070)/12500000))/3*1000,"")</f>
        <v/>
      </c>
    </row>
    <row r="1071">
      <c r="B1071" s="7" t="inlineStr">
        <is>
          <t xml:space="preserve">  ↳ NodCommandoLaser</t>
        </is>
      </c>
      <c r="C1071" s="7" t="inlineStr">
        <is>
          <t>Armament@pointdefense</t>
        </is>
      </c>
      <c r="L1071" s="6" t="n">
        <v>2000</v>
      </c>
      <c r="M1071" s="6" t="n">
        <v>8</v>
      </c>
      <c r="N1071" s="6" t="n">
        <v>1</v>
      </c>
      <c r="O1071" s="6" t="n"/>
      <c r="P1071" s="6" t="n">
        <v>6030</v>
      </c>
      <c r="Q1071" s="6" t="n">
        <v>1.25</v>
      </c>
      <c r="R1071">
        <f>M1071+IF(N1071&gt;1,N(O1071)*(N1071-1),0)</f>
        <v/>
      </c>
      <c r="S1071">
        <f>IFERROR(L1071*MAX(N1071,1)/R1071*IF(ISBLANK(K1070),1,K1070),0)</f>
        <v/>
      </c>
      <c r="AB1071" s="7" t="inlineStr">
        <is>
          <t>^Warhead_Laser_Heavy</t>
        </is>
      </c>
    </row>
    <row r="1072">
      <c r="B1072" s="7" t="inlineStr">
        <is>
          <t xml:space="preserve">  ↳ NodCommandoLaser</t>
        </is>
      </c>
      <c r="C1072" s="7" t="inlineStr">
        <is>
          <t>Armament</t>
        </is>
      </c>
      <c r="L1072" s="6" t="n">
        <v>2000</v>
      </c>
      <c r="M1072" s="6" t="n">
        <v>8</v>
      </c>
      <c r="N1072" s="6" t="n">
        <v>1</v>
      </c>
      <c r="O1072" s="6" t="n"/>
      <c r="P1072" s="6" t="n">
        <v>6030</v>
      </c>
      <c r="Q1072" s="6" t="n">
        <v>1.25</v>
      </c>
      <c r="R1072">
        <f>M1072+IF(N1072&gt;1,N(O1072)*(N1072-1),0)</f>
        <v/>
      </c>
      <c r="S1072">
        <f>IFERROR(L1072*MAX(N1072,1)/R1072*IF(ISBLANK(K1070),1,K1070),0)</f>
        <v/>
      </c>
      <c r="AB1072" s="7" t="inlineStr">
        <is>
          <t>^Warhead_Laser_Heavy</t>
        </is>
      </c>
    </row>
    <row r="1073">
      <c r="B1073" s="7" t="inlineStr">
        <is>
          <t xml:space="preserve">  ↳ NodCommandoLaser</t>
        </is>
      </c>
      <c r="C1073" s="7" t="inlineStr">
        <is>
          <t>Armament@GARRISONED</t>
        </is>
      </c>
      <c r="L1073" s="6" t="n">
        <v>2000</v>
      </c>
      <c r="M1073" s="6" t="n">
        <v>8</v>
      </c>
      <c r="N1073" s="6" t="n">
        <v>1</v>
      </c>
      <c r="O1073" s="6" t="n"/>
      <c r="P1073" s="6" t="n">
        <v>6030</v>
      </c>
      <c r="Q1073" s="6" t="n">
        <v>1.25</v>
      </c>
      <c r="R1073">
        <f>M1073+IF(N1073&gt;1,N(O1073)*(N1073-1),0)</f>
        <v/>
      </c>
      <c r="S1073">
        <f>IFERROR(L1073*MAX(N1073,1)/R1073*IF(ISBLANK(K1070),1,K1070),0)</f>
        <v/>
      </c>
      <c r="AB1073" s="7" t="inlineStr">
        <is>
          <t>^Warhead_Laser_Heavy</t>
        </is>
      </c>
    </row>
    <row r="1074">
      <c r="B1074" s="7" t="inlineStr">
        <is>
          <t xml:space="preserve">  ↳ GenericC4</t>
        </is>
      </c>
      <c r="C1074" s="7" t="inlineStr">
        <is>
          <t>Armament@c4</t>
        </is>
      </c>
      <c r="L1074" s="6" t="n"/>
      <c r="M1074" s="6" t="n">
        <v>20</v>
      </c>
      <c r="N1074" s="6" t="n">
        <v>1</v>
      </c>
      <c r="O1074" s="6" t="n"/>
      <c r="P1074" s="6" t="n">
        <v>2000</v>
      </c>
      <c r="Q1074" s="6" t="n">
        <v>1</v>
      </c>
      <c r="R1074">
        <f>M1074+IF(N1074&gt;1,N(O1074)*(N1074-1),0)</f>
        <v/>
      </c>
      <c r="S1074">
        <f>IFERROR(L1074*MAX(N1074,1)/R1074*IF(ISBLANK(K1070),1,K1070),0)</f>
        <v/>
      </c>
      <c r="AB1074" s="7" t="inlineStr"/>
    </row>
    <row r="1075">
      <c r="A1075" t="inlineStr">
        <is>
          <t>redalert</t>
        </is>
      </c>
      <c r="B1075" t="inlineStr">
        <is>
          <t>japan_exorcist</t>
        </is>
      </c>
      <c r="C1075" t="inlineStr">
        <is>
          <t>Exorcist</t>
        </is>
      </c>
      <c r="D1075" s="6" t="inlineStr">
        <is>
          <t>HeroInfantry</t>
        </is>
      </c>
      <c r="E1075" s="6" t="n">
        <v>75000</v>
      </c>
      <c r="F1075" s="6" t="n">
        <v>60</v>
      </c>
      <c r="G1075" t="inlineStr">
        <is>
          <t>Heroic</t>
        </is>
      </c>
      <c r="H1075" s="6" t="n">
        <v>0.75</v>
      </c>
      <c r="I1075" s="6" t="n">
        <v>1</v>
      </c>
      <c r="J1075" s="6" t="n">
        <v>1.25</v>
      </c>
      <c r="K1075" s="6" t="n"/>
      <c r="P1075">
        <f>MAX(P1076,P1077)</f>
        <v/>
      </c>
      <c r="S1075">
        <f>S1076+S1077</f>
        <v/>
      </c>
      <c r="T1075">
        <f>(E1075/100000+F1075/100+(P1075/1000)*J1075/5+S1075/200)*200*I1075*H1075</f>
        <v/>
      </c>
      <c r="U1075">
        <f>((E1075*F1075/25000)+((P1075/1000)*J1075*S1075/2.5))*I1075*H1075</f>
        <v/>
      </c>
      <c r="V1075">
        <f>(E1075*F1075*(P1075/1000)*J1075*S1075*I1075*H1075)/12500000</f>
        <v/>
      </c>
      <c r="W1075">
        <f>(T1075+U1075+V1075)/3</f>
        <v/>
      </c>
      <c r="X1075" s="6" t="n">
        <v>3000</v>
      </c>
      <c r="Y1075">
        <f>IFERROR(W1075-X1075,"")</f>
        <v/>
      </c>
      <c r="Z1075">
        <f>IFERROR(ABS(Y1075)/MAX(X1075,1),"")</f>
        <v/>
      </c>
      <c r="AA1075">
        <f>IFERROR((X1075-(((E1075/100000+F1075/100+S1075/200)*200*I1075*H1075)+((E1075*F1075/25000)*I1075*H1075))/3)/(((J1075/5)*200*I1075*H1075)+((J1075*S1075/2.5)*I1075*H1075)+((E1075*F1075*J1075*S1075*I1075*H1075)/12500000))/3*1000,"")</f>
        <v/>
      </c>
    </row>
    <row r="1076">
      <c r="B1076" s="7" t="inlineStr">
        <is>
          <t xml:space="preserve">  ↳ Hakureiring</t>
        </is>
      </c>
      <c r="C1076" s="7" t="inlineStr">
        <is>
          <t>Armament@PRIMARY</t>
        </is>
      </c>
      <c r="L1076" s="6" t="n">
        <v>20000</v>
      </c>
      <c r="M1076" s="6" t="n">
        <v>30</v>
      </c>
      <c r="N1076" s="6" t="n">
        <v>3</v>
      </c>
      <c r="O1076" s="6" t="n">
        <v>10</v>
      </c>
      <c r="P1076" s="6" t="n">
        <v>6666</v>
      </c>
      <c r="Q1076" s="6" t="n">
        <v>1.25</v>
      </c>
      <c r="R1076">
        <f>M1076+IF(N1076&gt;1,N(O1076)*(N1076-1),0)</f>
        <v/>
      </c>
      <c r="S1076">
        <f>IFERROR(L1076*MAX(N1076,1)/R1076*IF(ISBLANK(K1075),1,K1075),0)</f>
        <v/>
      </c>
      <c r="AB1076" s="7" t="inlineStr">
        <is>
          <t>^Warhead_Magic_Heavy</t>
        </is>
      </c>
    </row>
    <row r="1077">
      <c r="B1077" s="7" t="inlineStr">
        <is>
          <t xml:space="preserve">  ↳ Hakureiring2</t>
        </is>
      </c>
      <c r="C1077" s="7" t="inlineStr">
        <is>
          <t>Armament@Special</t>
        </is>
      </c>
      <c r="L1077" s="6" t="n">
        <v>240000</v>
      </c>
      <c r="M1077" s="6" t="n">
        <v>100</v>
      </c>
      <c r="N1077" s="6" t="n">
        <v>1</v>
      </c>
      <c r="O1077" s="6" t="n">
        <v>10</v>
      </c>
      <c r="P1077" s="6" t="n">
        <v>6666</v>
      </c>
      <c r="Q1077" s="6" t="n">
        <v>1.25</v>
      </c>
      <c r="R1077">
        <f>M1077+IF(N1077&gt;1,N(O1077)*(N1077-1),0)</f>
        <v/>
      </c>
      <c r="S1077">
        <f>IFERROR(L1077*MAX(N1077,1)/R1077*IF(ISBLANK(K1075),1,K1075),0)</f>
        <v/>
      </c>
      <c r="AB1077" s="7" t="inlineStr">
        <is>
          <t>^Warhead_Magic_Heavy</t>
        </is>
      </c>
    </row>
    <row r="1078">
      <c r="B1078" s="7" t="inlineStr">
        <is>
          <t xml:space="preserve">  ↳ Hakureiring</t>
        </is>
      </c>
      <c r="C1078" s="7" t="inlineStr">
        <is>
          <t>Armament@GARRISONED</t>
        </is>
      </c>
      <c r="L1078" s="6" t="n">
        <v>20000</v>
      </c>
      <c r="M1078" s="6" t="n">
        <v>30</v>
      </c>
      <c r="N1078" s="6" t="n">
        <v>3</v>
      </c>
      <c r="O1078" s="6" t="n">
        <v>10</v>
      </c>
      <c r="P1078" s="6" t="n">
        <v>6666</v>
      </c>
      <c r="Q1078" s="6" t="n">
        <v>1.25</v>
      </c>
      <c r="R1078">
        <f>M1078+IF(N1078&gt;1,N(O1078)*(N1078-1),0)</f>
        <v/>
      </c>
      <c r="S1078">
        <f>IFERROR(L1078*MAX(N1078,1)/R1078*IF(ISBLANK(K1075),1,K1075),0)</f>
        <v/>
      </c>
      <c r="AB1078" s="7" t="inlineStr">
        <is>
          <t>^Warhead_Magic_Heavy</t>
        </is>
      </c>
    </row>
    <row r="1079">
      <c r="B1079" s="7" t="inlineStr">
        <is>
          <t xml:space="preserve">  ↳ Hakureiring2</t>
        </is>
      </c>
      <c r="C1079" s="7" t="inlineStr">
        <is>
          <t>Armament@GARRISONEDSpecial</t>
        </is>
      </c>
      <c r="L1079" s="6" t="n">
        <v>240000</v>
      </c>
      <c r="M1079" s="6" t="n">
        <v>100</v>
      </c>
      <c r="N1079" s="6" t="n">
        <v>1</v>
      </c>
      <c r="O1079" s="6" t="n">
        <v>10</v>
      </c>
      <c r="P1079" s="6" t="n">
        <v>6666</v>
      </c>
      <c r="Q1079" s="6" t="n">
        <v>1.25</v>
      </c>
      <c r="R1079">
        <f>M1079+IF(N1079&gt;1,N(O1079)*(N1079-1),0)</f>
        <v/>
      </c>
      <c r="S1079">
        <f>IFERROR(L1079*MAX(N1079,1)/R1079*IF(ISBLANK(K1075),1,K1075),0)</f>
        <v/>
      </c>
      <c r="AB1079" s="7" t="inlineStr">
        <is>
          <t>^Warhead_Magic_Heavy</t>
        </is>
      </c>
    </row>
    <row r="1080">
      <c r="A1080" t="inlineStr">
        <is>
          <t>redalert</t>
        </is>
      </c>
      <c r="B1080" t="inlineStr">
        <is>
          <t>ra1_soviets_volkov</t>
        </is>
      </c>
      <c r="C1080" t="inlineStr">
        <is>
          <t>Volkov</t>
        </is>
      </c>
      <c r="D1080" s="6" t="inlineStr">
        <is>
          <t>HeroInfantry</t>
        </is>
      </c>
      <c r="E1080" s="6" t="n">
        <v>400000</v>
      </c>
      <c r="F1080" s="6" t="n">
        <v>55</v>
      </c>
      <c r="G1080" t="inlineStr">
        <is>
          <t>Heroic</t>
        </is>
      </c>
      <c r="H1080" s="6" t="n">
        <v>0.75</v>
      </c>
      <c r="I1080" s="6" t="n">
        <v>1</v>
      </c>
      <c r="J1080" s="6" t="n">
        <v>1</v>
      </c>
      <c r="K1080" s="6" t="n"/>
      <c r="P1080">
        <f>MAX(P1081,P1082,P1083,P1084,P1085,P1086)</f>
        <v/>
      </c>
      <c r="S1080">
        <f>S1081+S1082+S1083+S1084+S1085+S1086</f>
        <v/>
      </c>
      <c r="T1080">
        <f>(E1080/100000+F1080/100+(P1080/1000)*J1080/5+S1080/200)*200*I1080*H1080</f>
        <v/>
      </c>
      <c r="U1080">
        <f>((E1080*F1080/25000)+((P1080/1000)*J1080*S1080/2.5))*I1080*H1080</f>
        <v/>
      </c>
      <c r="V1080">
        <f>(E1080*F1080*(P1080/1000)*J1080*S1080*I1080*H1080)/12500000</f>
        <v/>
      </c>
      <c r="W1080">
        <f>(T1080+U1080+V1080)/3</f>
        <v/>
      </c>
      <c r="X1080" s="6" t="n">
        <v>10000</v>
      </c>
      <c r="Y1080">
        <f>IFERROR(W1080-X1080,"")</f>
        <v/>
      </c>
      <c r="Z1080">
        <f>IFERROR(ABS(Y1080)/MAX(X1080,1),"")</f>
        <v/>
      </c>
      <c r="AA1080">
        <f>IFERROR((X1080-(((E1080/100000+F1080/100+S1080/200)*200*I1080*H1080)+((E1080*F1080/25000)*I1080*H1080))/3)/(((J1080/5)*200*I1080*H1080)+((J1080*S1080/2.5)*I1080*H1080)+((E1080*F1080*J1080*S1080*I1080*H1080)/12500000))/3*1000,"")</f>
        <v/>
      </c>
    </row>
    <row r="1081">
      <c r="B1081" s="7" t="inlineStr">
        <is>
          <t xml:space="preserve">  ↳ VolkovMagneticWeapon</t>
        </is>
      </c>
      <c r="C1081" s="7" t="inlineStr">
        <is>
          <t>Armament</t>
        </is>
      </c>
      <c r="L1081" s="6" t="n">
        <v>30000</v>
      </c>
      <c r="M1081" s="6" t="n">
        <v>15</v>
      </c>
      <c r="N1081" s="6" t="n">
        <v>2</v>
      </c>
      <c r="O1081" s="6" t="n">
        <v>5</v>
      </c>
      <c r="P1081" s="6" t="n">
        <v>5400</v>
      </c>
      <c r="Q1081" s="6" t="n">
        <v>1.25</v>
      </c>
      <c r="R1081">
        <f>M1081+IF(N1081&gt;1,N(O1081)*(N1081-1),0)</f>
        <v/>
      </c>
      <c r="S1081">
        <f>IFERROR(L1081*MAX(N1081,1)/R1081*IF(ISBLANK(K1080),1,K1080),0)</f>
        <v/>
      </c>
      <c r="AB1081" s="7" t="inlineStr">
        <is>
          <t>^Warhead_CannonHE_Heavy</t>
        </is>
      </c>
    </row>
    <row r="1082">
      <c r="B1082" s="7" t="inlineStr">
        <is>
          <t xml:space="preserve">  ↳ VolkovMagneticWeaponTesla</t>
        </is>
      </c>
      <c r="C1082" s="7" t="inlineStr">
        <is>
          <t>Armament@Tesla</t>
        </is>
      </c>
      <c r="L1082" s="6" t="n">
        <v>32000</v>
      </c>
      <c r="M1082" s="6" t="n">
        <v>30</v>
      </c>
      <c r="N1082" s="6" t="n">
        <v>2</v>
      </c>
      <c r="O1082" s="6" t="n">
        <v>9</v>
      </c>
      <c r="P1082" s="6" t="n">
        <v>5660</v>
      </c>
      <c r="Q1082" s="6" t="n">
        <v>1.25</v>
      </c>
      <c r="R1082">
        <f>M1082+IF(N1082&gt;1,N(O1082)*(N1082-1),0)</f>
        <v/>
      </c>
      <c r="S1082">
        <f>IFERROR(L1082*MAX(N1082,1)/R1082*IF(ISBLANK(K1080),1,K1080),0)</f>
        <v/>
      </c>
      <c r="AB1082" s="7" t="inlineStr">
        <is>
          <t>^Warhead_CannonHE_Heavy, ^Warhead_Tesla_Heavy</t>
        </is>
      </c>
    </row>
    <row r="1083">
      <c r="B1083" s="7" t="inlineStr">
        <is>
          <t xml:space="preserve">  ↳ VolkovMagneticWeaponNuclearShells</t>
        </is>
      </c>
      <c r="C1083" s="7" t="inlineStr">
        <is>
          <t>Armament@NuclearShells</t>
        </is>
      </c>
      <c r="L1083" s="6" t="n">
        <v>160000</v>
      </c>
      <c r="M1083" s="6" t="n">
        <v>40</v>
      </c>
      <c r="N1083" s="6" t="n">
        <v>1</v>
      </c>
      <c r="O1083" s="6" t="n">
        <v>5</v>
      </c>
      <c r="P1083" s="6" t="n">
        <v>5400</v>
      </c>
      <c r="Q1083" s="6" t="n">
        <v>1.375</v>
      </c>
      <c r="R1083">
        <f>M1083+IF(N1083&gt;1,N(O1083)*(N1083-1),0)</f>
        <v/>
      </c>
      <c r="S1083">
        <f>IFERROR(L1083*MAX(N1083,1)/R1083*IF(ISBLANK(K1080),1,K1080),0)</f>
        <v/>
      </c>
      <c r="AB1083" s="7" t="inlineStr">
        <is>
          <t>^Warhead_Nuclear_Super, ^Warhead_CannonHE_Heavy</t>
        </is>
      </c>
    </row>
    <row r="1084">
      <c r="B1084" s="7" t="inlineStr">
        <is>
          <t xml:space="preserve">  ↳ VolkovMagneticWeaponIncendiary</t>
        </is>
      </c>
      <c r="C1084" s="7" t="inlineStr">
        <is>
          <t>Armament@Incendiary</t>
        </is>
      </c>
      <c r="L1084" s="6" t="n">
        <v>40000</v>
      </c>
      <c r="M1084" s="6" t="n">
        <v>15</v>
      </c>
      <c r="N1084" s="6" t="n">
        <v>2</v>
      </c>
      <c r="O1084" s="6" t="n">
        <v>5</v>
      </c>
      <c r="P1084" s="6" t="n">
        <v>5400</v>
      </c>
      <c r="Q1084" s="6" t="n">
        <v>1.125</v>
      </c>
      <c r="R1084">
        <f>M1084+IF(N1084&gt;1,N(O1084)*(N1084-1),0)</f>
        <v/>
      </c>
      <c r="S1084">
        <f>IFERROR(L1084*MAX(N1084,1)/R1084*IF(ISBLANK(K1080),1,K1080),0)</f>
        <v/>
      </c>
      <c r="AB1084" s="7" t="inlineStr">
        <is>
          <t>^Warhead_Flame_Medium, ^Warhead_CannonHE_Heavy</t>
        </is>
      </c>
    </row>
    <row r="1085">
      <c r="B1085" s="7" t="inlineStr">
        <is>
          <t xml:space="preserve">  ↳ VolkovMagneticWeaponIncendiaryTesla</t>
        </is>
      </c>
      <c r="C1085" s="7" t="inlineStr">
        <is>
          <t>Armament@IncendiaryTesla</t>
        </is>
      </c>
      <c r="L1085" s="6" t="n">
        <v>40000</v>
      </c>
      <c r="M1085" s="6" t="n">
        <v>30</v>
      </c>
      <c r="N1085" s="6" t="n">
        <v>2</v>
      </c>
      <c r="O1085" s="6" t="n">
        <v>9</v>
      </c>
      <c r="P1085" s="6" t="n">
        <v>5660</v>
      </c>
      <c r="Q1085" s="6" t="n">
        <v>1.25</v>
      </c>
      <c r="R1085">
        <f>M1085+IF(N1085&gt;1,N(O1085)*(N1085-1),0)</f>
        <v/>
      </c>
      <c r="S1085">
        <f>IFERROR(L1085*MAX(N1085,1)/R1085*IF(ISBLANK(K1080),1,K1080),0)</f>
        <v/>
      </c>
      <c r="AB1085" s="7" t="inlineStr">
        <is>
          <t>^Warhead_CannonHE_Heavy</t>
        </is>
      </c>
    </row>
    <row r="1086">
      <c r="B1086" s="7" t="inlineStr">
        <is>
          <t xml:space="preserve">  ↳ VolkovMagneticWeaponIncendiaryNuclearShells</t>
        </is>
      </c>
      <c r="C1086" s="7" t="inlineStr">
        <is>
          <t>Armament@IncendiaryNuclearShells</t>
        </is>
      </c>
      <c r="L1086" s="6" t="n">
        <v>200000</v>
      </c>
      <c r="M1086" s="6" t="n">
        <v>40</v>
      </c>
      <c r="N1086" s="6" t="n">
        <v>1</v>
      </c>
      <c r="O1086" s="6" t="n">
        <v>5</v>
      </c>
      <c r="P1086" s="6" t="n">
        <v>5400</v>
      </c>
      <c r="Q1086" s="6" t="n">
        <v>1.25</v>
      </c>
      <c r="R1086">
        <f>M1086+IF(N1086&gt;1,N(O1086)*(N1086-1),0)</f>
        <v/>
      </c>
      <c r="S1086">
        <f>IFERROR(L1086*MAX(N1086,1)/R1086*IF(ISBLANK(K1080),1,K1080),0)</f>
        <v/>
      </c>
      <c r="AB1086" s="7" t="inlineStr">
        <is>
          <t>^Warhead_CannonHE_Heavy</t>
        </is>
      </c>
    </row>
    <row r="1087">
      <c r="B1087" s="7" t="inlineStr">
        <is>
          <t xml:space="preserve">  ↳ VolkovMagneticWeapon</t>
        </is>
      </c>
      <c r="C1087" s="7" t="inlineStr">
        <is>
          <t>Armament@GARRISONED</t>
        </is>
      </c>
      <c r="L1087" s="6" t="n">
        <v>30000</v>
      </c>
      <c r="M1087" s="6" t="n">
        <v>15</v>
      </c>
      <c r="N1087" s="6" t="n">
        <v>2</v>
      </c>
      <c r="O1087" s="6" t="n">
        <v>5</v>
      </c>
      <c r="P1087" s="6" t="n">
        <v>5400</v>
      </c>
      <c r="Q1087" s="6" t="n">
        <v>1.25</v>
      </c>
      <c r="R1087">
        <f>M1087+IF(N1087&gt;1,N(O1087)*(N1087-1),0)</f>
        <v/>
      </c>
      <c r="S1087">
        <f>IFERROR(L1087*MAX(N1087,1)/R1087*IF(ISBLANK(K1080),1,K1080),0)</f>
        <v/>
      </c>
      <c r="AB1087" s="7" t="inlineStr">
        <is>
          <t>^Warhead_CannonHE_Heavy</t>
        </is>
      </c>
    </row>
    <row r="1088">
      <c r="B1088" s="7" t="inlineStr">
        <is>
          <t xml:space="preserve">  ↳ VolkovMagneticWeaponTesla</t>
        </is>
      </c>
      <c r="C1088" s="7" t="inlineStr">
        <is>
          <t>Armament@GARRISONEDTesla</t>
        </is>
      </c>
      <c r="L1088" s="6" t="n">
        <v>32000</v>
      </c>
      <c r="M1088" s="6" t="n">
        <v>30</v>
      </c>
      <c r="N1088" s="6" t="n">
        <v>2</v>
      </c>
      <c r="O1088" s="6" t="n">
        <v>9</v>
      </c>
      <c r="P1088" s="6" t="n">
        <v>5660</v>
      </c>
      <c r="Q1088" s="6" t="n">
        <v>1.25</v>
      </c>
      <c r="R1088">
        <f>M1088+IF(N1088&gt;1,N(O1088)*(N1088-1),0)</f>
        <v/>
      </c>
      <c r="S1088">
        <f>IFERROR(L1088*MAX(N1088,1)/R1088*IF(ISBLANK(K1080),1,K1080),0)</f>
        <v/>
      </c>
      <c r="AB1088" s="7" t="inlineStr">
        <is>
          <t>^Warhead_CannonHE_Heavy, ^Warhead_Tesla_Heavy</t>
        </is>
      </c>
    </row>
    <row r="1089">
      <c r="B1089" s="7" t="inlineStr">
        <is>
          <t xml:space="preserve">  ↳ VolkovMagneticWeaponNuclearShells</t>
        </is>
      </c>
      <c r="C1089" s="7" t="inlineStr">
        <is>
          <t>Armament@GARRISONEDNuclearShells</t>
        </is>
      </c>
      <c r="L1089" s="6" t="n">
        <v>160000</v>
      </c>
      <c r="M1089" s="6" t="n">
        <v>40</v>
      </c>
      <c r="N1089" s="6" t="n">
        <v>1</v>
      </c>
      <c r="O1089" s="6" t="n">
        <v>5</v>
      </c>
      <c r="P1089" s="6" t="n">
        <v>5400</v>
      </c>
      <c r="Q1089" s="6" t="n">
        <v>1.375</v>
      </c>
      <c r="R1089">
        <f>M1089+IF(N1089&gt;1,N(O1089)*(N1089-1),0)</f>
        <v/>
      </c>
      <c r="S1089">
        <f>IFERROR(L1089*MAX(N1089,1)/R1089*IF(ISBLANK(K1080),1,K1080),0)</f>
        <v/>
      </c>
      <c r="AB1089" s="7" t="inlineStr">
        <is>
          <t>^Warhead_Nuclear_Super, ^Warhead_CannonHE_Heavy</t>
        </is>
      </c>
    </row>
    <row r="1090">
      <c r="B1090" s="7" t="inlineStr">
        <is>
          <t xml:space="preserve">  ↳ VolkovMagneticWeaponIncendiary</t>
        </is>
      </c>
      <c r="C1090" s="7" t="inlineStr">
        <is>
          <t>Armament@GARRISONEDIncendiary</t>
        </is>
      </c>
      <c r="L1090" s="6" t="n">
        <v>40000</v>
      </c>
      <c r="M1090" s="6" t="n">
        <v>15</v>
      </c>
      <c r="N1090" s="6" t="n">
        <v>2</v>
      </c>
      <c r="O1090" s="6" t="n">
        <v>5</v>
      </c>
      <c r="P1090" s="6" t="n">
        <v>5400</v>
      </c>
      <c r="Q1090" s="6" t="n">
        <v>1.125</v>
      </c>
      <c r="R1090">
        <f>M1090+IF(N1090&gt;1,N(O1090)*(N1090-1),0)</f>
        <v/>
      </c>
      <c r="S1090">
        <f>IFERROR(L1090*MAX(N1090,1)/R1090*IF(ISBLANK(K1080),1,K1080),0)</f>
        <v/>
      </c>
      <c r="AB1090" s="7" t="inlineStr">
        <is>
          <t>^Warhead_Flame_Medium, ^Warhead_CannonHE_Heavy</t>
        </is>
      </c>
    </row>
    <row r="1091">
      <c r="B1091" s="7" t="inlineStr">
        <is>
          <t xml:space="preserve">  ↳ VolkovMagneticWeaponIncendiaryTesla</t>
        </is>
      </c>
      <c r="C1091" s="7" t="inlineStr">
        <is>
          <t>Armament@GARRISONEDIncendiaryTesla</t>
        </is>
      </c>
      <c r="L1091" s="6" t="n">
        <v>40000</v>
      </c>
      <c r="M1091" s="6" t="n">
        <v>30</v>
      </c>
      <c r="N1091" s="6" t="n">
        <v>2</v>
      </c>
      <c r="O1091" s="6" t="n">
        <v>9</v>
      </c>
      <c r="P1091" s="6" t="n">
        <v>5660</v>
      </c>
      <c r="Q1091" s="6" t="n">
        <v>1.25</v>
      </c>
      <c r="R1091">
        <f>M1091+IF(N1091&gt;1,N(O1091)*(N1091-1),0)</f>
        <v/>
      </c>
      <c r="S1091">
        <f>IFERROR(L1091*MAX(N1091,1)/R1091*IF(ISBLANK(K1080),1,K1080),0)</f>
        <v/>
      </c>
      <c r="AB1091" s="7" t="inlineStr">
        <is>
          <t>^Warhead_CannonHE_Heavy</t>
        </is>
      </c>
    </row>
    <row r="1092">
      <c r="B1092" s="7" t="inlineStr">
        <is>
          <t xml:space="preserve">  ↳ VolkovMagneticWeaponIncendiaryNuclearShells</t>
        </is>
      </c>
      <c r="C1092" s="7" t="inlineStr">
        <is>
          <t>Armament@GARRISONEDIncendiaryNuclearShells</t>
        </is>
      </c>
      <c r="L1092" s="6" t="n">
        <v>200000</v>
      </c>
      <c r="M1092" s="6" t="n">
        <v>40</v>
      </c>
      <c r="N1092" s="6" t="n">
        <v>1</v>
      </c>
      <c r="O1092" s="6" t="n">
        <v>5</v>
      </c>
      <c r="P1092" s="6" t="n">
        <v>5400</v>
      </c>
      <c r="Q1092" s="6" t="n">
        <v>1.25</v>
      </c>
      <c r="R1092">
        <f>M1092+IF(N1092&gt;1,N(O1092)*(N1092-1),0)</f>
        <v/>
      </c>
      <c r="S1092">
        <f>IFERROR(L1092*MAX(N1092,1)/R1092*IF(ISBLANK(K1080),1,K1080),0)</f>
        <v/>
      </c>
      <c r="AB1092" s="7" t="inlineStr">
        <is>
          <t>^Warhead_CannonHE_Heavy</t>
        </is>
      </c>
    </row>
    <row r="1093">
      <c r="A1093" t="inlineStr">
        <is>
          <t>redalert</t>
        </is>
      </c>
      <c r="B1093" t="inlineStr">
        <is>
          <t>ra1_allies_tanya</t>
        </is>
      </c>
      <c r="C1093" t="inlineStr">
        <is>
          <t>Tanya</t>
        </is>
      </c>
      <c r="D1093" s="6" t="inlineStr">
        <is>
          <t>HeroInfantry</t>
        </is>
      </c>
      <c r="E1093" s="6" t="n">
        <v>44000</v>
      </c>
      <c r="F1093" s="6" t="n">
        <v>77</v>
      </c>
      <c r="G1093" t="inlineStr">
        <is>
          <t>Heroic</t>
        </is>
      </c>
      <c r="H1093" s="6" t="n">
        <v>0.75</v>
      </c>
      <c r="I1093" s="6" t="n">
        <v>1</v>
      </c>
      <c r="J1093" s="6" t="n">
        <v>1.25</v>
      </c>
      <c r="K1093" s="6" t="n"/>
      <c r="P1093">
        <f>MAX(P1094)</f>
        <v/>
      </c>
      <c r="S1093">
        <f>S1094</f>
        <v/>
      </c>
      <c r="T1093">
        <f>(E1093/100000+F1093/100+(P1093/1000)*J1093/5+S1093/200)*200*I1093*H1093</f>
        <v/>
      </c>
      <c r="U1093">
        <f>((E1093*F1093/25000)+((P1093/1000)*J1093*S1093/2.5))*I1093*H1093</f>
        <v/>
      </c>
      <c r="V1093">
        <f>(E1093*F1093*(P1093/1000)*J1093*S1093*I1093*H1093)/12500000</f>
        <v/>
      </c>
      <c r="W1093">
        <f>(T1093+U1093+V1093)/3</f>
        <v/>
      </c>
      <c r="X1093" s="6" t="n">
        <v>3000</v>
      </c>
      <c r="Y1093">
        <f>IFERROR(W1093-X1093,"")</f>
        <v/>
      </c>
      <c r="Z1093">
        <f>IFERROR(ABS(Y1093)/MAX(X1093,1),"")</f>
        <v/>
      </c>
      <c r="AA1093">
        <f>IFERROR((X1093-(((E1093/100000+F1093/100+S1093/200)*200*I1093*H1093)+((E1093*F1093/25000)*I1093*H1093))/3)/(((J1093/5)*200*I1093*H1093)+((J1093*S1093/2.5)*I1093*H1093)+((E1093*F1093*J1093*S1093*I1093*H1093)/12500000))/3*1000,"")</f>
        <v/>
      </c>
    </row>
    <row r="1094">
      <c r="B1094" s="7" t="inlineStr">
        <is>
          <t xml:space="preserve">  ↳ Colt45</t>
        </is>
      </c>
      <c r="C1094" s="7" t="inlineStr">
        <is>
          <t>Armament@PRIMARY</t>
        </is>
      </c>
      <c r="L1094" s="6" t="n">
        <v>7777</v>
      </c>
      <c r="M1094" s="6" t="n">
        <v>7</v>
      </c>
      <c r="N1094" s="6" t="n">
        <v>2</v>
      </c>
      <c r="O1094" s="6" t="n">
        <v>0</v>
      </c>
      <c r="P1094" s="6" t="n">
        <v>7777</v>
      </c>
      <c r="Q1094" s="6" t="n">
        <v>0.75</v>
      </c>
      <c r="R1094">
        <f>M1094+IF(N1094&gt;1,N(O1094)*(N1094-1),0)</f>
        <v/>
      </c>
      <c r="S1094">
        <f>IFERROR(L1094*MAX(N1094,1)/R1094*IF(ISBLANK(K1093),1,K1093),0)</f>
        <v/>
      </c>
      <c r="AB1094" s="7" t="inlineStr">
        <is>
          <t>^Warhead_Sniper_Light</t>
        </is>
      </c>
    </row>
    <row r="1095">
      <c r="B1095" s="7" t="inlineStr">
        <is>
          <t xml:space="preserve">  ↳ Colt45</t>
        </is>
      </c>
      <c r="C1095" s="7" t="inlineStr">
        <is>
          <t>Armament@GARRISONED</t>
        </is>
      </c>
      <c r="L1095" s="6" t="n">
        <v>7777</v>
      </c>
      <c r="M1095" s="6" t="n">
        <v>7</v>
      </c>
      <c r="N1095" s="6" t="n">
        <v>2</v>
      </c>
      <c r="O1095" s="6" t="n">
        <v>0</v>
      </c>
      <c r="P1095" s="6" t="n">
        <v>7777</v>
      </c>
      <c r="Q1095" s="6" t="n">
        <v>0.75</v>
      </c>
      <c r="R1095">
        <f>M1095+IF(N1095&gt;1,N(O1095)*(N1095-1),0)</f>
        <v/>
      </c>
      <c r="S1095">
        <f>IFERROR(L1095*MAX(N1095,1)/R1095*IF(ISBLANK(K1093),1,K1093),0)</f>
        <v/>
      </c>
      <c r="AB1095" s="7" t="inlineStr">
        <is>
          <t>^Warhead_Sniper_Light</t>
        </is>
      </c>
    </row>
    <row r="1096">
      <c r="B1096" s="7" t="inlineStr">
        <is>
          <t xml:space="preserve">  ↳ TanyaAttach</t>
        </is>
      </c>
      <c r="C1096" s="7" t="inlineStr">
        <is>
          <t>Armament@c4</t>
        </is>
      </c>
      <c r="L1096" s="6" t="n"/>
      <c r="M1096" s="6" t="n">
        <v>20</v>
      </c>
      <c r="N1096" s="6" t="n">
        <v>1</v>
      </c>
      <c r="O1096" s="6" t="n"/>
      <c r="P1096" s="6" t="n">
        <v>2000</v>
      </c>
      <c r="Q1096" s="6" t="n">
        <v>1</v>
      </c>
      <c r="R1096">
        <f>M1096+IF(N1096&gt;1,N(O1096)*(N1096-1),0)</f>
        <v/>
      </c>
      <c r="S1096">
        <f>IFERROR(L1096*MAX(N1096,1)/R1096*IF(ISBLANK(K1093),1,K1093),0)</f>
        <v/>
      </c>
      <c r="AB1096" s="7" t="inlineStr">
        <is>
          <t>IvanAttach</t>
        </is>
      </c>
    </row>
    <row r="1097">
      <c r="B1097" s="7" t="inlineStr">
        <is>
          <t xml:space="preserve">  ↳ GenericC4</t>
        </is>
      </c>
      <c r="C1097" s="7" t="inlineStr">
        <is>
          <t>Armament@c4building</t>
        </is>
      </c>
      <c r="L1097" s="6" t="n"/>
      <c r="M1097" s="6" t="n">
        <v>20</v>
      </c>
      <c r="N1097" s="6" t="n">
        <v>1</v>
      </c>
      <c r="O1097" s="6" t="n"/>
      <c r="P1097" s="6" t="n">
        <v>2000</v>
      </c>
      <c r="Q1097" s="6" t="n">
        <v>1</v>
      </c>
      <c r="R1097">
        <f>M1097+IF(N1097&gt;1,N(O1097)*(N1097-1),0)</f>
        <v/>
      </c>
      <c r="S1097">
        <f>IFERROR(L1097*MAX(N1097,1)/R1097*IF(ISBLANK(K1093),1,K1093),0)</f>
        <v/>
      </c>
      <c r="AB1097" s="7" t="inlineStr"/>
    </row>
    <row r="1098">
      <c r="A1098" t="inlineStr">
        <is>
          <t>tiberiansun</t>
        </is>
      </c>
      <c r="B1098" t="inlineStr">
        <is>
          <t>cabal_berserker</t>
        </is>
      </c>
      <c r="C1098" t="inlineStr">
        <is>
          <t>Berserker</t>
        </is>
      </c>
      <c r="D1098" s="6" t="inlineStr">
        <is>
          <t>HeroInfantry</t>
        </is>
      </c>
      <c r="E1098" s="6" t="n">
        <v>800000</v>
      </c>
      <c r="F1098" s="6" t="n">
        <v>60</v>
      </c>
      <c r="G1098" t="inlineStr">
        <is>
          <t>Heavy</t>
        </is>
      </c>
      <c r="H1098" s="6" t="n">
        <v>0.5</v>
      </c>
      <c r="I1098" s="6" t="n">
        <v>1</v>
      </c>
      <c r="J1098" s="6" t="n">
        <v>1</v>
      </c>
      <c r="K1098" s="6" t="n"/>
      <c r="P1098">
        <f>MAX(P1099)</f>
        <v/>
      </c>
      <c r="S1098">
        <f>S1099</f>
        <v/>
      </c>
      <c r="T1098">
        <f>(E1098/100000+F1098/100+(P1098/1000)*J1098/5+S1098/200)*200*I1098*H1098</f>
        <v/>
      </c>
      <c r="U1098">
        <f>((E1098*F1098/25000)+((P1098/1000)*J1098*S1098/2.5))*I1098*H1098</f>
        <v/>
      </c>
      <c r="V1098">
        <f>(E1098*F1098*(P1098/1000)*J1098*S1098*I1098*H1098)/12500000</f>
        <v/>
      </c>
      <c r="W1098">
        <f>(T1098+U1098+V1098)/3</f>
        <v/>
      </c>
      <c r="X1098" s="6" t="n">
        <v>10000</v>
      </c>
      <c r="Y1098">
        <f>IFERROR(W1098-X1098,"")</f>
        <v/>
      </c>
      <c r="Z1098">
        <f>IFERROR(ABS(Y1098)/MAX(X1098,1),"")</f>
        <v/>
      </c>
      <c r="AA1098">
        <f>IFERROR((X1098-(((E1098/100000+F1098/100+S1098/200)*200*I1098*H1098)+((E1098*F1098/25000)*I1098*H1098))/3)/(((J1098/5)*200*I1098*H1098)+((J1098*S1098/2.5)*I1098*H1098)+((E1098*F1098*J1098*S1098*I1098*H1098)/12500000))/3*1000,"")</f>
        <v/>
      </c>
    </row>
    <row r="1099">
      <c r="B1099" s="7" t="inlineStr">
        <is>
          <t xml:space="preserve">  ↳ CabalBerserkerBlades</t>
        </is>
      </c>
      <c r="C1099" s="7" t="inlineStr">
        <is>
          <t>Armament@PRIMARY</t>
        </is>
      </c>
      <c r="L1099" s="6" t="n">
        <v>74000</v>
      </c>
      <c r="M1099" s="6" t="n">
        <v>30</v>
      </c>
      <c r="N1099" s="6" t="n">
        <v>3</v>
      </c>
      <c r="O1099" s="6" t="n">
        <v>5</v>
      </c>
      <c r="P1099" s="6" t="n">
        <v>2048</v>
      </c>
      <c r="Q1099" s="6" t="n">
        <v>1</v>
      </c>
      <c r="R1099">
        <f>M1099+IF(N1099&gt;1,N(O1099)*(N1099-1),0)</f>
        <v/>
      </c>
      <c r="S1099">
        <f>IFERROR(L1099*MAX(N1099,1)/R1099*IF(ISBLANK(K1098),1,K1098),0)</f>
        <v/>
      </c>
      <c r="AB1099" s="7" t="inlineStr">
        <is>
          <t>^Warhead_Melee_Medium</t>
        </is>
      </c>
    </row>
    <row r="1100">
      <c r="A1100" t="inlineStr">
        <is>
          <t>tiberiansun</t>
        </is>
      </c>
      <c r="B1100" t="inlineStr">
        <is>
          <t>ts_nod_shotguncommando</t>
        </is>
      </c>
      <c r="C1100" t="inlineStr">
        <is>
          <t>Shotgun Commando</t>
        </is>
      </c>
      <c r="D1100" s="6" t="inlineStr">
        <is>
          <t>HeroInfantry</t>
        </is>
      </c>
      <c r="E1100" s="6" t="n">
        <v>100000</v>
      </c>
      <c r="F1100" s="6" t="n">
        <v>80</v>
      </c>
      <c r="G1100" t="inlineStr">
        <is>
          <t>Heroic</t>
        </is>
      </c>
      <c r="H1100" s="6" t="n">
        <v>0.7269</v>
      </c>
      <c r="I1100" s="6" t="n">
        <v>1</v>
      </c>
      <c r="J1100" s="6" t="n">
        <v>1</v>
      </c>
      <c r="K1100" s="6" t="n"/>
      <c r="P1100">
        <f>MAX(P1101)</f>
        <v/>
      </c>
      <c r="S1100">
        <f>S1101</f>
        <v/>
      </c>
      <c r="T1100">
        <f>(E1100/100000+F1100/100+(P1100/1000)*J1100/5+S1100/200)*200*I1100*H1100</f>
        <v/>
      </c>
      <c r="U1100">
        <f>((E1100*F1100/25000)+((P1100/1000)*J1100*S1100/2.5))*I1100*H1100</f>
        <v/>
      </c>
      <c r="V1100">
        <f>(E1100*F1100*(P1100/1000)*J1100*S1100*I1100*H1100)/12500000</f>
        <v/>
      </c>
      <c r="W1100">
        <f>(T1100+U1100+V1100)/3</f>
        <v/>
      </c>
      <c r="X1100" s="6" t="n">
        <v>3000</v>
      </c>
      <c r="Y1100">
        <f>IFERROR(W1100-X1100,"")</f>
        <v/>
      </c>
      <c r="Z1100">
        <f>IFERROR(ABS(Y1100)/MAX(X1100,1),"")</f>
        <v/>
      </c>
      <c r="AA1100">
        <f>IFERROR((X1100-(((E1100/100000+F1100/100+S1100/200)*200*I1100*H1100)+((E1100*F1100/25000)*I1100*H1100))/3)/(((J1100/5)*200*I1100*H1100)+((J1100*S1100/2.5)*I1100*H1100)+((E1100*F1100*J1100*S1100*I1100*H1100)/12500000))/3*1000,"")</f>
        <v/>
      </c>
    </row>
    <row r="1101">
      <c r="B1101" s="7" t="inlineStr">
        <is>
          <t xml:space="preserve">  ↳ TSCommandoShotgun</t>
        </is>
      </c>
      <c r="C1101" s="7" t="inlineStr">
        <is>
          <t>Armament@PRIMARY</t>
        </is>
      </c>
      <c r="L1101" s="6" t="n">
        <v>48000</v>
      </c>
      <c r="M1101" s="6" t="n">
        <v>20</v>
      </c>
      <c r="N1101" s="6" t="n">
        <v>1</v>
      </c>
      <c r="O1101" s="6" t="n"/>
      <c r="P1101" s="6" t="n">
        <v>4146</v>
      </c>
      <c r="Q1101" s="6" t="n">
        <v>1</v>
      </c>
      <c r="R1101">
        <f>M1101+IF(N1101&gt;1,N(O1101)*(N1101-1),0)</f>
        <v/>
      </c>
      <c r="S1101">
        <f>IFERROR(L1101*MAX(N1101,1)/R1101*IF(ISBLANK(K1100),1,K1100),0)</f>
        <v/>
      </c>
      <c r="AB1101" s="7" t="inlineStr">
        <is>
          <t>^Warhead_CannonHE_Medium</t>
        </is>
      </c>
    </row>
    <row r="1102">
      <c r="B1102" s="7" t="inlineStr">
        <is>
          <t xml:space="preserve">  ↳ TSCommandoShotgun</t>
        </is>
      </c>
      <c r="C1102" s="7" t="inlineStr">
        <is>
          <t>Armament@GARRISONED</t>
        </is>
      </c>
      <c r="L1102" s="6" t="n">
        <v>48000</v>
      </c>
      <c r="M1102" s="6" t="n">
        <v>20</v>
      </c>
      <c r="N1102" s="6" t="n">
        <v>1</v>
      </c>
      <c r="O1102" s="6" t="n"/>
      <c r="P1102" s="6" t="n">
        <v>4146</v>
      </c>
      <c r="Q1102" s="6" t="n">
        <v>1</v>
      </c>
      <c r="R1102">
        <f>M1102+IF(N1102&gt;1,N(O1102)*(N1102-1),0)</f>
        <v/>
      </c>
      <c r="S1102">
        <f>IFERROR(L1102*MAX(N1102,1)/R1102*IF(ISBLANK(K1100),1,K1100),0)</f>
        <v/>
      </c>
      <c r="AB1102" s="7" t="inlineStr">
        <is>
          <t>^Warhead_CannonHE_Medium</t>
        </is>
      </c>
    </row>
    <row r="1103">
      <c r="A1103" t="inlineStr">
        <is>
          <t>tiberiansun</t>
        </is>
      </c>
      <c r="B1103" t="inlineStr">
        <is>
          <t>ts_gdi_railguncommando</t>
        </is>
      </c>
      <c r="C1103" t="inlineStr">
        <is>
          <t>Railgun Commando</t>
        </is>
      </c>
      <c r="D1103" s="6" t="inlineStr">
        <is>
          <t>HeroInfantry</t>
        </is>
      </c>
      <c r="E1103" s="6" t="n">
        <v>100000</v>
      </c>
      <c r="F1103" s="6" t="n">
        <v>60</v>
      </c>
      <c r="G1103" t="inlineStr">
        <is>
          <t>Heroic</t>
        </is>
      </c>
      <c r="H1103" s="6" t="n">
        <v>0.7333</v>
      </c>
      <c r="I1103" s="6" t="n">
        <v>1</v>
      </c>
      <c r="J1103" s="6" t="n">
        <v>1</v>
      </c>
      <c r="K1103" s="6" t="n"/>
      <c r="P1103">
        <f>MAX(P1104,P1105)</f>
        <v/>
      </c>
      <c r="S1103">
        <f>S1104+S1105</f>
        <v/>
      </c>
      <c r="T1103">
        <f>(E1103/100000+F1103/100+(P1103/1000)*J1103/5+S1103/200)*200*I1103*H1103</f>
        <v/>
      </c>
      <c r="U1103">
        <f>((E1103*F1103/25000)+((P1103/1000)*J1103*S1103/2.5))*I1103*H1103</f>
        <v/>
      </c>
      <c r="V1103">
        <f>(E1103*F1103*(P1103/1000)*J1103*S1103*I1103*H1103)/12500000</f>
        <v/>
      </c>
      <c r="W1103">
        <f>(T1103+U1103+V1103)/3</f>
        <v/>
      </c>
      <c r="X1103" s="6" t="n">
        <v>5000</v>
      </c>
      <c r="Y1103">
        <f>IFERROR(W1103-X1103,"")</f>
        <v/>
      </c>
      <c r="Z1103">
        <f>IFERROR(ABS(Y1103)/MAX(X1103,1),"")</f>
        <v/>
      </c>
      <c r="AA1103">
        <f>IFERROR((X1103-(((E1103/100000+F1103/100+S1103/200)*200*I1103*H1103)+((E1103*F1103/25000)*I1103*H1103))/3)/(((J1103/5)*200*I1103*H1103)+((J1103*S1103/2.5)*I1103*H1103)+((E1103*F1103*J1103*S1103*I1103*H1103)/12500000))/3*1000,"")</f>
        <v/>
      </c>
    </row>
    <row r="1104">
      <c r="B1104" s="7" t="inlineStr">
        <is>
          <t xml:space="preserve">  ↳ TSCommandoRailgun</t>
        </is>
      </c>
      <c r="C1104" s="7" t="inlineStr">
        <is>
          <t>Armament@PRIMARY</t>
        </is>
      </c>
      <c r="L1104" s="6" t="n">
        <v>40000</v>
      </c>
      <c r="M1104" s="6" t="n">
        <v>52</v>
      </c>
      <c r="N1104" s="6" t="n">
        <v>3</v>
      </c>
      <c r="O1104" s="6" t="n">
        <v>4</v>
      </c>
      <c r="P1104" s="6" t="n">
        <v>7563</v>
      </c>
      <c r="Q1104" s="6" t="n">
        <v>1.25</v>
      </c>
      <c r="R1104">
        <f>M1104+IF(N1104&gt;1,N(O1104)*(N1104-1),0)</f>
        <v/>
      </c>
      <c r="S1104">
        <f>IFERROR(L1104*MAX(N1104,1)/R1104*IF(ISBLANK(K1103),1,K1103),0)</f>
        <v/>
      </c>
      <c r="AB1104" s="7" t="inlineStr">
        <is>
          <t>^Warhead_Railgun_Heavy</t>
        </is>
      </c>
    </row>
    <row r="1105">
      <c r="B1105" s="7" t="inlineStr">
        <is>
          <t xml:space="preserve">  ↳ TSCommandoRailgunRail</t>
        </is>
      </c>
      <c r="C1105" s="7" t="inlineStr">
        <is>
          <t>Armament@Upgrade</t>
        </is>
      </c>
      <c r="L1105" s="6" t="n">
        <v>40000</v>
      </c>
      <c r="M1105" s="6" t="n">
        <v>52</v>
      </c>
      <c r="N1105" s="6" t="n">
        <v>5</v>
      </c>
      <c r="O1105" s="6" t="n">
        <v>4</v>
      </c>
      <c r="P1105" s="6" t="n">
        <v>7563</v>
      </c>
      <c r="Q1105" s="6" t="n">
        <v>1.25</v>
      </c>
      <c r="R1105">
        <f>M1105+IF(N1105&gt;1,N(O1105)*(N1105-1),0)</f>
        <v/>
      </c>
      <c r="S1105">
        <f>IFERROR(L1105*MAX(N1105,1)/R1105*IF(ISBLANK(K1103),1,K1103),0)</f>
        <v/>
      </c>
      <c r="AB1105" s="7" t="inlineStr">
        <is>
          <t>^Warhead_Railgun_Heavy</t>
        </is>
      </c>
    </row>
    <row r="1106">
      <c r="B1106" s="7" t="inlineStr">
        <is>
          <t xml:space="preserve">  ↳ TSCommandoRailgun</t>
        </is>
      </c>
      <c r="C1106" s="7" t="inlineStr">
        <is>
          <t>Armament@GARRISONED</t>
        </is>
      </c>
      <c r="L1106" s="6" t="n">
        <v>40000</v>
      </c>
      <c r="M1106" s="6" t="n">
        <v>52</v>
      </c>
      <c r="N1106" s="6" t="n">
        <v>3</v>
      </c>
      <c r="O1106" s="6" t="n">
        <v>4</v>
      </c>
      <c r="P1106" s="6" t="n">
        <v>7563</v>
      </c>
      <c r="Q1106" s="6" t="n">
        <v>1.25</v>
      </c>
      <c r="R1106">
        <f>M1106+IF(N1106&gt;1,N(O1106)*(N1106-1),0)</f>
        <v/>
      </c>
      <c r="S1106">
        <f>IFERROR(L1106*MAX(N1106,1)/R1106*IF(ISBLANK(K1103),1,K1103),0)</f>
        <v/>
      </c>
      <c r="AB1106" s="7" t="inlineStr">
        <is>
          <t>^Warhead_Railgun_Heavy</t>
        </is>
      </c>
    </row>
    <row r="1107">
      <c r="B1107" s="7" t="inlineStr">
        <is>
          <t xml:space="preserve">  ↳ TSCommandoRailgunRail</t>
        </is>
      </c>
      <c r="C1107" s="7" t="inlineStr">
        <is>
          <t>Armament@UpgradeGARRISONED</t>
        </is>
      </c>
      <c r="L1107" s="6" t="n">
        <v>40000</v>
      </c>
      <c r="M1107" s="6" t="n">
        <v>52</v>
      </c>
      <c r="N1107" s="6" t="n">
        <v>5</v>
      </c>
      <c r="O1107" s="6" t="n">
        <v>4</v>
      </c>
      <c r="P1107" s="6" t="n">
        <v>7563</v>
      </c>
      <c r="Q1107" s="6" t="n">
        <v>1.25</v>
      </c>
      <c r="R1107">
        <f>M1107+IF(N1107&gt;1,N(O1107)*(N1107-1),0)</f>
        <v/>
      </c>
      <c r="S1107">
        <f>IFERROR(L1107*MAX(N1107,1)/R1107*IF(ISBLANK(K1103),1,K1103),0)</f>
        <v/>
      </c>
      <c r="AB1107" s="7" t="inlineStr">
        <is>
          <t>^Warhead_Railgun_Heavy</t>
        </is>
      </c>
    </row>
    <row r="1108">
      <c r="A1108" t="inlineStr">
        <is>
          <t>tiberiansun</t>
        </is>
      </c>
      <c r="B1108" t="inlineStr">
        <is>
          <t>forgotten_ghoststalker</t>
        </is>
      </c>
      <c r="C1108" t="inlineStr">
        <is>
          <t>actor_forgotten_ghoststalker.name</t>
        </is>
      </c>
      <c r="D1108" s="6" t="inlineStr">
        <is>
          <t>HeroInfantry</t>
        </is>
      </c>
      <c r="E1108" s="6" t="n">
        <v>100000</v>
      </c>
      <c r="F1108" s="6" t="n">
        <v>62</v>
      </c>
      <c r="G1108" t="inlineStr">
        <is>
          <t>Heroic</t>
        </is>
      </c>
      <c r="H1108" s="6" t="n">
        <v>0.8376</v>
      </c>
      <c r="I1108" s="6" t="n">
        <v>1</v>
      </c>
      <c r="J1108" s="6" t="n">
        <v>1</v>
      </c>
      <c r="K1108" s="6" t="n"/>
      <c r="P1108">
        <f>MAX(P1109,P1110)</f>
        <v/>
      </c>
      <c r="S1108">
        <f>S1109+S1110</f>
        <v/>
      </c>
      <c r="T1108">
        <f>(E1108/100000+F1108/100+(P1108/1000)*J1108/5+S1108/200)*200*I1108*H1108</f>
        <v/>
      </c>
      <c r="U1108">
        <f>((E1108*F1108/25000)+((P1108/1000)*J1108*S1108/2.5))*I1108*H1108</f>
        <v/>
      </c>
      <c r="V1108">
        <f>(E1108*F1108*(P1108/1000)*J1108*S1108*I1108*H1108)/12500000</f>
        <v/>
      </c>
      <c r="W1108">
        <f>(T1108+U1108+V1108)/3</f>
        <v/>
      </c>
      <c r="X1108" s="6" t="n">
        <v>4000</v>
      </c>
      <c r="Y1108">
        <f>IFERROR(W1108-X1108,"")</f>
        <v/>
      </c>
      <c r="Z1108">
        <f>IFERROR(ABS(Y1108)/MAX(X1108,1),"")</f>
        <v/>
      </c>
      <c r="AA1108">
        <f>IFERROR((X1108-(((E1108/100000+F1108/100+S1108/200)*200*I1108*H1108)+((E1108*F1108/25000)*I1108*H1108))/3)/(((J1108/5)*200*I1108*H1108)+((J1108*S1108/2.5)*I1108*H1108)+((E1108*F1108*J1108*S1108*I1108*H1108)/12500000))/3*1000,"")</f>
        <v/>
      </c>
    </row>
    <row r="1109">
      <c r="B1109" s="7" t="inlineStr">
        <is>
          <t xml:space="preserve">  ↳ TSGhostGun</t>
        </is>
      </c>
      <c r="C1109" s="7" t="inlineStr">
        <is>
          <t>Armament@PRIMARY</t>
        </is>
      </c>
      <c r="L1109" s="6" t="n">
        <v>20000</v>
      </c>
      <c r="M1109" s="6" t="n">
        <v>25</v>
      </c>
      <c r="N1109" s="6" t="n">
        <v>1</v>
      </c>
      <c r="O1109" s="6" t="n"/>
      <c r="P1109" s="6" t="n">
        <v>9557</v>
      </c>
      <c r="Q1109" s="6" t="n">
        <v>0.75</v>
      </c>
      <c r="R1109">
        <f>M1109+IF(N1109&gt;1,N(O1109)*(N1109-1),0)</f>
        <v/>
      </c>
      <c r="S1109">
        <f>IFERROR(L1109*MAX(N1109,1)/R1109*IF(ISBLANK(K1108),1,K1108),0)</f>
        <v/>
      </c>
      <c r="AB1109" s="7" t="inlineStr">
        <is>
          <t>^Warhead_Chemical_Light</t>
        </is>
      </c>
    </row>
    <row r="1110">
      <c r="B1110" s="7" t="inlineStr">
        <is>
          <t xml:space="preserve">  ↳ TSChemGhostGun</t>
        </is>
      </c>
      <c r="C1110" s="7" t="inlineStr">
        <is>
          <t>Armament@UPGRADE</t>
        </is>
      </c>
      <c r="L1110" s="6" t="n">
        <v>20000</v>
      </c>
      <c r="M1110" s="6" t="n">
        <v>25</v>
      </c>
      <c r="N1110" s="6" t="n">
        <v>1</v>
      </c>
      <c r="O1110" s="6" t="n"/>
      <c r="P1110" s="6" t="n">
        <v>9557</v>
      </c>
      <c r="Q1110" s="6" t="n">
        <v>0.75</v>
      </c>
      <c r="R1110">
        <f>M1110+IF(N1110&gt;1,N(O1110)*(N1110-1),0)</f>
        <v/>
      </c>
      <c r="S1110">
        <f>IFERROR(L1110*MAX(N1110,1)/R1110*IF(ISBLANK(K1108),1,K1108),0)</f>
        <v/>
      </c>
      <c r="AB1110" s="7" t="inlineStr">
        <is>
          <t>^Warhead_Chemical_Light</t>
        </is>
      </c>
    </row>
    <row r="1111">
      <c r="B1111" s="7" t="inlineStr">
        <is>
          <t xml:space="preserve">  ↳ GenericC4</t>
        </is>
      </c>
      <c r="C1111" s="7" t="inlineStr">
        <is>
          <t>Armament@c4</t>
        </is>
      </c>
      <c r="L1111" s="6" t="n"/>
      <c r="M1111" s="6" t="n">
        <v>20</v>
      </c>
      <c r="N1111" s="6" t="n">
        <v>1</v>
      </c>
      <c r="O1111" s="6" t="n"/>
      <c r="P1111" s="6" t="n">
        <v>2000</v>
      </c>
      <c r="Q1111" s="6" t="n">
        <v>1</v>
      </c>
      <c r="R1111">
        <f>M1111+IF(N1111&gt;1,N(O1111)*(N1111-1),0)</f>
        <v/>
      </c>
      <c r="S1111">
        <f>IFERROR(L1111*MAX(N1111,1)/R1111*IF(ISBLANK(K1108),1,K1108),0)</f>
        <v/>
      </c>
      <c r="AB1111" s="7" t="inlineStr"/>
    </row>
    <row r="1112">
      <c r="B1112" s="7" t="inlineStr">
        <is>
          <t xml:space="preserve">  ↳ TSGhostGun</t>
        </is>
      </c>
      <c r="C1112" s="7" t="inlineStr">
        <is>
          <t>Armament@GARRISONED</t>
        </is>
      </c>
      <c r="L1112" s="6" t="n">
        <v>20000</v>
      </c>
      <c r="M1112" s="6" t="n">
        <v>25</v>
      </c>
      <c r="N1112" s="6" t="n">
        <v>1</v>
      </c>
      <c r="O1112" s="6" t="n"/>
      <c r="P1112" s="6" t="n">
        <v>9557</v>
      </c>
      <c r="Q1112" s="6" t="n">
        <v>0.75</v>
      </c>
      <c r="R1112">
        <f>M1112+IF(N1112&gt;1,N(O1112)*(N1112-1),0)</f>
        <v/>
      </c>
      <c r="S1112">
        <f>IFERROR(L1112*MAX(N1112,1)/R1112*IF(ISBLANK(K1108),1,K1108),0)</f>
        <v/>
      </c>
      <c r="AB1112" s="7" t="inlineStr">
        <is>
          <t>^Warhead_Chemical_Light</t>
        </is>
      </c>
    </row>
    <row r="1113">
      <c r="B1113" s="7" t="inlineStr">
        <is>
          <t xml:space="preserve">  ↳ TSChemGhostGun</t>
        </is>
      </c>
      <c r="C1113" s="7" t="inlineStr">
        <is>
          <t>Armament@UPGRADEGARRISONED</t>
        </is>
      </c>
      <c r="L1113" s="6" t="n">
        <v>20000</v>
      </c>
      <c r="M1113" s="6" t="n">
        <v>25</v>
      </c>
      <c r="N1113" s="6" t="n">
        <v>1</v>
      </c>
      <c r="O1113" s="6" t="n"/>
      <c r="P1113" s="6" t="n">
        <v>9557</v>
      </c>
      <c r="Q1113" s="6" t="n">
        <v>0.75</v>
      </c>
      <c r="R1113">
        <f>M1113+IF(N1113&gt;1,N(O1113)*(N1113-1),0)</f>
        <v/>
      </c>
      <c r="S1113">
        <f>IFERROR(L1113*MAX(N1113,1)/R1113*IF(ISBLANK(K1108),1,K1108),0)</f>
        <v/>
      </c>
      <c r="AB1113" s="7" t="inlineStr">
        <is>
          <t>^Warhead_Chemical_Light</t>
        </is>
      </c>
    </row>
    <row r="1114">
      <c r="A1114" t="inlineStr">
        <is>
          <t>tiberiansun</t>
        </is>
      </c>
      <c r="B1114" t="inlineStr">
        <is>
          <t>forgotten_ghoststalker_r4</t>
        </is>
      </c>
      <c r="C1114" t="inlineStr">
        <is>
          <t>actor_forgotten_ghoststalker.name</t>
        </is>
      </c>
      <c r="D1114" s="6" t="inlineStr">
        <is>
          <t>HeroInfantry</t>
        </is>
      </c>
      <c r="E1114" s="6" t="n">
        <v>100000</v>
      </c>
      <c r="F1114" s="6" t="n">
        <v>62</v>
      </c>
      <c r="G1114" t="inlineStr">
        <is>
          <t>Heroic</t>
        </is>
      </c>
      <c r="H1114" s="6" t="n">
        <v>1</v>
      </c>
      <c r="I1114" s="6" t="n">
        <v>1</v>
      </c>
      <c r="J1114" s="6" t="n">
        <v>1</v>
      </c>
      <c r="K1114" s="6" t="n"/>
      <c r="P1114">
        <f>MAX(P1115,P1116)</f>
        <v/>
      </c>
      <c r="S1114">
        <f>S1115+S1116</f>
        <v/>
      </c>
      <c r="T1114">
        <f>(E1114/100000+F1114/100+(P1114/1000)*J1114/5+S1114/200)*200*I1114*H1114</f>
        <v/>
      </c>
      <c r="U1114">
        <f>((E1114*F1114/25000)+((P1114/1000)*J1114*S1114/2.5))*I1114*H1114</f>
        <v/>
      </c>
      <c r="V1114">
        <f>(E1114*F1114*(P1114/1000)*J1114*S1114*I1114*H1114)/12500000</f>
        <v/>
      </c>
      <c r="W1114">
        <f>(T1114+U1114+V1114)/3</f>
        <v/>
      </c>
      <c r="X1114" s="6" t="n">
        <v>4000</v>
      </c>
      <c r="Y1114">
        <f>IFERROR(W1114-X1114,"")</f>
        <v/>
      </c>
      <c r="Z1114">
        <f>IFERROR(ABS(Y1114)/MAX(X1114,1),"")</f>
        <v/>
      </c>
      <c r="AA1114">
        <f>IFERROR((X1114-(((E1114/100000+F1114/100+S1114/200)*200*I1114*H1114)+((E1114*F1114/25000)*I1114*H1114))/3)/(((J1114/5)*200*I1114*H1114)+((J1114*S1114/2.5)*I1114*H1114)+((E1114*F1114*J1114*S1114*I1114*H1114)/12500000))/3*1000,"")</f>
        <v/>
      </c>
    </row>
    <row r="1115">
      <c r="B1115" s="7" t="inlineStr">
        <is>
          <t xml:space="preserve">  ↳ TSGhostGun</t>
        </is>
      </c>
      <c r="C1115" s="7" t="inlineStr">
        <is>
          <t>Armament@PRIMARY</t>
        </is>
      </c>
      <c r="L1115" s="6" t="n">
        <v>20000</v>
      </c>
      <c r="M1115" s="6" t="n">
        <v>25</v>
      </c>
      <c r="N1115" s="6" t="n">
        <v>1</v>
      </c>
      <c r="O1115" s="6" t="n"/>
      <c r="P1115" s="6" t="n">
        <v>9557</v>
      </c>
      <c r="Q1115" s="6" t="n">
        <v>0.75</v>
      </c>
      <c r="R1115">
        <f>M1115+IF(N1115&gt;1,N(O1115)*(N1115-1),0)</f>
        <v/>
      </c>
      <c r="S1115">
        <f>IFERROR(L1115*MAX(N1115,1)/R1115*IF(ISBLANK(K1114),1,K1114),0)</f>
        <v/>
      </c>
      <c r="AB1115" s="7" t="inlineStr">
        <is>
          <t>^Warhead_Chemical_Light</t>
        </is>
      </c>
    </row>
    <row r="1116">
      <c r="B1116" s="7" t="inlineStr">
        <is>
          <t xml:space="preserve">  ↳ TSChemGhostGun</t>
        </is>
      </c>
      <c r="C1116" s="7" t="inlineStr">
        <is>
          <t>Armament@UPGRADE</t>
        </is>
      </c>
      <c r="L1116" s="6" t="n">
        <v>20000</v>
      </c>
      <c r="M1116" s="6" t="n">
        <v>25</v>
      </c>
      <c r="N1116" s="6" t="n">
        <v>1</v>
      </c>
      <c r="O1116" s="6" t="n"/>
      <c r="P1116" s="6" t="n">
        <v>9557</v>
      </c>
      <c r="Q1116" s="6" t="n">
        <v>0.75</v>
      </c>
      <c r="R1116">
        <f>M1116+IF(N1116&gt;1,N(O1116)*(N1116-1),0)</f>
        <v/>
      </c>
      <c r="S1116">
        <f>IFERROR(L1116*MAX(N1116,1)/R1116*IF(ISBLANK(K1114),1,K1114),0)</f>
        <v/>
      </c>
      <c r="AB1116" s="7" t="inlineStr">
        <is>
          <t>^Warhead_Chemical_Light</t>
        </is>
      </c>
    </row>
    <row r="1117">
      <c r="B1117" s="7" t="inlineStr">
        <is>
          <t xml:space="preserve">  ↳ GenericC4</t>
        </is>
      </c>
      <c r="C1117" s="7" t="inlineStr">
        <is>
          <t>Armament@c4</t>
        </is>
      </c>
      <c r="L1117" s="6" t="n"/>
      <c r="M1117" s="6" t="n">
        <v>20</v>
      </c>
      <c r="N1117" s="6" t="n">
        <v>1</v>
      </c>
      <c r="O1117" s="6" t="n"/>
      <c r="P1117" s="6" t="n">
        <v>2000</v>
      </c>
      <c r="Q1117" s="6" t="n">
        <v>1</v>
      </c>
      <c r="R1117">
        <f>M1117+IF(N1117&gt;1,N(O1117)*(N1117-1),0)</f>
        <v/>
      </c>
      <c r="S1117">
        <f>IFERROR(L1117*MAX(N1117,1)/R1117*IF(ISBLANK(K1114),1,K1114),0)</f>
        <v/>
      </c>
      <c r="AB1117" s="7" t="inlineStr"/>
    </row>
    <row r="1118">
      <c r="B1118" s="7" t="inlineStr">
        <is>
          <t xml:space="preserve">  ↳ TSGhostGun</t>
        </is>
      </c>
      <c r="C1118" s="7" t="inlineStr">
        <is>
          <t>Armament@GARRISONED</t>
        </is>
      </c>
      <c r="L1118" s="6" t="n">
        <v>20000</v>
      </c>
      <c r="M1118" s="6" t="n">
        <v>25</v>
      </c>
      <c r="N1118" s="6" t="n">
        <v>1</v>
      </c>
      <c r="O1118" s="6" t="n"/>
      <c r="P1118" s="6" t="n">
        <v>9557</v>
      </c>
      <c r="Q1118" s="6" t="n">
        <v>0.75</v>
      </c>
      <c r="R1118">
        <f>M1118+IF(N1118&gt;1,N(O1118)*(N1118-1),0)</f>
        <v/>
      </c>
      <c r="S1118">
        <f>IFERROR(L1118*MAX(N1118,1)/R1118*IF(ISBLANK(K1114),1,K1114),0)</f>
        <v/>
      </c>
      <c r="AB1118" s="7" t="inlineStr">
        <is>
          <t>^Warhead_Chemical_Light</t>
        </is>
      </c>
    </row>
    <row r="1119">
      <c r="B1119" s="7" t="inlineStr">
        <is>
          <t xml:space="preserve">  ↳ TSChemGhostGun</t>
        </is>
      </c>
      <c r="C1119" s="7" t="inlineStr">
        <is>
          <t>Armament@UPGRADEGARRISONED</t>
        </is>
      </c>
      <c r="L1119" s="6" t="n">
        <v>20000</v>
      </c>
      <c r="M1119" s="6" t="n">
        <v>25</v>
      </c>
      <c r="N1119" s="6" t="n">
        <v>1</v>
      </c>
      <c r="O1119" s="6" t="n"/>
      <c r="P1119" s="6" t="n">
        <v>9557</v>
      </c>
      <c r="Q1119" s="6" t="n">
        <v>0.75</v>
      </c>
      <c r="R1119">
        <f>M1119+IF(N1119&gt;1,N(O1119)*(N1119-1),0)</f>
        <v/>
      </c>
      <c r="S1119">
        <f>IFERROR(L1119*MAX(N1119,1)/R1119*IF(ISBLANK(K1114),1,K1114),0)</f>
        <v/>
      </c>
      <c r="AB1119" s="7" t="inlineStr">
        <is>
          <t>^Warhead_Chemical_Light</t>
        </is>
      </c>
    </row>
    <row r="1120">
      <c r="A1120" t="inlineStr">
        <is>
          <t>tiberiansun</t>
        </is>
      </c>
      <c r="B1120" t="inlineStr">
        <is>
          <t>forgotten_ghoststalker_sp</t>
        </is>
      </c>
      <c r="C1120" t="inlineStr">
        <is>
          <t>actor_forgotten_ghoststalker.name</t>
        </is>
      </c>
      <c r="D1120" s="6" t="inlineStr">
        <is>
          <t>HeroInfantry</t>
        </is>
      </c>
      <c r="E1120" s="6" t="n">
        <v>100000</v>
      </c>
      <c r="F1120" s="6" t="n">
        <v>62</v>
      </c>
      <c r="G1120" t="inlineStr">
        <is>
          <t>Heroic</t>
        </is>
      </c>
      <c r="H1120" s="6" t="n">
        <v>1</v>
      </c>
      <c r="I1120" s="6" t="n">
        <v>1</v>
      </c>
      <c r="J1120" s="6" t="n">
        <v>1</v>
      </c>
      <c r="K1120" s="6" t="n"/>
      <c r="P1120">
        <f>MAX(P1121,P1122)</f>
        <v/>
      </c>
      <c r="S1120">
        <f>S1121+S1122</f>
        <v/>
      </c>
      <c r="T1120">
        <f>(E1120/100000+F1120/100+(P1120/1000)*J1120/5+S1120/200)*200*I1120*H1120</f>
        <v/>
      </c>
      <c r="U1120">
        <f>((E1120*F1120/25000)+((P1120/1000)*J1120*S1120/2.5))*I1120*H1120</f>
        <v/>
      </c>
      <c r="V1120">
        <f>(E1120*F1120*(P1120/1000)*J1120*S1120*I1120*H1120)/12500000</f>
        <v/>
      </c>
      <c r="W1120">
        <f>(T1120+U1120+V1120)/3</f>
        <v/>
      </c>
      <c r="X1120" s="6" t="n">
        <v>4000</v>
      </c>
      <c r="Y1120">
        <f>IFERROR(W1120-X1120,"")</f>
        <v/>
      </c>
      <c r="Z1120">
        <f>IFERROR(ABS(Y1120)/MAX(X1120,1),"")</f>
        <v/>
      </c>
      <c r="AA1120">
        <f>IFERROR((X1120-(((E1120/100000+F1120/100+S1120/200)*200*I1120*H1120)+((E1120*F1120/25000)*I1120*H1120))/3)/(((J1120/5)*200*I1120*H1120)+((J1120*S1120/2.5)*I1120*H1120)+((E1120*F1120*J1120*S1120*I1120*H1120)/12500000))/3*1000,"")</f>
        <v/>
      </c>
    </row>
    <row r="1121">
      <c r="B1121" s="7" t="inlineStr">
        <is>
          <t xml:space="preserve">  ↳ TSGhostGun</t>
        </is>
      </c>
      <c r="C1121" s="7" t="inlineStr">
        <is>
          <t>Armament@PRIMARY</t>
        </is>
      </c>
      <c r="L1121" s="6" t="n">
        <v>20000</v>
      </c>
      <c r="M1121" s="6" t="n">
        <v>25</v>
      </c>
      <c r="N1121" s="6" t="n">
        <v>1</v>
      </c>
      <c r="O1121" s="6" t="n"/>
      <c r="P1121" s="6" t="n">
        <v>9557</v>
      </c>
      <c r="Q1121" s="6" t="n">
        <v>0.75</v>
      </c>
      <c r="R1121">
        <f>M1121+IF(N1121&gt;1,N(O1121)*(N1121-1),0)</f>
        <v/>
      </c>
      <c r="S1121">
        <f>IFERROR(L1121*MAX(N1121,1)/R1121*IF(ISBLANK(K1120),1,K1120),0)</f>
        <v/>
      </c>
      <c r="AB1121" s="7" t="inlineStr">
        <is>
          <t>^Warhead_Chemical_Light</t>
        </is>
      </c>
    </row>
    <row r="1122">
      <c r="B1122" s="7" t="inlineStr">
        <is>
          <t xml:space="preserve">  ↳ TSChemGhostGun</t>
        </is>
      </c>
      <c r="C1122" s="7" t="inlineStr">
        <is>
          <t>Armament@UPGRADE</t>
        </is>
      </c>
      <c r="L1122" s="6" t="n">
        <v>20000</v>
      </c>
      <c r="M1122" s="6" t="n">
        <v>25</v>
      </c>
      <c r="N1122" s="6" t="n">
        <v>1</v>
      </c>
      <c r="O1122" s="6" t="n"/>
      <c r="P1122" s="6" t="n">
        <v>9557</v>
      </c>
      <c r="Q1122" s="6" t="n">
        <v>0.75</v>
      </c>
      <c r="R1122">
        <f>M1122+IF(N1122&gt;1,N(O1122)*(N1122-1),0)</f>
        <v/>
      </c>
      <c r="S1122">
        <f>IFERROR(L1122*MAX(N1122,1)/R1122*IF(ISBLANK(K1120),1,K1120),0)</f>
        <v/>
      </c>
      <c r="AB1122" s="7" t="inlineStr">
        <is>
          <t>^Warhead_Chemical_Light</t>
        </is>
      </c>
    </row>
    <row r="1123">
      <c r="B1123" s="7" t="inlineStr">
        <is>
          <t xml:space="preserve">  ↳ TSGhostGun</t>
        </is>
      </c>
      <c r="C1123" s="7" t="inlineStr">
        <is>
          <t>Armament@GARRISONED</t>
        </is>
      </c>
      <c r="L1123" s="6" t="n">
        <v>20000</v>
      </c>
      <c r="M1123" s="6" t="n">
        <v>25</v>
      </c>
      <c r="N1123" s="6" t="n">
        <v>1</v>
      </c>
      <c r="O1123" s="6" t="n"/>
      <c r="P1123" s="6" t="n">
        <v>9557</v>
      </c>
      <c r="Q1123" s="6" t="n">
        <v>0.75</v>
      </c>
      <c r="R1123">
        <f>M1123+IF(N1123&gt;1,N(O1123)*(N1123-1),0)</f>
        <v/>
      </c>
      <c r="S1123">
        <f>IFERROR(L1123*MAX(N1123,1)/R1123*IF(ISBLANK(K1120),1,K1120),0)</f>
        <v/>
      </c>
      <c r="AB1123" s="7" t="inlineStr">
        <is>
          <t>^Warhead_Chemical_Light</t>
        </is>
      </c>
    </row>
    <row r="1124">
      <c r="B1124" s="7" t="inlineStr">
        <is>
          <t xml:space="preserve">  ↳ TSChemGhostGun</t>
        </is>
      </c>
      <c r="C1124" s="7" t="inlineStr">
        <is>
          <t>Armament@UPGRADEGARRISONED</t>
        </is>
      </c>
      <c r="L1124" s="6" t="n">
        <v>20000</v>
      </c>
      <c r="M1124" s="6" t="n">
        <v>25</v>
      </c>
      <c r="N1124" s="6" t="n">
        <v>1</v>
      </c>
      <c r="O1124" s="6" t="n"/>
      <c r="P1124" s="6" t="n">
        <v>9557</v>
      </c>
      <c r="Q1124" s="6" t="n">
        <v>0.75</v>
      </c>
      <c r="R1124">
        <f>M1124+IF(N1124&gt;1,N(O1124)*(N1124-1),0)</f>
        <v/>
      </c>
      <c r="S1124">
        <f>IFERROR(L1124*MAX(N1124,1)/R1124*IF(ISBLANK(K1120),1,K1120),0)</f>
        <v/>
      </c>
      <c r="AB1124" s="7" t="inlineStr">
        <is>
          <t>^Warhead_Chemical_Light</t>
        </is>
      </c>
    </row>
    <row r="1125">
      <c r="A1125" t="inlineStr">
        <is>
          <t>tiberiansun</t>
        </is>
      </c>
      <c r="B1125" t="inlineStr">
        <is>
          <t>forgotten_mutanthijacker</t>
        </is>
      </c>
      <c r="C1125" t="inlineStr">
        <is>
          <t>actor_forgotten_mutanthijacker.name</t>
        </is>
      </c>
      <c r="D1125" s="6" t="inlineStr">
        <is>
          <t>HeroInfantry</t>
        </is>
      </c>
      <c r="E1125" s="6" t="n">
        <v>25000</v>
      </c>
      <c r="F1125" s="6" t="n">
        <v>100</v>
      </c>
      <c r="G1125" t="inlineStr">
        <is>
          <t>Heroic</t>
        </is>
      </c>
      <c r="H1125" s="6" t="n">
        <v>0.8376</v>
      </c>
      <c r="I1125" s="6" t="n">
        <v>1</v>
      </c>
      <c r="J1125" s="6" t="n">
        <v>1</v>
      </c>
      <c r="K1125" s="6" t="n"/>
      <c r="X1125" s="6" t="n">
        <v>750</v>
      </c>
    </row>
    <row r="1126">
      <c r="A1126" t="inlineStr">
        <is>
          <t>redalert2</t>
        </is>
      </c>
      <c r="B1126" t="inlineStr">
        <is>
          <t>ra2_allies_tanyaii</t>
        </is>
      </c>
      <c r="C1126" t="inlineStr">
        <is>
          <t>Tanya II</t>
        </is>
      </c>
      <c r="D1126" s="6" t="inlineStr">
        <is>
          <t>HeroInfantry</t>
        </is>
      </c>
      <c r="E1126" s="6" t="n">
        <v>50000</v>
      </c>
      <c r="F1126" s="6" t="n">
        <v>75</v>
      </c>
      <c r="G1126" t="inlineStr">
        <is>
          <t>Heroic</t>
        </is>
      </c>
      <c r="H1126" s="6" t="n">
        <v>0.5305</v>
      </c>
      <c r="I1126" s="6" t="n">
        <v>1</v>
      </c>
      <c r="J1126" s="6" t="n">
        <v>1</v>
      </c>
      <c r="K1126" s="6" t="n"/>
      <c r="P1126">
        <f>MAX(P1127,P1128)</f>
        <v/>
      </c>
      <c r="S1126">
        <f>S1127+S1128</f>
        <v/>
      </c>
      <c r="T1126">
        <f>(E1126/100000+F1126/100+(P1126/1000)*J1126/5+S1126/200)*200*I1126*H1126</f>
        <v/>
      </c>
      <c r="U1126">
        <f>((E1126*F1126/25000)+((P1126/1000)*J1126*S1126/2.5))*I1126*H1126</f>
        <v/>
      </c>
      <c r="V1126">
        <f>(E1126*F1126*(P1126/1000)*J1126*S1126*I1126*H1126)/12500000</f>
        <v/>
      </c>
      <c r="W1126">
        <f>(T1126+U1126+V1126)/3</f>
        <v/>
      </c>
      <c r="X1126" s="6" t="n">
        <v>3000</v>
      </c>
      <c r="Y1126">
        <f>IFERROR(W1126-X1126,"")</f>
        <v/>
      </c>
      <c r="Z1126">
        <f>IFERROR(ABS(Y1126)/MAX(X1126,1),"")</f>
        <v/>
      </c>
      <c r="AA1126">
        <f>IFERROR((X1126-(((E1126/100000+F1126/100+S1126/200)*200*I1126*H1126)+((E1126*F1126/25000)*I1126*H1126))/3)/(((J1126/5)*200*I1126*H1126)+((J1126*S1126/2.5)*I1126*H1126)+((E1126*F1126*J1126*S1126*I1126*H1126)/12500000))/3*1000,"")</f>
        <v/>
      </c>
    </row>
    <row r="1127">
      <c r="B1127" s="7" t="inlineStr">
        <is>
          <t xml:space="preserve">  ↳ RA2DoublePistols</t>
        </is>
      </c>
      <c r="C1127" s="7" t="inlineStr">
        <is>
          <t>Armament@PRIMARY</t>
        </is>
      </c>
      <c r="L1127" s="6" t="n">
        <v>14000</v>
      </c>
      <c r="M1127" s="6" t="n">
        <v>12</v>
      </c>
      <c r="N1127" s="6" t="n">
        <v>2</v>
      </c>
      <c r="O1127" s="6" t="n">
        <v>3</v>
      </c>
      <c r="P1127" s="6" t="n">
        <v>8000</v>
      </c>
      <c r="Q1127" s="6" t="n">
        <v>0.75</v>
      </c>
      <c r="R1127">
        <f>M1127+IF(N1127&gt;1,N(O1127)*(N1127-1),0)</f>
        <v/>
      </c>
      <c r="S1127">
        <f>IFERROR(L1127*MAX(N1127,1)/R1127*IF(ISBLANK(K1126),1,K1126),0)</f>
        <v/>
      </c>
      <c r="AB1127" s="7" t="inlineStr">
        <is>
          <t>^Warhead_Sniper_Light</t>
        </is>
      </c>
    </row>
    <row r="1128">
      <c r="B1128" s="7" t="inlineStr">
        <is>
          <t xml:space="preserve">  ↳ RA2DoublePistols_elite</t>
        </is>
      </c>
      <c r="C1128" s="7" t="inlineStr">
        <is>
          <t>Armament@ELITE</t>
        </is>
      </c>
      <c r="L1128" s="6" t="n">
        <v>14000</v>
      </c>
      <c r="M1128" s="6" t="n">
        <v>12</v>
      </c>
      <c r="N1128" s="6" t="n">
        <v>4</v>
      </c>
      <c r="O1128" s="6" t="n">
        <v>3</v>
      </c>
      <c r="P1128" s="6" t="n">
        <v>9000</v>
      </c>
      <c r="Q1128" s="6" t="n">
        <v>0.75</v>
      </c>
      <c r="R1128">
        <f>M1128+IF(N1128&gt;1,N(O1128)*(N1128-1),0)</f>
        <v/>
      </c>
      <c r="S1128">
        <f>IFERROR(L1128*MAX(N1128,1)/R1128*IF(ISBLANK(K1126),1,K1126),0)</f>
        <v/>
      </c>
      <c r="AB1128" s="7" t="inlineStr">
        <is>
          <t>^Warhead_Sniper_Light</t>
        </is>
      </c>
    </row>
    <row r="1129">
      <c r="B1129" s="7" t="inlineStr">
        <is>
          <t xml:space="preserve">  ↳ TanyaAttach</t>
        </is>
      </c>
      <c r="C1129" s="7" t="inlineStr">
        <is>
          <t>Armament@c4</t>
        </is>
      </c>
      <c r="L1129" s="6" t="n"/>
      <c r="M1129" s="6" t="n">
        <v>20</v>
      </c>
      <c r="N1129" s="6" t="n">
        <v>1</v>
      </c>
      <c r="O1129" s="6" t="n"/>
      <c r="P1129" s="6" t="n">
        <v>2000</v>
      </c>
      <c r="Q1129" s="6" t="n">
        <v>1</v>
      </c>
      <c r="R1129">
        <f>M1129+IF(N1129&gt;1,N(O1129)*(N1129-1),0)</f>
        <v/>
      </c>
      <c r="S1129">
        <f>IFERROR(L1129*MAX(N1129,1)/R1129*IF(ISBLANK(K1126),1,K1126),0)</f>
        <v/>
      </c>
      <c r="AB1129" s="7" t="inlineStr">
        <is>
          <t>IvanAttach</t>
        </is>
      </c>
    </row>
    <row r="1130">
      <c r="B1130" s="7" t="inlineStr">
        <is>
          <t xml:space="preserve">  ↳ GenericC4</t>
        </is>
      </c>
      <c r="C1130" s="7" t="inlineStr">
        <is>
          <t>Armament@c4building</t>
        </is>
      </c>
      <c r="L1130" s="6" t="n"/>
      <c r="M1130" s="6" t="n">
        <v>20</v>
      </c>
      <c r="N1130" s="6" t="n">
        <v>1</v>
      </c>
      <c r="O1130" s="6" t="n"/>
      <c r="P1130" s="6" t="n">
        <v>2000</v>
      </c>
      <c r="Q1130" s="6" t="n">
        <v>1</v>
      </c>
      <c r="R1130">
        <f>M1130+IF(N1130&gt;1,N(O1130)*(N1130-1),0)</f>
        <v/>
      </c>
      <c r="S1130">
        <f>IFERROR(L1130*MAX(N1130,1)/R1130*IF(ISBLANK(K1126),1,K1126),0)</f>
        <v/>
      </c>
      <c r="AB1130" s="7" t="inlineStr"/>
    </row>
    <row r="1131">
      <c r="B1131" s="7" t="inlineStr">
        <is>
          <t xml:space="preserve">  ↳ RA2DoublePistols</t>
        </is>
      </c>
      <c r="C1131" s="7" t="inlineStr">
        <is>
          <t>Armament@GARRISONED</t>
        </is>
      </c>
      <c r="L1131" s="6" t="n">
        <v>14000</v>
      </c>
      <c r="M1131" s="6" t="n">
        <v>12</v>
      </c>
      <c r="N1131" s="6" t="n">
        <v>2</v>
      </c>
      <c r="O1131" s="6" t="n">
        <v>3</v>
      </c>
      <c r="P1131" s="6" t="n">
        <v>8000</v>
      </c>
      <c r="Q1131" s="6" t="n">
        <v>0.75</v>
      </c>
      <c r="R1131">
        <f>M1131+IF(N1131&gt;1,N(O1131)*(N1131-1),0)</f>
        <v/>
      </c>
      <c r="S1131">
        <f>IFERROR(L1131*MAX(N1131,1)/R1131*IF(ISBLANK(K1126),1,K1126),0)</f>
        <v/>
      </c>
      <c r="AB1131" s="7" t="inlineStr">
        <is>
          <t>^Warhead_Sniper_Light</t>
        </is>
      </c>
    </row>
    <row r="1132">
      <c r="B1132" s="7" t="inlineStr">
        <is>
          <t xml:space="preserve">  ↳ RA2DoublePistols_elite</t>
        </is>
      </c>
      <c r="C1132" s="7" t="inlineStr">
        <is>
          <t>Armament@GARRISONEDELITE</t>
        </is>
      </c>
      <c r="L1132" s="6" t="n">
        <v>14000</v>
      </c>
      <c r="M1132" s="6" t="n">
        <v>12</v>
      </c>
      <c r="N1132" s="6" t="n">
        <v>4</v>
      </c>
      <c r="O1132" s="6" t="n">
        <v>3</v>
      </c>
      <c r="P1132" s="6" t="n">
        <v>9000</v>
      </c>
      <c r="Q1132" s="6" t="n">
        <v>0.75</v>
      </c>
      <c r="R1132">
        <f>M1132+IF(N1132&gt;1,N(O1132)*(N1132-1),0)</f>
        <v/>
      </c>
      <c r="S1132">
        <f>IFERROR(L1132*MAX(N1132,1)/R1132*IF(ISBLANK(K1126),1,K1126),0)</f>
        <v/>
      </c>
      <c r="AB1132" s="7" t="inlineStr">
        <is>
          <t>^Warhead_Sniper_Light</t>
        </is>
      </c>
    </row>
    <row r="1133">
      <c r="A1133" t="inlineStr">
        <is>
          <t>redalert2</t>
        </is>
      </c>
      <c r="B1133" t="inlineStr">
        <is>
          <t>ra2_soviets_boris</t>
        </is>
      </c>
      <c r="C1133" t="inlineStr">
        <is>
          <t>Boris</t>
        </is>
      </c>
      <c r="D1133" s="6" t="inlineStr">
        <is>
          <t>HeroInfantry</t>
        </is>
      </c>
      <c r="E1133" s="6" t="n">
        <v>90000</v>
      </c>
      <c r="F1133" s="6" t="n">
        <v>60</v>
      </c>
      <c r="G1133" t="inlineStr">
        <is>
          <t>Heroic</t>
        </is>
      </c>
      <c r="H1133" s="6" t="n">
        <v>0.75</v>
      </c>
      <c r="I1133" s="6" t="n">
        <v>1</v>
      </c>
      <c r="J1133" s="6" t="n">
        <v>1.25</v>
      </c>
      <c r="K1133" s="6" t="n"/>
      <c r="P1133">
        <f>MAX(P1134,P1135,P1136)</f>
        <v/>
      </c>
      <c r="S1133">
        <f>S1134+S1135+S1136</f>
        <v/>
      </c>
      <c r="T1133">
        <f>(E1133/100000+F1133/100+(P1133/1000)*J1133/5+S1133/200)*200*I1133*H1133</f>
        <v/>
      </c>
      <c r="U1133">
        <f>((E1133*F1133/25000)+((P1133/1000)*J1133*S1133/2.5))*I1133*H1133</f>
        <v/>
      </c>
      <c r="V1133">
        <f>(E1133*F1133*(P1133/1000)*J1133*S1133*I1133*H1133)/12500000</f>
        <v/>
      </c>
      <c r="W1133">
        <f>(T1133+U1133+V1133)/3</f>
        <v/>
      </c>
      <c r="X1133" s="6" t="n">
        <v>3000</v>
      </c>
      <c r="Y1133">
        <f>IFERROR(W1133-X1133,"")</f>
        <v/>
      </c>
      <c r="Z1133">
        <f>IFERROR(ABS(Y1133)/MAX(X1133,1),"")</f>
        <v/>
      </c>
      <c r="AA1133">
        <f>IFERROR((X1133-(((E1133/100000+F1133/100+S1133/200)*200*I1133*H1133)+((E1133*F1133/25000)*I1133*H1133))/3)/(((J1133/5)*200*I1133*H1133)+((J1133*S1133/2.5)*I1133*H1133)+((E1133*F1133*J1133*S1133*I1133*H1133)/12500000))/3*1000,"")</f>
        <v/>
      </c>
    </row>
    <row r="1134">
      <c r="B1134" s="7" t="inlineStr">
        <is>
          <t xml:space="preserve">  ↳ BorisAKM</t>
        </is>
      </c>
      <c r="C1134" s="7" t="inlineStr">
        <is>
          <t>Armament@PRIMARY</t>
        </is>
      </c>
      <c r="L1134" s="6" t="n">
        <v>8000</v>
      </c>
      <c r="M1134" s="6" t="n">
        <v>18</v>
      </c>
      <c r="N1134" s="6" t="n">
        <v>4</v>
      </c>
      <c r="O1134" s="6" t="n">
        <v>2</v>
      </c>
      <c r="P1134" s="6" t="n">
        <v>8167</v>
      </c>
      <c r="Q1134" s="6" t="n">
        <v>0.875</v>
      </c>
      <c r="R1134">
        <f>M1134+IF(N1134&gt;1,N(O1134)*(N1134-1),0)</f>
        <v/>
      </c>
      <c r="S1134">
        <f>IFERROR(L1134*MAX(N1134,1)/R1134*IF(ISBLANK(K1133),1,K1133),0)</f>
        <v/>
      </c>
      <c r="AB1134" s="7" t="inlineStr">
        <is>
          <t>^Warhead_Bullet_Light, ^Warhead_Bullet_Medium</t>
        </is>
      </c>
    </row>
    <row r="1135">
      <c r="B1135" s="7" t="inlineStr">
        <is>
          <t xml:space="preserve">  ↳ BorisAKM_elite</t>
        </is>
      </c>
      <c r="C1135" s="7" t="inlineStr">
        <is>
          <t>Armament@ELITE</t>
        </is>
      </c>
      <c r="L1135" s="6" t="n">
        <v>8000</v>
      </c>
      <c r="M1135" s="6" t="n">
        <v>18</v>
      </c>
      <c r="N1135" s="6" t="n">
        <v>8</v>
      </c>
      <c r="O1135" s="6" t="n">
        <v>2</v>
      </c>
      <c r="P1135" s="6" t="n">
        <v>9167</v>
      </c>
      <c r="Q1135" s="6" t="n">
        <v>0.875</v>
      </c>
      <c r="R1135">
        <f>M1135+IF(N1135&gt;1,N(O1135)*(N1135-1),0)</f>
        <v/>
      </c>
      <c r="S1135">
        <f>IFERROR(L1135*MAX(N1135,1)/R1135*IF(ISBLANK(K1133),1,K1133),0)</f>
        <v/>
      </c>
      <c r="AB1135" s="7" t="inlineStr">
        <is>
          <t>^Warhead_Bullet_Light, ^Warhead_Bullet_Medium</t>
        </is>
      </c>
    </row>
    <row r="1136">
      <c r="B1136" s="7" t="inlineStr">
        <is>
          <t xml:space="preserve">  ↳ BorisAKM2</t>
        </is>
      </c>
      <c r="C1136" s="7" t="inlineStr">
        <is>
          <t>Armament@AntiBuilding</t>
        </is>
      </c>
      <c r="L1136" s="6" t="n">
        <v>8000</v>
      </c>
      <c r="M1136" s="6" t="n">
        <v>18</v>
      </c>
      <c r="N1136" s="6" t="n">
        <v>4</v>
      </c>
      <c r="O1136" s="6" t="n">
        <v>2</v>
      </c>
      <c r="P1136" s="6" t="n">
        <v>9167</v>
      </c>
      <c r="Q1136" s="6" t="n">
        <v>0.875</v>
      </c>
      <c r="R1136">
        <f>M1136+IF(N1136&gt;1,N(O1136)*(N1136-1),0)</f>
        <v/>
      </c>
      <c r="S1136">
        <f>IFERROR(L1136*MAX(N1136,1)/R1136*IF(ISBLANK(K1133),1,K1133),0)</f>
        <v/>
      </c>
      <c r="AB1136" s="7" t="inlineStr">
        <is>
          <t>^Warhead_Bullet_Light, ^Warhead_Bullet_Medium</t>
        </is>
      </c>
    </row>
    <row r="1137">
      <c r="B1137" s="7" t="inlineStr">
        <is>
          <t xml:space="preserve">  ↳ MigTarget</t>
        </is>
      </c>
      <c r="C1137" s="7" t="inlineStr">
        <is>
          <t>Armament@SECONDARY</t>
        </is>
      </c>
      <c r="L1137" s="6" t="n"/>
      <c r="M1137" s="6" t="n">
        <v>60</v>
      </c>
      <c r="N1137" s="6" t="n">
        <v>3</v>
      </c>
      <c r="O1137" s="6" t="n">
        <v>15</v>
      </c>
      <c r="P1137" s="6" t="n">
        <v>9167</v>
      </c>
      <c r="Q1137" s="6" t="n">
        <v>1</v>
      </c>
      <c r="R1137">
        <f>M1137+IF(N1137&gt;1,N(O1137)*(N1137-1),0)</f>
        <v/>
      </c>
      <c r="S1137">
        <f>IFERROR(L1137*MAX(N1137,1)/R1137*IF(ISBLANK(K1133),1,K1133),0)</f>
        <v/>
      </c>
      <c r="AB1137" s="7" t="inlineStr"/>
    </row>
    <row r="1138">
      <c r="B1138" s="7" t="inlineStr">
        <is>
          <t xml:space="preserve">  ↳ BorisAKM</t>
        </is>
      </c>
      <c r="C1138" s="7" t="inlineStr">
        <is>
          <t>Armament@GARRISONED</t>
        </is>
      </c>
      <c r="L1138" s="6" t="n">
        <v>8000</v>
      </c>
      <c r="M1138" s="6" t="n">
        <v>18</v>
      </c>
      <c r="N1138" s="6" t="n">
        <v>4</v>
      </c>
      <c r="O1138" s="6" t="n">
        <v>2</v>
      </c>
      <c r="P1138" s="6" t="n">
        <v>8167</v>
      </c>
      <c r="Q1138" s="6" t="n">
        <v>0.875</v>
      </c>
      <c r="R1138">
        <f>M1138+IF(N1138&gt;1,N(O1138)*(N1138-1),0)</f>
        <v/>
      </c>
      <c r="S1138">
        <f>IFERROR(L1138*MAX(N1138,1)/R1138*IF(ISBLANK(K1133),1,K1133),0)</f>
        <v/>
      </c>
      <c r="AB1138" s="7" t="inlineStr">
        <is>
          <t>^Warhead_Bullet_Light, ^Warhead_Bullet_Medium</t>
        </is>
      </c>
    </row>
    <row r="1139">
      <c r="B1139" s="7" t="inlineStr">
        <is>
          <t xml:space="preserve">  ↳ BorisAKM_elite</t>
        </is>
      </c>
      <c r="C1139" s="7" t="inlineStr">
        <is>
          <t>Armament@GARRISONEDELITE</t>
        </is>
      </c>
      <c r="L1139" s="6" t="n">
        <v>8000</v>
      </c>
      <c r="M1139" s="6" t="n">
        <v>18</v>
      </c>
      <c r="N1139" s="6" t="n">
        <v>8</v>
      </c>
      <c r="O1139" s="6" t="n">
        <v>2</v>
      </c>
      <c r="P1139" s="6" t="n">
        <v>9167</v>
      </c>
      <c r="Q1139" s="6" t="n">
        <v>0.875</v>
      </c>
      <c r="R1139">
        <f>M1139+IF(N1139&gt;1,N(O1139)*(N1139-1),0)</f>
        <v/>
      </c>
      <c r="S1139">
        <f>IFERROR(L1139*MAX(N1139,1)/R1139*IF(ISBLANK(K1133),1,K1133),0)</f>
        <v/>
      </c>
      <c r="AB1139" s="7" t="inlineStr">
        <is>
          <t>^Warhead_Bullet_Light, ^Warhead_Bullet_Medium</t>
        </is>
      </c>
    </row>
    <row r="1140">
      <c r="A1140" t="inlineStr">
        <is>
          <t>redalert2</t>
        </is>
      </c>
      <c r="B1140" t="inlineStr">
        <is>
          <t>yuri_yurix</t>
        </is>
      </c>
      <c r="C1140" t="inlineStr">
        <is>
          <t>actor_yurix.name</t>
        </is>
      </c>
      <c r="D1140" s="6" t="inlineStr">
        <is>
          <t>HeroInfantry</t>
        </is>
      </c>
      <c r="E1140" s="6" t="n">
        <v>20000</v>
      </c>
      <c r="F1140" s="6" t="n">
        <v>100</v>
      </c>
      <c r="G1140" t="inlineStr">
        <is>
          <t>Heroic</t>
        </is>
      </c>
      <c r="H1140" s="6" t="n">
        <v>0.4054</v>
      </c>
      <c r="I1140" s="6" t="n">
        <v>1</v>
      </c>
      <c r="J1140" s="6" t="n">
        <v>1</v>
      </c>
      <c r="K1140" s="6" t="n"/>
      <c r="P1140">
        <f>MAX(P1141,P1142,P1143)</f>
        <v/>
      </c>
      <c r="S1140">
        <f>S1141+S1142+S1143</f>
        <v/>
      </c>
      <c r="T1140">
        <f>(E1140/100000+F1140/100+(P1140/1000)*J1140/5+S1140/200)*200*I1140*H1140</f>
        <v/>
      </c>
      <c r="U1140">
        <f>((E1140*F1140/25000)+((P1140/1000)*J1140*S1140/2.5))*I1140*H1140</f>
        <v/>
      </c>
      <c r="V1140">
        <f>(E1140*F1140*(P1140/1000)*J1140*S1140*I1140*H1140)/12500000</f>
        <v/>
      </c>
      <c r="W1140">
        <f>(T1140+U1140+V1140)/3</f>
        <v/>
      </c>
      <c r="X1140" s="6" t="n">
        <v>4000</v>
      </c>
      <c r="Y1140">
        <f>IFERROR(W1140-X1140,"")</f>
        <v/>
      </c>
      <c r="Z1140">
        <f>IFERROR(ABS(Y1140)/MAX(X1140,1),"")</f>
        <v/>
      </c>
      <c r="AA1140">
        <f>IFERROR((X1140-(((E1140/100000+F1140/100+S1140/200)*200*I1140*H1140)+((E1140*F1140/25000)*I1140*H1140))/3)/(((J1140/5)*200*I1140*H1140)+((J1140*S1140/2.5)*I1140*H1140)+((E1140*F1140*J1140*S1140*I1140*H1140)/12500000))/3*1000,"")</f>
        <v/>
      </c>
    </row>
    <row r="1141">
      <c r="B1141" s="7" t="inlineStr">
        <is>
          <t xml:space="preserve">  ↳ RA2XMindControl</t>
        </is>
      </c>
      <c r="C1141" s="7" t="inlineStr">
        <is>
          <t>Armament@PRIMARY</t>
        </is>
      </c>
      <c r="L1141" s="6" t="n">
        <v>0</v>
      </c>
      <c r="M1141" s="6" t="n">
        <v>125</v>
      </c>
      <c r="N1141" s="6" t="n">
        <v>1</v>
      </c>
      <c r="O1141" s="6" t="n"/>
      <c r="P1141" s="6" t="n">
        <v>9000</v>
      </c>
      <c r="Q1141" s="6" t="n">
        <v>1</v>
      </c>
      <c r="R1141">
        <f>M1141+IF(N1141&gt;1,N(O1141)*(N1141-1),0)</f>
        <v/>
      </c>
      <c r="S1141">
        <f>IFERROR(L1141*MAX(N1141,1)/R1141*IF(ISBLANK(K1140),1,K1140),0)</f>
        <v/>
      </c>
      <c r="AB1141" s="7" t="inlineStr">
        <is>
          <t>RA2MindControl</t>
        </is>
      </c>
    </row>
    <row r="1142">
      <c r="B1142" s="7" t="inlineStr">
        <is>
          <t xml:space="preserve">  ↳ RA2XMindControlSplash</t>
        </is>
      </c>
      <c r="C1142" s="7" t="inlineStr">
        <is>
          <t>Armament@Splash</t>
        </is>
      </c>
      <c r="L1142" s="6" t="n">
        <v>0</v>
      </c>
      <c r="M1142" s="6" t="n">
        <v>125</v>
      </c>
      <c r="N1142" s="6" t="n">
        <v>1</v>
      </c>
      <c r="O1142" s="6" t="n"/>
      <c r="P1142" s="6" t="n">
        <v>9000</v>
      </c>
      <c r="Q1142" s="6" t="n">
        <v>1</v>
      </c>
      <c r="R1142">
        <f>M1142+IF(N1142&gt;1,N(O1142)*(N1142-1),0)</f>
        <v/>
      </c>
      <c r="S1142">
        <f>IFERROR(L1142*MAX(N1142,1)/R1142*IF(ISBLANK(K1140),1,K1140),0)</f>
        <v/>
      </c>
      <c r="AB1142" s="7" t="inlineStr">
        <is>
          <t>RA2MindControl</t>
        </is>
      </c>
    </row>
    <row r="1143">
      <c r="B1143" s="7" t="inlineStr">
        <is>
          <t xml:space="preserve">  ↳ RA2XMindControlSplash2</t>
        </is>
      </c>
      <c r="C1143" s="7" t="inlineStr">
        <is>
          <t>Armament@Splash2</t>
        </is>
      </c>
      <c r="L1143" s="6" t="n">
        <v>0</v>
      </c>
      <c r="M1143" s="6" t="n">
        <v>125</v>
      </c>
      <c r="N1143" s="6" t="n">
        <v>1</v>
      </c>
      <c r="O1143" s="6" t="n"/>
      <c r="P1143" s="6" t="n">
        <v>9000</v>
      </c>
      <c r="Q1143" s="6" t="n">
        <v>1</v>
      </c>
      <c r="R1143">
        <f>M1143+IF(N1143&gt;1,N(O1143)*(N1143-1),0)</f>
        <v/>
      </c>
      <c r="S1143">
        <f>IFERROR(L1143*MAX(N1143,1)/R1143*IF(ISBLANK(K1140),1,K1140),0)</f>
        <v/>
      </c>
      <c r="AB1143" s="7" t="inlineStr">
        <is>
          <t>RA2XMindControlSplash</t>
        </is>
      </c>
    </row>
    <row r="1144">
      <c r="A1144" t="inlineStr">
        <is>
          <t>redalert2mod</t>
        </is>
      </c>
      <c r="B1144" t="inlineStr">
        <is>
          <t>asianalliance_asiancommando</t>
        </is>
      </c>
      <c r="C1144" t="inlineStr">
        <is>
          <t>Asian Commando</t>
        </is>
      </c>
      <c r="D1144" s="6" t="inlineStr">
        <is>
          <t>HeroInfantry</t>
        </is>
      </c>
      <c r="E1144" s="6" t="n">
        <v>50000</v>
      </c>
      <c r="F1144" s="6" t="n">
        <v>75</v>
      </c>
      <c r="G1144" t="inlineStr">
        <is>
          <t>Heroic</t>
        </is>
      </c>
      <c r="H1144" s="6" t="n">
        <v>0.3929</v>
      </c>
      <c r="I1144" s="6" t="n">
        <v>1</v>
      </c>
      <c r="J1144" s="6" t="n">
        <v>1</v>
      </c>
      <c r="K1144" s="6" t="n"/>
      <c r="P1144">
        <f>MAX(P1145,P1146,P1147)</f>
        <v/>
      </c>
      <c r="S1144">
        <f>S1145+S1146+S1147</f>
        <v/>
      </c>
      <c r="T1144">
        <f>(E1144/100000+F1144/100+(P1144/1000)*J1144/5+S1144/200)*200*I1144*H1144</f>
        <v/>
      </c>
      <c r="U1144">
        <f>((E1144*F1144/25000)+((P1144/1000)*J1144*S1144/2.5))*I1144*H1144</f>
        <v/>
      </c>
      <c r="V1144">
        <f>(E1144*F1144*(P1144/1000)*J1144*S1144*I1144*H1144)/12500000</f>
        <v/>
      </c>
      <c r="W1144">
        <f>(T1144+U1144+V1144)/3</f>
        <v/>
      </c>
      <c r="X1144" s="6" t="n">
        <v>3000</v>
      </c>
      <c r="Y1144">
        <f>IFERROR(W1144-X1144,"")</f>
        <v/>
      </c>
      <c r="Z1144">
        <f>IFERROR(ABS(Y1144)/MAX(X1144,1),"")</f>
        <v/>
      </c>
      <c r="AA1144">
        <f>IFERROR((X1144-(((E1144/100000+F1144/100+S1144/200)*200*I1144*H1144)+((E1144*F1144/25000)*I1144*H1144))/3)/(((J1144/5)*200*I1144*H1144)+((J1144*S1144/2.5)*I1144*H1144)+((E1144*F1144*J1144*S1144*I1144*H1144)/12500000))/3*1000,"")</f>
        <v/>
      </c>
    </row>
    <row r="1145">
      <c r="B1145" s="7" t="inlineStr">
        <is>
          <t xml:space="preserve">  ↳ AsianSniperLockdown</t>
        </is>
      </c>
      <c r="C1145" s="7" t="inlineStr">
        <is>
          <t>Armament@lockdown</t>
        </is>
      </c>
      <c r="L1145" s="6" t="n">
        <v>204000</v>
      </c>
      <c r="M1145" s="6" t="n">
        <v>100</v>
      </c>
      <c r="N1145" s="6" t="n">
        <v>1</v>
      </c>
      <c r="O1145" s="6" t="n"/>
      <c r="P1145" s="6" t="n">
        <v>9455</v>
      </c>
      <c r="Q1145" s="6" t="n">
        <v>1.25</v>
      </c>
      <c r="R1145">
        <f>M1145+IF(N1145&gt;1,N(O1145)*(N1145-1),0)</f>
        <v/>
      </c>
      <c r="S1145">
        <f>IFERROR(L1145*MAX(N1145,1)/R1145*IF(ISBLANK(K1144),1,K1144),0)</f>
        <v/>
      </c>
      <c r="AB1145" s="7" t="inlineStr">
        <is>
          <t>^Warhead_Tesla_Super, ^Warhead_CannonHE_Heavy</t>
        </is>
      </c>
    </row>
    <row r="1146">
      <c r="B1146" s="7" t="inlineStr">
        <is>
          <t xml:space="preserve">  ↳ AsianSniper</t>
        </is>
      </c>
      <c r="C1146" s="7" t="inlineStr">
        <is>
          <t>Armament@PRIMARY</t>
        </is>
      </c>
      <c r="L1146" s="6" t="n">
        <v>30000</v>
      </c>
      <c r="M1146" s="6" t="n">
        <v>25</v>
      </c>
      <c r="N1146" s="6" t="n">
        <v>1</v>
      </c>
      <c r="O1146" s="6" t="n"/>
      <c r="P1146" s="6" t="n">
        <v>9455</v>
      </c>
      <c r="Q1146" s="6" t="n">
        <v>1.25</v>
      </c>
      <c r="R1146">
        <f>M1146+IF(N1146&gt;1,N(O1146)*(N1146-1),0)</f>
        <v/>
      </c>
      <c r="S1146">
        <f>IFERROR(L1146*MAX(N1146,1)/R1146*IF(ISBLANK(K1144),1,K1144),0)</f>
        <v/>
      </c>
      <c r="AB1146" s="7" t="inlineStr">
        <is>
          <t>^Warhead_CannonHE_Heavy</t>
        </is>
      </c>
    </row>
    <row r="1147">
      <c r="B1147" s="7" t="inlineStr">
        <is>
          <t xml:space="preserve">  ↳ AsianSniperAP</t>
        </is>
      </c>
      <c r="C1147" s="7" t="inlineStr">
        <is>
          <t>Armament@PRIMARYUPGRADE</t>
        </is>
      </c>
      <c r="L1147" s="6" t="n">
        <v>92000</v>
      </c>
      <c r="M1147" s="6" t="n">
        <v>50</v>
      </c>
      <c r="N1147" s="6" t="n">
        <v>1</v>
      </c>
      <c r="O1147" s="6" t="n"/>
      <c r="P1147" s="6" t="n">
        <v>9455</v>
      </c>
      <c r="Q1147" s="6" t="n">
        <v>1.25</v>
      </c>
      <c r="R1147">
        <f>M1147+IF(N1147&gt;1,N(O1147)*(N1147-1),0)</f>
        <v/>
      </c>
      <c r="S1147">
        <f>IFERROR(L1147*MAX(N1147,1)/R1147*IF(ISBLANK(K1144),1,K1144),0)</f>
        <v/>
      </c>
      <c r="AB1147" s="7" t="inlineStr">
        <is>
          <t>^Warhead_CannonHE_Heavy</t>
        </is>
      </c>
    </row>
    <row r="1148">
      <c r="B1148" s="7" t="inlineStr">
        <is>
          <t xml:space="preserve">  ↳ AsianSniper</t>
        </is>
      </c>
      <c r="C1148" s="7" t="inlineStr">
        <is>
          <t>Armament@GARRISONED</t>
        </is>
      </c>
      <c r="L1148" s="6" t="n">
        <v>30000</v>
      </c>
      <c r="M1148" s="6" t="n">
        <v>25</v>
      </c>
      <c r="N1148" s="6" t="n">
        <v>1</v>
      </c>
      <c r="O1148" s="6" t="n"/>
      <c r="P1148" s="6" t="n">
        <v>9455</v>
      </c>
      <c r="Q1148" s="6" t="n">
        <v>1.25</v>
      </c>
      <c r="R1148">
        <f>M1148+IF(N1148&gt;1,N(O1148)*(N1148-1),0)</f>
        <v/>
      </c>
      <c r="S1148">
        <f>IFERROR(L1148*MAX(N1148,1)/R1148*IF(ISBLANK(K1144),1,K1144),0)</f>
        <v/>
      </c>
      <c r="AB1148" s="7" t="inlineStr">
        <is>
          <t>^Warhead_CannonHE_Heavy</t>
        </is>
      </c>
    </row>
    <row r="1149">
      <c r="B1149" s="7" t="inlineStr">
        <is>
          <t xml:space="preserve">  ↳ AsianSniperAP</t>
        </is>
      </c>
      <c r="C1149" s="7" t="inlineStr">
        <is>
          <t>Armament@GARRISONEDUPGRADE</t>
        </is>
      </c>
      <c r="L1149" s="6" t="n">
        <v>92000</v>
      </c>
      <c r="M1149" s="6" t="n">
        <v>50</v>
      </c>
      <c r="N1149" s="6" t="n">
        <v>1</v>
      </c>
      <c r="O1149" s="6" t="n"/>
      <c r="P1149" s="6" t="n">
        <v>9455</v>
      </c>
      <c r="Q1149" s="6" t="n">
        <v>1.25</v>
      </c>
      <c r="R1149">
        <f>M1149+IF(N1149&gt;1,N(O1149)*(N1149-1),0)</f>
        <v/>
      </c>
      <c r="S1149">
        <f>IFERROR(L1149*MAX(N1149,1)/R1149*IF(ISBLANK(K1144),1,K1144),0)</f>
        <v/>
      </c>
      <c r="AB1149" s="7" t="inlineStr">
        <is>
          <t>^Warhead_CannonHE_Heavy</t>
        </is>
      </c>
    </row>
    <row r="1150">
      <c r="A1150" t="inlineStr">
        <is>
          <t>redalert2mod</t>
        </is>
      </c>
      <c r="B1150" t="inlineStr">
        <is>
          <t>steelconsortium_stalker</t>
        </is>
      </c>
      <c r="C1150" t="inlineStr">
        <is>
          <t>Stalker</t>
        </is>
      </c>
      <c r="D1150" s="6" t="inlineStr">
        <is>
          <t>HeroInfantry</t>
        </is>
      </c>
      <c r="E1150" s="6" t="n">
        <v>140000</v>
      </c>
      <c r="F1150" s="6" t="n">
        <v>80</v>
      </c>
      <c r="G1150" t="inlineStr">
        <is>
          <t>Heroic</t>
        </is>
      </c>
      <c r="H1150" s="6" t="n">
        <v>0.4783</v>
      </c>
      <c r="I1150" s="6" t="n">
        <v>1</v>
      </c>
      <c r="J1150" s="6" t="n">
        <v>1</v>
      </c>
      <c r="K1150" s="6" t="n"/>
      <c r="P1150">
        <f>MAX(P1151,P1152,P1153)</f>
        <v/>
      </c>
      <c r="S1150">
        <f>S1151+S1152+S1153</f>
        <v/>
      </c>
      <c r="T1150">
        <f>(E1150/100000+F1150/100+(P1150/1000)*J1150/5+S1150/200)*200*I1150*H1150</f>
        <v/>
      </c>
      <c r="U1150">
        <f>((E1150*F1150/25000)+((P1150/1000)*J1150*S1150/2.5))*I1150*H1150</f>
        <v/>
      </c>
      <c r="V1150">
        <f>(E1150*F1150*(P1150/1000)*J1150*S1150*I1150*H1150)/12500000</f>
        <v/>
      </c>
      <c r="W1150">
        <f>(T1150+U1150+V1150)/3</f>
        <v/>
      </c>
      <c r="X1150" s="6" t="n">
        <v>4000</v>
      </c>
      <c r="Y1150">
        <f>IFERROR(W1150-X1150,"")</f>
        <v/>
      </c>
      <c r="Z1150">
        <f>IFERROR(ABS(Y1150)/MAX(X1150,1),"")</f>
        <v/>
      </c>
      <c r="AA1150">
        <f>IFERROR((X1150-(((E1150/100000+F1150/100+S1150/200)*200*I1150*H1150)+((E1150*F1150/25000)*I1150*H1150))/3)/(((J1150/5)*200*I1150*H1150)+((J1150*S1150/2.5)*I1150*H1150)+((E1150*F1150*J1150*S1150*I1150*H1150)/12500000))/3*1000,"")</f>
        <v/>
      </c>
    </row>
    <row r="1151">
      <c r="B1151" s="7" t="inlineStr">
        <is>
          <t xml:space="preserve">  ↳ SteelStalkerRailgun</t>
        </is>
      </c>
      <c r="C1151" s="7" t="inlineStr">
        <is>
          <t>Armament</t>
        </is>
      </c>
      <c r="L1151" s="6" t="n">
        <v>120000</v>
      </c>
      <c r="M1151" s="6" t="n">
        <v>103</v>
      </c>
      <c r="N1151" s="6" t="n">
        <v>1</v>
      </c>
      <c r="O1151" s="6" t="n"/>
      <c r="P1151" s="6" t="n">
        <v>9000</v>
      </c>
      <c r="Q1151" s="6" t="n">
        <v>1</v>
      </c>
      <c r="R1151">
        <f>M1151+IF(N1151&gt;1,N(O1151)*(N1151-1),0)</f>
        <v/>
      </c>
      <c r="S1151">
        <f>IFERROR(L1151*MAX(N1151,1)/R1151*IF(ISBLANK(K1150),1,K1150),0)</f>
        <v/>
      </c>
      <c r="AB1151" s="7" t="inlineStr">
        <is>
          <t>^LaserWeapon, ^RailgunWeapon</t>
        </is>
      </c>
    </row>
    <row r="1152">
      <c r="B1152" s="7" t="inlineStr">
        <is>
          <t xml:space="preserve">  ↳ SteelStalkerRailgun_EMP</t>
        </is>
      </c>
      <c r="C1152" s="7" t="inlineStr">
        <is>
          <t>Armament@Upgrade</t>
        </is>
      </c>
      <c r="L1152" s="6" t="n">
        <v>120000</v>
      </c>
      <c r="M1152" s="6" t="n">
        <v>103</v>
      </c>
      <c r="N1152" s="6" t="n">
        <v>1</v>
      </c>
      <c r="O1152" s="6" t="n"/>
      <c r="P1152" s="6" t="n">
        <v>9000</v>
      </c>
      <c r="Q1152" s="6" t="n">
        <v>1.25</v>
      </c>
      <c r="R1152">
        <f>M1152+IF(N1152&gt;1,N(O1152)*(N1152-1),0)</f>
        <v/>
      </c>
      <c r="S1152">
        <f>IFERROR(L1152*MAX(N1152,1)/R1152*IF(ISBLANK(K1150),1,K1150),0)</f>
        <v/>
      </c>
      <c r="AB1152" s="7" t="inlineStr">
        <is>
          <t>^Warhead_Tesla_Heavy</t>
        </is>
      </c>
    </row>
    <row r="1153">
      <c r="B1153" s="7" t="inlineStr">
        <is>
          <t xml:space="preserve">  ↳ SteelStalkerRailgun_elite</t>
        </is>
      </c>
      <c r="C1153" s="7" t="inlineStr">
        <is>
          <t>Armament@elite</t>
        </is>
      </c>
      <c r="L1153" s="6" t="n">
        <v>180000</v>
      </c>
      <c r="M1153" s="6" t="n">
        <v>103</v>
      </c>
      <c r="N1153" s="6" t="n">
        <v>1</v>
      </c>
      <c r="O1153" s="6" t="n"/>
      <c r="P1153" s="6" t="n">
        <v>10000</v>
      </c>
      <c r="Q1153" s="6" t="n">
        <v>1.25</v>
      </c>
      <c r="R1153">
        <f>M1153+IF(N1153&gt;1,N(O1153)*(N1153-1),0)</f>
        <v/>
      </c>
      <c r="S1153">
        <f>IFERROR(L1153*MAX(N1153,1)/R1153*IF(ISBLANK(K1150),1,K1150),0)</f>
        <v/>
      </c>
      <c r="AB1153" s="7" t="inlineStr">
        <is>
          <t>^Warhead_Tesla_Heavy</t>
        </is>
      </c>
    </row>
    <row r="1154">
      <c r="A1154" t="inlineStr">
        <is>
          <t>redalert2mod</t>
        </is>
      </c>
      <c r="B1154" t="inlineStr">
        <is>
          <t>steelconsortium_steelrunner</t>
        </is>
      </c>
      <c r="C1154" t="inlineStr">
        <is>
          <t>Steel Runner</t>
        </is>
      </c>
      <c r="D1154" s="6" t="inlineStr">
        <is>
          <t>HeroInfantry</t>
        </is>
      </c>
      <c r="E1154" s="6" t="n">
        <v>60000</v>
      </c>
      <c r="F1154" s="6" t="n">
        <v>90</v>
      </c>
      <c r="G1154" t="inlineStr">
        <is>
          <t>Heroic</t>
        </is>
      </c>
      <c r="H1154" s="6" t="n">
        <v>0.75</v>
      </c>
      <c r="I1154" s="6" t="n">
        <v>1</v>
      </c>
      <c r="J1154" s="6" t="n">
        <v>1.25</v>
      </c>
      <c r="K1154" s="6" t="n"/>
      <c r="P1154">
        <f>MAX(P1155,P1156,P1159,P1160)</f>
        <v/>
      </c>
      <c r="S1154">
        <f>S1155+S1156+S1159+S1160</f>
        <v/>
      </c>
      <c r="T1154">
        <f>(E1154/100000+F1154/100+(P1154/1000)*J1154/5+S1154/200)*200*I1154*H1154</f>
        <v/>
      </c>
      <c r="U1154">
        <f>((E1154*F1154/25000)+((P1154/1000)*J1154*S1154/2.5))*I1154*H1154</f>
        <v/>
      </c>
      <c r="V1154">
        <f>(E1154*F1154*(P1154/1000)*J1154*S1154*I1154*H1154)/12500000</f>
        <v/>
      </c>
      <c r="W1154">
        <f>(T1154+U1154+V1154)/3</f>
        <v/>
      </c>
      <c r="X1154" s="6" t="n">
        <v>3000</v>
      </c>
      <c r="Y1154">
        <f>IFERROR(W1154-X1154,"")</f>
        <v/>
      </c>
      <c r="Z1154">
        <f>IFERROR(ABS(Y1154)/MAX(X1154,1),"")</f>
        <v/>
      </c>
      <c r="AA1154">
        <f>IFERROR((X1154-(((E1154/100000+F1154/100+S1154/200)*200*I1154*H1154)+((E1154*F1154/25000)*I1154*H1154))/3)/(((J1154/5)*200*I1154*H1154)+((J1154*S1154/2.5)*I1154*H1154)+((E1154*F1154*J1154*S1154*I1154*H1154)/12500000))/3*1000,"")</f>
        <v/>
      </c>
    </row>
    <row r="1155">
      <c r="B1155" s="7" t="inlineStr">
        <is>
          <t xml:space="preserve">  ↳ SteelRunnerPistols</t>
        </is>
      </c>
      <c r="C1155" s="7" t="inlineStr">
        <is>
          <t>Armament@PRIMARY</t>
        </is>
      </c>
      <c r="L1155" s="6" t="n">
        <v>12000</v>
      </c>
      <c r="M1155" s="6" t="n">
        <v>8</v>
      </c>
      <c r="N1155" s="6" t="n">
        <v>2</v>
      </c>
      <c r="O1155" s="6" t="n">
        <v>4</v>
      </c>
      <c r="P1155" s="6" t="n">
        <v>6200</v>
      </c>
      <c r="Q1155" s="6" t="n">
        <v>1</v>
      </c>
      <c r="R1155">
        <f>M1155+IF(N1155&gt;1,N(O1155)*(N1155-1),0)</f>
        <v/>
      </c>
      <c r="S1155">
        <f>IFERROR(L1155*MAX(N1155,1)/R1155*IF(ISBLANK(K1154),1,K1154),0)</f>
        <v/>
      </c>
      <c r="AB1155" s="7" t="inlineStr">
        <is>
          <t>^TeslaWeapon, ^LaserWeapon, ^RailgunWeapon</t>
        </is>
      </c>
    </row>
    <row r="1156">
      <c r="B1156" s="7" t="inlineStr">
        <is>
          <t xml:space="preserve">  ↳ SteelRunnerPistols_elite</t>
        </is>
      </c>
      <c r="C1156" s="7" t="inlineStr">
        <is>
          <t>Armament@ELITE</t>
        </is>
      </c>
      <c r="L1156" s="6" t="n">
        <v>12000</v>
      </c>
      <c r="M1156" s="6" t="n">
        <v>8</v>
      </c>
      <c r="N1156" s="6" t="n">
        <v>4</v>
      </c>
      <c r="O1156" s="6" t="n">
        <v>4</v>
      </c>
      <c r="P1156" s="6" t="n">
        <v>7200</v>
      </c>
      <c r="Q1156" s="6" t="n">
        <v>1</v>
      </c>
      <c r="R1156">
        <f>M1156+IF(N1156&gt;1,N(O1156)*(N1156-1),0)</f>
        <v/>
      </c>
      <c r="S1156">
        <f>IFERROR(L1156*MAX(N1156,1)/R1156*IF(ISBLANK(K1154),1,K1154),0)</f>
        <v/>
      </c>
      <c r="AB1156" s="7" t="inlineStr">
        <is>
          <t>SteelRunnerPistols</t>
        </is>
      </c>
    </row>
    <row r="1157">
      <c r="B1157" s="7" t="inlineStr">
        <is>
          <t xml:space="preserve">  ↳ SteelRunnerPistols</t>
        </is>
      </c>
      <c r="C1157" s="7" t="inlineStr">
        <is>
          <t>Armament@GARRISONED</t>
        </is>
      </c>
      <c r="L1157" s="6" t="n">
        <v>12000</v>
      </c>
      <c r="M1157" s="6" t="n">
        <v>8</v>
      </c>
      <c r="N1157" s="6" t="n">
        <v>2</v>
      </c>
      <c r="O1157" s="6" t="n">
        <v>4</v>
      </c>
      <c r="P1157" s="6" t="n">
        <v>6200</v>
      </c>
      <c r="Q1157" s="6" t="n">
        <v>1</v>
      </c>
      <c r="R1157">
        <f>M1157+IF(N1157&gt;1,N(O1157)*(N1157-1),0)</f>
        <v/>
      </c>
      <c r="S1157">
        <f>IFERROR(L1157*MAX(N1157,1)/R1157*IF(ISBLANK(K1154),1,K1154),0)</f>
        <v/>
      </c>
      <c r="AB1157" s="7" t="inlineStr">
        <is>
          <t>^TeslaWeapon, ^LaserWeapon, ^RailgunWeapon</t>
        </is>
      </c>
    </row>
    <row r="1158">
      <c r="B1158" s="7" t="inlineStr">
        <is>
          <t xml:space="preserve">  ↳ SteelRunnerPistols_elite</t>
        </is>
      </c>
      <c r="C1158" s="7" t="inlineStr">
        <is>
          <t>Armament@GARRISONEDELITE</t>
        </is>
      </c>
      <c r="L1158" s="6" t="n">
        <v>12000</v>
      </c>
      <c r="M1158" s="6" t="n">
        <v>8</v>
      </c>
      <c r="N1158" s="6" t="n">
        <v>4</v>
      </c>
      <c r="O1158" s="6" t="n">
        <v>4</v>
      </c>
      <c r="P1158" s="6" t="n">
        <v>7200</v>
      </c>
      <c r="Q1158" s="6" t="n">
        <v>1</v>
      </c>
      <c r="R1158">
        <f>M1158+IF(N1158&gt;1,N(O1158)*(N1158-1),0)</f>
        <v/>
      </c>
      <c r="S1158">
        <f>IFERROR(L1158*MAX(N1158,1)/R1158*IF(ISBLANK(K1154),1,K1154),0)</f>
        <v/>
      </c>
      <c r="AB1158" s="7" t="inlineStr">
        <is>
          <t>SteelRunnerPistols</t>
        </is>
      </c>
    </row>
    <row r="1159">
      <c r="B1159" s="7" t="inlineStr">
        <is>
          <t xml:space="preserve">  ↳ SteelRunnerPistolsResonance</t>
        </is>
      </c>
      <c r="C1159" s="7" t="inlineStr">
        <is>
          <t>Armament@UpgradePRIMARY</t>
        </is>
      </c>
      <c r="L1159" s="6" t="n">
        <v>12000</v>
      </c>
      <c r="M1159" s="6" t="n">
        <v>8</v>
      </c>
      <c r="N1159" s="6" t="n">
        <v>2</v>
      </c>
      <c r="O1159" s="6" t="n">
        <v>4</v>
      </c>
      <c r="P1159" s="6" t="n">
        <v>6200</v>
      </c>
      <c r="Q1159" s="6" t="n">
        <v>1</v>
      </c>
      <c r="R1159">
        <f>M1159+IF(N1159&gt;1,N(O1159)*(N1159-1),0)</f>
        <v/>
      </c>
      <c r="S1159">
        <f>IFERROR(L1159*MAX(N1159,1)/R1159*IF(ISBLANK(K1154),1,K1154),0)</f>
        <v/>
      </c>
      <c r="AB1159" s="7" t="inlineStr">
        <is>
          <t>SteelRunnerPistols</t>
        </is>
      </c>
    </row>
    <row r="1160">
      <c r="B1160" s="7" t="inlineStr">
        <is>
          <t xml:space="preserve">  ↳ SteelRunnerPistolsResonance_elite</t>
        </is>
      </c>
      <c r="C1160" s="7" t="inlineStr">
        <is>
          <t>Armament@UpgradeELITE</t>
        </is>
      </c>
      <c r="L1160" s="6" t="n">
        <v>12000</v>
      </c>
      <c r="M1160" s="6" t="n">
        <v>8</v>
      </c>
      <c r="N1160" s="6" t="n">
        <v>4</v>
      </c>
      <c r="O1160" s="6" t="n">
        <v>4</v>
      </c>
      <c r="P1160" s="6" t="n">
        <v>7200</v>
      </c>
      <c r="Q1160" s="6" t="n">
        <v>1</v>
      </c>
      <c r="R1160">
        <f>M1160+IF(N1160&gt;1,N(O1160)*(N1160-1),0)</f>
        <v/>
      </c>
      <c r="S1160">
        <f>IFERROR(L1160*MAX(N1160,1)/R1160*IF(ISBLANK(K1154),1,K1154),0)</f>
        <v/>
      </c>
      <c r="AB1160" s="7" t="inlineStr">
        <is>
          <t>SteelRunnerPistols_elite</t>
        </is>
      </c>
    </row>
    <row r="1161">
      <c r="B1161" s="7" t="inlineStr">
        <is>
          <t xml:space="preserve">  ↳ SteelRunnerPistolsResonance</t>
        </is>
      </c>
      <c r="C1161" s="7" t="inlineStr">
        <is>
          <t>Armament@UpgradeGARRISONED</t>
        </is>
      </c>
      <c r="L1161" s="6" t="n">
        <v>12000</v>
      </c>
      <c r="M1161" s="6" t="n">
        <v>8</v>
      </c>
      <c r="N1161" s="6" t="n">
        <v>2</v>
      </c>
      <c r="O1161" s="6" t="n">
        <v>4</v>
      </c>
      <c r="P1161" s="6" t="n">
        <v>6200</v>
      </c>
      <c r="Q1161" s="6" t="n">
        <v>1</v>
      </c>
      <c r="R1161">
        <f>M1161+IF(N1161&gt;1,N(O1161)*(N1161-1),0)</f>
        <v/>
      </c>
      <c r="S1161">
        <f>IFERROR(L1161*MAX(N1161,1)/R1161*IF(ISBLANK(K1154),1,K1154),0)</f>
        <v/>
      </c>
      <c r="AB1161" s="7" t="inlineStr">
        <is>
          <t>SteelRunnerPistols</t>
        </is>
      </c>
    </row>
    <row r="1162">
      <c r="B1162" s="7" t="inlineStr">
        <is>
          <t xml:space="preserve">  ↳ SteelRunnerPistolsResonance_elite</t>
        </is>
      </c>
      <c r="C1162" s="7" t="inlineStr">
        <is>
          <t>Armament@UpgradeGARRISONEDELITE</t>
        </is>
      </c>
      <c r="L1162" s="6" t="n">
        <v>12000</v>
      </c>
      <c r="M1162" s="6" t="n">
        <v>8</v>
      </c>
      <c r="N1162" s="6" t="n">
        <v>4</v>
      </c>
      <c r="O1162" s="6" t="n">
        <v>4</v>
      </c>
      <c r="P1162" s="6" t="n">
        <v>7200</v>
      </c>
      <c r="Q1162" s="6" t="n">
        <v>1</v>
      </c>
      <c r="R1162">
        <f>M1162+IF(N1162&gt;1,N(O1162)*(N1162-1),0)</f>
        <v/>
      </c>
      <c r="S1162">
        <f>IFERROR(L1162*MAX(N1162,1)/R1162*IF(ISBLANK(K1154),1,K1154),0)</f>
        <v/>
      </c>
      <c r="AB1162" s="7" t="inlineStr">
        <is>
          <t>SteelRunnerPistols_elite</t>
        </is>
      </c>
    </row>
    <row r="1163">
      <c r="A1163" t="inlineStr">
        <is>
          <t>redalert2mod</t>
        </is>
      </c>
      <c r="B1163" t="inlineStr">
        <is>
          <t>steelconsortium_whiterabbit</t>
        </is>
      </c>
      <c r="C1163" t="inlineStr">
        <is>
          <t>White Rabbit</t>
        </is>
      </c>
      <c r="D1163" s="6" t="inlineStr">
        <is>
          <t>HeroInfantry</t>
        </is>
      </c>
      <c r="E1163" s="6" t="n">
        <v>150000</v>
      </c>
      <c r="F1163" s="6" t="n">
        <v>50</v>
      </c>
      <c r="G1163" t="inlineStr">
        <is>
          <t>Heroic</t>
        </is>
      </c>
      <c r="H1163" s="6" t="n">
        <v>0.75</v>
      </c>
      <c r="I1163" s="6" t="n">
        <v>1</v>
      </c>
      <c r="J1163" s="6" t="n">
        <v>1.25</v>
      </c>
      <c r="K1163" s="6" t="n"/>
      <c r="P1163">
        <f>MAX(P1164)</f>
        <v/>
      </c>
      <c r="S1163">
        <f>S1164</f>
        <v/>
      </c>
      <c r="T1163">
        <f>(E1163/100000+F1163/100+(P1163/1000)*J1163/5+S1163/200)*200*I1163*H1163</f>
        <v/>
      </c>
      <c r="U1163">
        <f>((E1163*F1163/25000)+((P1163/1000)*J1163*S1163/2.5))*I1163*H1163</f>
        <v/>
      </c>
      <c r="V1163">
        <f>(E1163*F1163*(P1163/1000)*J1163*S1163*I1163*H1163)/12500000</f>
        <v/>
      </c>
      <c r="W1163">
        <f>(T1163+U1163+V1163)/3</f>
        <v/>
      </c>
      <c r="X1163" s="6" t="n">
        <v>4500</v>
      </c>
      <c r="Y1163">
        <f>IFERROR(W1163-X1163,"")</f>
        <v/>
      </c>
      <c r="Z1163">
        <f>IFERROR(ABS(Y1163)/MAX(X1163,1),"")</f>
        <v/>
      </c>
      <c r="AA1163">
        <f>IFERROR((X1163-(((E1163/100000+F1163/100+S1163/200)*200*I1163*H1163)+((E1163*F1163/25000)*I1163*H1163))/3)/(((J1163/5)*200*I1163*H1163)+((J1163*S1163/2.5)*I1163*H1163)+((E1163*F1163*J1163*S1163*I1163*H1163)/12500000))/3*1000,"")</f>
        <v/>
      </c>
    </row>
    <row r="1164">
      <c r="B1164" s="7" t="inlineStr">
        <is>
          <t xml:space="preserve">  ↳ WhiteRabbitGatling</t>
        </is>
      </c>
      <c r="C1164" s="7" t="inlineStr">
        <is>
          <t>Armament@1</t>
        </is>
      </c>
      <c r="L1164" s="6" t="n">
        <v>20000</v>
      </c>
      <c r="M1164" s="6" t="n">
        <v>10</v>
      </c>
      <c r="N1164" s="6" t="n">
        <v>1</v>
      </c>
      <c r="O1164" s="6" t="n"/>
      <c r="P1164" s="6" t="n">
        <v>6000</v>
      </c>
      <c r="Q1164" s="6" t="n">
        <v>1</v>
      </c>
      <c r="R1164">
        <f>M1164+IF(N1164&gt;1,N(O1164)*(N1164-1),0)</f>
        <v/>
      </c>
      <c r="S1164">
        <f>IFERROR(L1164*MAX(N1164,1)/R1164*IF(ISBLANK(K1163),1,K1163),0)</f>
        <v/>
      </c>
      <c r="AB1164" s="7" t="inlineStr">
        <is>
          <t>^Warhead_Bullet_Medium</t>
        </is>
      </c>
    </row>
    <row r="1165">
      <c r="A1165" t="inlineStr">
        <is>
          <t>redalert2mod</t>
        </is>
      </c>
      <c r="B1165" t="inlineStr">
        <is>
          <t>latinsyndicate_freedomfighter</t>
        </is>
      </c>
      <c r="C1165" t="inlineStr">
        <is>
          <t>Freedom Fighter</t>
        </is>
      </c>
      <c r="D1165" s="6" t="inlineStr">
        <is>
          <t>HeroInfantry</t>
        </is>
      </c>
      <c r="E1165" s="6" t="n">
        <v>77000</v>
      </c>
      <c r="F1165" s="6" t="n">
        <v>55</v>
      </c>
      <c r="G1165" t="inlineStr">
        <is>
          <t>Heroic</t>
        </is>
      </c>
      <c r="H1165" s="6" t="n">
        <v>0.75</v>
      </c>
      <c r="I1165" s="6" t="n">
        <v>1</v>
      </c>
      <c r="J1165" s="6" t="n">
        <v>1</v>
      </c>
      <c r="K1165" s="6" t="n">
        <v>0.005</v>
      </c>
      <c r="P1165">
        <f>MAX(P1166,P1167,P1168,P1169)</f>
        <v/>
      </c>
      <c r="S1165">
        <f>S1166+S1167+S1168+S1169</f>
        <v/>
      </c>
      <c r="T1165">
        <f>(E1165/100000+F1165/100+(P1165/1000)*J1165/5+S1165/200)*200*I1165*H1165</f>
        <v/>
      </c>
      <c r="U1165">
        <f>((E1165*F1165/25000)+((P1165/1000)*J1165*S1165/2.5))*I1165*H1165</f>
        <v/>
      </c>
      <c r="V1165">
        <f>(E1165*F1165*(P1165/1000)*J1165*S1165*I1165*H1165)/12500000</f>
        <v/>
      </c>
      <c r="W1165">
        <f>(T1165+U1165+V1165)/3</f>
        <v/>
      </c>
      <c r="X1165" s="6" t="n">
        <v>3000</v>
      </c>
      <c r="Y1165">
        <f>IFERROR(W1165-X1165,"")</f>
        <v/>
      </c>
      <c r="Z1165">
        <f>IFERROR(ABS(Y1165)/MAX(X1165,1),"")</f>
        <v/>
      </c>
      <c r="AA1165">
        <f>IFERROR((X1165-(((E1165/100000+F1165/100+S1165/200)*200*I1165*H1165)+((E1165*F1165/25000)*I1165*H1165))/3)/(((J1165/5)*200*I1165*H1165)+((J1165*S1165/2.5)*I1165*H1165)+((E1165*F1165*J1165*S1165*I1165*H1165)/12500000))/3*1000,"")</f>
        <v/>
      </c>
    </row>
    <row r="1166">
      <c r="B1166" s="7" t="inlineStr">
        <is>
          <t xml:space="preserve">  ↳ RA2FreedomAK47</t>
        </is>
      </c>
      <c r="C1166" s="7" t="inlineStr">
        <is>
          <t>Armament@PRIMARY</t>
        </is>
      </c>
      <c r="L1166" s="6" t="n">
        <v>18000</v>
      </c>
      <c r="M1166" s="6" t="n">
        <v>42</v>
      </c>
      <c r="N1166" s="6" t="n">
        <v>5</v>
      </c>
      <c r="O1166" s="6" t="n">
        <v>2</v>
      </c>
      <c r="P1166" s="6" t="n">
        <v>7130</v>
      </c>
      <c r="Q1166" s="6" t="n">
        <v>1.25</v>
      </c>
      <c r="R1166">
        <f>M1166+IF(N1166&gt;1,N(O1166)*(N1166-1),0)</f>
        <v/>
      </c>
      <c r="S1166">
        <f>IFERROR(L1166*MAX(N1166,1)/R1166*IF(ISBLANK(K1165),1,K1165),0)</f>
        <v/>
      </c>
      <c r="AB1166" s="7" t="inlineStr">
        <is>
          <t>^Warhead_CannonHE_Heavy</t>
        </is>
      </c>
    </row>
    <row r="1167">
      <c r="B1167" s="7" t="inlineStr">
        <is>
          <t xml:space="preserve">  ↳ RA2FreedomAK47_elite</t>
        </is>
      </c>
      <c r="C1167" s="7" t="inlineStr">
        <is>
          <t>Armament@ELITE</t>
        </is>
      </c>
      <c r="L1167" s="6" t="n">
        <v>18000</v>
      </c>
      <c r="M1167" s="6" t="n">
        <v>42</v>
      </c>
      <c r="N1167" s="6" t="n">
        <v>10</v>
      </c>
      <c r="O1167" s="6" t="n">
        <v>1</v>
      </c>
      <c r="P1167" s="6" t="n">
        <v>8130</v>
      </c>
      <c r="Q1167" s="6" t="n">
        <v>1.25</v>
      </c>
      <c r="R1167">
        <f>M1167+IF(N1167&gt;1,N(O1167)*(N1167-1),0)</f>
        <v/>
      </c>
      <c r="S1167">
        <f>IFERROR(L1167*MAX(N1167,1)/R1167*IF(ISBLANK(K1165),1,K1165),0)</f>
        <v/>
      </c>
      <c r="AB1167" s="7" t="inlineStr">
        <is>
          <t>^Warhead_CannonHE_Heavy</t>
        </is>
      </c>
    </row>
    <row r="1168">
      <c r="B1168" s="7" t="inlineStr">
        <is>
          <t xml:space="preserve">  ↳ RA2FreedomRocket</t>
        </is>
      </c>
      <c r="C1168" s="7" t="inlineStr">
        <is>
          <t>Armament@ROCKET</t>
        </is>
      </c>
      <c r="L1168" s="6" t="n">
        <v>180000</v>
      </c>
      <c r="M1168" s="6" t="n">
        <v>100</v>
      </c>
      <c r="N1168" s="6" t="n">
        <v>1</v>
      </c>
      <c r="O1168" s="6" t="n"/>
      <c r="P1168" s="6" t="n">
        <v>7130</v>
      </c>
      <c r="Q1168" s="6" t="n">
        <v>1</v>
      </c>
      <c r="R1168">
        <f>M1168+IF(N1168&gt;1,N(O1168)*(N1168-1),0)</f>
        <v/>
      </c>
      <c r="S1168">
        <f>IFERROR(L1168*MAX(N1168,1)/R1168*IF(ISBLANK(K1165),1,K1165),0)</f>
        <v/>
      </c>
      <c r="AB1168" s="7" t="inlineStr">
        <is>
          <t>^Warhead_MissileAP_Medium</t>
        </is>
      </c>
    </row>
    <row r="1169">
      <c r="B1169" s="7" t="inlineStr">
        <is>
          <t xml:space="preserve">  ↳ RA2FreedomRocket_elite</t>
        </is>
      </c>
      <c r="C1169" s="7" t="inlineStr">
        <is>
          <t>Armament@ROCKETELITE</t>
        </is>
      </c>
      <c r="L1169" s="6" t="n">
        <v>360000</v>
      </c>
      <c r="M1169" s="6" t="n">
        <v>100</v>
      </c>
      <c r="N1169" s="6" t="n">
        <v>1</v>
      </c>
      <c r="O1169" s="6" t="n"/>
      <c r="P1169" s="6" t="n">
        <v>8130</v>
      </c>
      <c r="Q1169" s="6" t="n">
        <v>1</v>
      </c>
      <c r="R1169">
        <f>M1169+IF(N1169&gt;1,N(O1169)*(N1169-1),0)</f>
        <v/>
      </c>
      <c r="S1169">
        <f>IFERROR(L1169*MAX(N1169,1)/R1169*IF(ISBLANK(K1165),1,K1165),0)</f>
        <v/>
      </c>
      <c r="AB1169" s="7" t="inlineStr">
        <is>
          <t>^Warhead_MissileAP_Medium</t>
        </is>
      </c>
    </row>
    <row r="1170">
      <c r="B1170" s="7" t="inlineStr">
        <is>
          <t xml:space="preserve">  ↳ RA2FreedomAK47</t>
        </is>
      </c>
      <c r="C1170" s="7" t="inlineStr">
        <is>
          <t>Armament@GARRISONED</t>
        </is>
      </c>
      <c r="L1170" s="6" t="n">
        <v>18000</v>
      </c>
      <c r="M1170" s="6" t="n">
        <v>42</v>
      </c>
      <c r="N1170" s="6" t="n">
        <v>5</v>
      </c>
      <c r="O1170" s="6" t="n">
        <v>2</v>
      </c>
      <c r="P1170" s="6" t="n">
        <v>7130</v>
      </c>
      <c r="Q1170" s="6" t="n">
        <v>1.25</v>
      </c>
      <c r="R1170">
        <f>M1170+IF(N1170&gt;1,N(O1170)*(N1170-1),0)</f>
        <v/>
      </c>
      <c r="S1170">
        <f>IFERROR(L1170*MAX(N1170,1)/R1170*IF(ISBLANK(K1165),1,K1165),0)</f>
        <v/>
      </c>
      <c r="AB1170" s="7" t="inlineStr">
        <is>
          <t>^Warhead_CannonHE_Heavy</t>
        </is>
      </c>
    </row>
    <row r="1171">
      <c r="B1171" s="7" t="inlineStr">
        <is>
          <t xml:space="preserve">  ↳ RA2FreedomAK47_elite</t>
        </is>
      </c>
      <c r="C1171" s="7" t="inlineStr">
        <is>
          <t>Armament@GARRISONEDELITE</t>
        </is>
      </c>
      <c r="L1171" s="6" t="n">
        <v>18000</v>
      </c>
      <c r="M1171" s="6" t="n">
        <v>42</v>
      </c>
      <c r="N1171" s="6" t="n">
        <v>10</v>
      </c>
      <c r="O1171" s="6" t="n">
        <v>1</v>
      </c>
      <c r="P1171" s="6" t="n">
        <v>8130</v>
      </c>
      <c r="Q1171" s="6" t="n">
        <v>1.25</v>
      </c>
      <c r="R1171">
        <f>M1171+IF(N1171&gt;1,N(O1171)*(N1171-1),0)</f>
        <v/>
      </c>
      <c r="S1171">
        <f>IFERROR(L1171*MAX(N1171,1)/R1171*IF(ISBLANK(K1165),1,K1165),0)</f>
        <v/>
      </c>
      <c r="AB1171" s="7" t="inlineStr">
        <is>
          <t>^Warhead_CannonHE_Heavy</t>
        </is>
      </c>
    </row>
    <row r="1172">
      <c r="B1172" s="7" t="inlineStr">
        <is>
          <t xml:space="preserve">  ↳ RA2FreedomRocket</t>
        </is>
      </c>
      <c r="C1172" s="7" t="inlineStr">
        <is>
          <t>Armament@RocketGARRISONED</t>
        </is>
      </c>
      <c r="L1172" s="6" t="n">
        <v>180000</v>
      </c>
      <c r="M1172" s="6" t="n">
        <v>100</v>
      </c>
      <c r="N1172" s="6" t="n">
        <v>1</v>
      </c>
      <c r="O1172" s="6" t="n"/>
      <c r="P1172" s="6" t="n">
        <v>7130</v>
      </c>
      <c r="Q1172" s="6" t="n">
        <v>1</v>
      </c>
      <c r="R1172">
        <f>M1172+IF(N1172&gt;1,N(O1172)*(N1172-1),0)</f>
        <v/>
      </c>
      <c r="S1172">
        <f>IFERROR(L1172*MAX(N1172,1)/R1172*IF(ISBLANK(K1165),1,K1165),0)</f>
        <v/>
      </c>
      <c r="AB1172" s="7" t="inlineStr">
        <is>
          <t>^Warhead_MissileAP_Medium</t>
        </is>
      </c>
    </row>
    <row r="1173">
      <c r="B1173" s="7" t="inlineStr">
        <is>
          <t xml:space="preserve">  ↳ RA2FreedomRocket_elite</t>
        </is>
      </c>
      <c r="C1173" s="7" t="inlineStr">
        <is>
          <t>Armament@RocketGARRISONEDELITE</t>
        </is>
      </c>
      <c r="L1173" s="6" t="n">
        <v>360000</v>
      </c>
      <c r="M1173" s="6" t="n">
        <v>100</v>
      </c>
      <c r="N1173" s="6" t="n">
        <v>1</v>
      </c>
      <c r="O1173" s="6" t="n"/>
      <c r="P1173" s="6" t="n">
        <v>8130</v>
      </c>
      <c r="Q1173" s="6" t="n">
        <v>1</v>
      </c>
      <c r="R1173">
        <f>M1173+IF(N1173&gt;1,N(O1173)*(N1173-1),0)</f>
        <v/>
      </c>
      <c r="S1173">
        <f>IFERROR(L1173*MAX(N1173,1)/R1173*IF(ISBLANK(K1165),1,K1165),0)</f>
        <v/>
      </c>
      <c r="AB1173" s="7" t="inlineStr">
        <is>
          <t>^Warhead_MissileAP_Medium</t>
        </is>
      </c>
    </row>
    <row r="1174">
      <c r="A1174" t="inlineStr">
        <is>
          <t>redalert2mod</t>
        </is>
      </c>
      <c r="B1174" t="inlineStr">
        <is>
          <t>schwarzermond_parzival</t>
        </is>
      </c>
      <c r="C1174" t="inlineStr">
        <is>
          <t>Parzival</t>
        </is>
      </c>
      <c r="D1174" s="6" t="inlineStr">
        <is>
          <t>HeroInfantry</t>
        </is>
      </c>
      <c r="E1174" s="6" t="n">
        <v>120000</v>
      </c>
      <c r="F1174" s="6" t="n">
        <v>60</v>
      </c>
      <c r="G1174" t="inlineStr">
        <is>
          <t>Heroic</t>
        </is>
      </c>
      <c r="H1174" s="6" t="n">
        <v>0.75</v>
      </c>
      <c r="I1174" s="6" t="n">
        <v>1</v>
      </c>
      <c r="J1174" s="6" t="n">
        <v>1.25</v>
      </c>
      <c r="K1174" s="6" t="n"/>
      <c r="P1174">
        <f>MAX(P1175,P1176)</f>
        <v/>
      </c>
      <c r="S1174">
        <f>S1175+S1176</f>
        <v/>
      </c>
      <c r="T1174">
        <f>(E1174/100000+F1174/100+(P1174/1000)*J1174/5+S1174/200)*200*I1174*H1174</f>
        <v/>
      </c>
      <c r="U1174">
        <f>((E1174*F1174/25000)+((P1174/1000)*J1174*S1174/2.5))*I1174*H1174</f>
        <v/>
      </c>
      <c r="V1174">
        <f>(E1174*F1174*(P1174/1000)*J1174*S1174*I1174*H1174)/12500000</f>
        <v/>
      </c>
      <c r="W1174">
        <f>(T1174+U1174+V1174)/3</f>
        <v/>
      </c>
      <c r="X1174" s="6" t="n">
        <v>3000</v>
      </c>
      <c r="Y1174">
        <f>IFERROR(W1174-X1174,"")</f>
        <v/>
      </c>
      <c r="Z1174">
        <f>IFERROR(ABS(Y1174)/MAX(X1174,1),"")</f>
        <v/>
      </c>
      <c r="AA1174">
        <f>IFERROR((X1174-(((E1174/100000+F1174/100+S1174/200)*200*I1174*H1174)+((E1174*F1174/25000)*I1174*H1174))/3)/(((J1174/5)*200*I1174*H1174)+((J1174*S1174/2.5)*I1174*H1174)+((E1174*F1174*J1174*S1174*I1174*H1174)/12500000))/3*1000,"")</f>
        <v/>
      </c>
    </row>
    <row r="1175">
      <c r="B1175" s="7" t="inlineStr">
        <is>
          <t xml:space="preserve">  ↳ BlackHoleMaker</t>
        </is>
      </c>
      <c r="C1175" s="7" t="inlineStr">
        <is>
          <t>Armament@PRIMARY</t>
        </is>
      </c>
      <c r="L1175" s="6" t="n">
        <v>60000</v>
      </c>
      <c r="M1175" s="6" t="n">
        <v>60</v>
      </c>
      <c r="N1175" s="6" t="n">
        <v>1</v>
      </c>
      <c r="O1175" s="6" t="n"/>
      <c r="P1175" s="6" t="n">
        <v>6414</v>
      </c>
      <c r="Q1175" s="6" t="n">
        <v>1.25</v>
      </c>
      <c r="R1175">
        <f>M1175+IF(N1175&gt;1,N(O1175)*(N1175-1),0)</f>
        <v/>
      </c>
      <c r="S1175">
        <f>IFERROR(L1175*MAX(N1175,1)/R1175*IF(ISBLANK(K1174),1,K1174),0)</f>
        <v/>
      </c>
      <c r="AB1175" s="7" t="inlineStr">
        <is>
          <t>^Warhead_Laser_Heavy</t>
        </is>
      </c>
    </row>
    <row r="1176">
      <c r="B1176" s="7" t="inlineStr">
        <is>
          <t xml:space="preserve">  ↳ BlackHoleMaker_elite</t>
        </is>
      </c>
      <c r="C1176" s="7" t="inlineStr">
        <is>
          <t>Armament@ELITE</t>
        </is>
      </c>
      <c r="L1176" s="6" t="n">
        <v>60000</v>
      </c>
      <c r="M1176" s="6" t="n">
        <v>60</v>
      </c>
      <c r="N1176" s="6" t="n">
        <v>2</v>
      </c>
      <c r="O1176" s="6" t="n">
        <v>3</v>
      </c>
      <c r="P1176" s="6" t="n">
        <v>7414</v>
      </c>
      <c r="Q1176" s="6" t="n">
        <v>1.25</v>
      </c>
      <c r="R1176">
        <f>M1176+IF(N1176&gt;1,N(O1176)*(N1176-1),0)</f>
        <v/>
      </c>
      <c r="S1176">
        <f>IFERROR(L1176*MAX(N1176,1)/R1176*IF(ISBLANK(K1174),1,K1174),0)</f>
        <v/>
      </c>
      <c r="AB1176" s="7" t="inlineStr">
        <is>
          <t>^Warhead_Laser_Heavy</t>
        </is>
      </c>
    </row>
    <row r="1177">
      <c r="B1177" s="7" t="inlineStr">
        <is>
          <t xml:space="preserve">  ↳ BlackHoleMaker</t>
        </is>
      </c>
      <c r="C1177" s="7" t="inlineStr">
        <is>
          <t>Armament@GARRISONED</t>
        </is>
      </c>
      <c r="L1177" s="6" t="n">
        <v>60000</v>
      </c>
      <c r="M1177" s="6" t="n">
        <v>60</v>
      </c>
      <c r="N1177" s="6" t="n">
        <v>1</v>
      </c>
      <c r="O1177" s="6" t="n"/>
      <c r="P1177" s="6" t="n">
        <v>6414</v>
      </c>
      <c r="Q1177" s="6" t="n">
        <v>1.25</v>
      </c>
      <c r="R1177">
        <f>M1177+IF(N1177&gt;1,N(O1177)*(N1177-1),0)</f>
        <v/>
      </c>
      <c r="S1177">
        <f>IFERROR(L1177*MAX(N1177,1)/R1177*IF(ISBLANK(K1174),1,K1174),0)</f>
        <v/>
      </c>
      <c r="AB1177" s="7" t="inlineStr">
        <is>
          <t>^Warhead_Laser_Heavy</t>
        </is>
      </c>
    </row>
    <row r="1178">
      <c r="B1178" s="7" t="inlineStr">
        <is>
          <t xml:space="preserve">  ↳ BlackHoleMaker_elite</t>
        </is>
      </c>
      <c r="C1178" s="7" t="inlineStr">
        <is>
          <t>Armament@GARRISONEDELITE</t>
        </is>
      </c>
      <c r="L1178" s="6" t="n">
        <v>60000</v>
      </c>
      <c r="M1178" s="6" t="n">
        <v>60</v>
      </c>
      <c r="N1178" s="6" t="n">
        <v>2</v>
      </c>
      <c r="O1178" s="6" t="n">
        <v>3</v>
      </c>
      <c r="P1178" s="6" t="n">
        <v>7414</v>
      </c>
      <c r="Q1178" s="6" t="n">
        <v>1.25</v>
      </c>
      <c r="R1178">
        <f>M1178+IF(N1178&gt;1,N(O1178)*(N1178-1),0)</f>
        <v/>
      </c>
      <c r="S1178">
        <f>IFERROR(L1178*MAX(N1178,1)/R1178*IF(ISBLANK(K1174),1,K1174),0)</f>
        <v/>
      </c>
      <c r="AB1178" s="7" t="inlineStr">
        <is>
          <t>^Warhead_Laser_Heavy</t>
        </is>
      </c>
    </row>
    <row r="1179">
      <c r="A1179" t="inlineStr">
        <is>
          <t>redalert2mod</t>
        </is>
      </c>
      <c r="B1179" t="inlineStr">
        <is>
          <t>futuretech_cryolegionnaire</t>
        </is>
      </c>
      <c r="C1179" t="inlineStr">
        <is>
          <t>Cryo Legionnaire</t>
        </is>
      </c>
      <c r="D1179" s="6" t="inlineStr">
        <is>
          <t>HeroInfantry</t>
        </is>
      </c>
      <c r="E1179" s="6" t="n">
        <v>360000</v>
      </c>
      <c r="F1179" s="6" t="n">
        <v>75</v>
      </c>
      <c r="G1179" t="inlineStr">
        <is>
          <t>Heroic</t>
        </is>
      </c>
      <c r="H1179" s="6" t="n">
        <v>0.2941</v>
      </c>
      <c r="I1179" s="6" t="n">
        <v>1</v>
      </c>
      <c r="J1179" s="6" t="n">
        <v>1</v>
      </c>
      <c r="K1179" s="6" t="n">
        <v>0.005</v>
      </c>
      <c r="P1179">
        <f>MAX(P1180)</f>
        <v/>
      </c>
      <c r="S1179">
        <f>S1180</f>
        <v/>
      </c>
      <c r="T1179">
        <f>(E1179/100000+F1179/100+(P1179/1000)*J1179/5+S1179/200)*200*I1179*H1179</f>
        <v/>
      </c>
      <c r="U1179">
        <f>((E1179*F1179/25000)+((P1179/1000)*J1179*S1179/2.5))*I1179*H1179</f>
        <v/>
      </c>
      <c r="V1179">
        <f>(E1179*F1179*(P1179/1000)*J1179*S1179*I1179*H1179)/12500000</f>
        <v/>
      </c>
      <c r="W1179">
        <f>(T1179+U1179+V1179)/3</f>
        <v/>
      </c>
      <c r="X1179" s="6" t="n">
        <v>3500</v>
      </c>
      <c r="Y1179">
        <f>IFERROR(W1179-X1179,"")</f>
        <v/>
      </c>
      <c r="Z1179">
        <f>IFERROR(ABS(Y1179)/MAX(X1179,1),"")</f>
        <v/>
      </c>
      <c r="AA1179">
        <f>IFERROR((X1179-(((E1179/100000+F1179/100+S1179/200)*200*I1179*H1179)+((E1179*F1179/25000)*I1179*H1179))/3)/(((J1179/5)*200*I1179*H1179)+((J1179*S1179/2.5)*I1179*H1179)+((E1179*F1179*J1179*S1179*I1179*H1179)/12500000))/3*1000,"")</f>
        <v/>
      </c>
    </row>
    <row r="1180">
      <c r="B1180" s="7" t="inlineStr">
        <is>
          <t xml:space="preserve">  ↳ CryoLegionnaireAttack</t>
        </is>
      </c>
      <c r="C1180" s="7" t="inlineStr">
        <is>
          <t>Armament@PRIMARY</t>
        </is>
      </c>
      <c r="L1180" s="6" t="n">
        <v>12000</v>
      </c>
      <c r="M1180" s="6" t="n">
        <v>30</v>
      </c>
      <c r="N1180" s="6" t="n">
        <v>1</v>
      </c>
      <c r="O1180" s="6" t="n"/>
      <c r="P1180" s="6" t="n">
        <v>7000</v>
      </c>
      <c r="Q1180" s="6" t="n">
        <v>1</v>
      </c>
      <c r="R1180">
        <f>M1180+IF(N1180&gt;1,N(O1180)*(N1180-1),0)</f>
        <v/>
      </c>
      <c r="S1180">
        <f>IFERROR(L1180*MAX(N1180,1)/R1180*IF(ISBLANK(K1179),1,K1179),0)</f>
        <v/>
      </c>
      <c r="AB1180" s="7" t="inlineStr">
        <is>
          <t>^LightMissile, ^SmallArms, ^Chaingun, ^FlakWeapon, ^TeslaWeapon, ^LaserWeapon</t>
        </is>
      </c>
    </row>
    <row r="1181">
      <c r="B1181" s="7" t="inlineStr">
        <is>
          <t xml:space="preserve">  ↳ CryoLegionnaireAttack</t>
        </is>
      </c>
      <c r="C1181" s="7" t="inlineStr">
        <is>
          <t>Armament@GARRISONED</t>
        </is>
      </c>
      <c r="L1181" s="6" t="n">
        <v>12000</v>
      </c>
      <c r="M1181" s="6" t="n">
        <v>30</v>
      </c>
      <c r="N1181" s="6" t="n">
        <v>1</v>
      </c>
      <c r="O1181" s="6" t="n"/>
      <c r="P1181" s="6" t="n">
        <v>7000</v>
      </c>
      <c r="Q1181" s="6" t="n">
        <v>1</v>
      </c>
      <c r="R1181">
        <f>M1181+IF(N1181&gt;1,N(O1181)*(N1181-1),0)</f>
        <v/>
      </c>
      <c r="S1181">
        <f>IFERROR(L1181*MAX(N1181,1)/R1181*IF(ISBLANK(K1179),1,K1179),0)</f>
        <v/>
      </c>
      <c r="AB1181" s="7" t="inlineStr">
        <is>
          <t>^LightMissile, ^SmallArms, ^Chaingun, ^FlakWeapon, ^TeslaWeapon, ^LaserWeapon</t>
        </is>
      </c>
    </row>
    <row r="1182">
      <c r="A1182" t="inlineStr">
        <is>
          <t>redalert2mod</t>
        </is>
      </c>
      <c r="B1182" t="inlineStr">
        <is>
          <t>tkm_von</t>
        </is>
      </c>
      <c r="C1182" t="inlineStr">
        <is>
          <t>Von</t>
        </is>
      </c>
      <c r="D1182" s="6" t="inlineStr">
        <is>
          <t>HeroInfantry</t>
        </is>
      </c>
      <c r="E1182" s="6" t="n">
        <v>50000</v>
      </c>
      <c r="F1182" s="6" t="n">
        <v>75</v>
      </c>
      <c r="G1182" t="inlineStr">
        <is>
          <t>Heroic</t>
        </is>
      </c>
      <c r="H1182" s="6" t="n">
        <v>0.75</v>
      </c>
      <c r="I1182" s="6" t="n">
        <v>1</v>
      </c>
      <c r="J1182" s="6" t="n">
        <v>1.25</v>
      </c>
      <c r="K1182" s="6" t="n"/>
      <c r="P1182">
        <f>MAX(P1183,P1184,P1185)</f>
        <v/>
      </c>
      <c r="S1182">
        <f>S1183+S1184+S1185</f>
        <v/>
      </c>
      <c r="T1182">
        <f>(E1182/100000+F1182/100+(P1182/1000)*J1182/5+S1182/200)*200*I1182*H1182</f>
        <v/>
      </c>
      <c r="U1182">
        <f>((E1182*F1182/25000)+((P1182/1000)*J1182*S1182/2.5))*I1182*H1182</f>
        <v/>
      </c>
      <c r="V1182">
        <f>(E1182*F1182*(P1182/1000)*J1182*S1182*I1182*H1182)/12500000</f>
        <v/>
      </c>
      <c r="W1182">
        <f>(T1182+U1182+V1182)/3</f>
        <v/>
      </c>
      <c r="X1182" s="6" t="n">
        <v>3000</v>
      </c>
      <c r="Y1182">
        <f>IFERROR(W1182-X1182,"")</f>
        <v/>
      </c>
      <c r="Z1182">
        <f>IFERROR(ABS(Y1182)/MAX(X1182,1),"")</f>
        <v/>
      </c>
      <c r="AA1182">
        <f>IFERROR((X1182-(((E1182/100000+F1182/100+S1182/200)*200*I1182*H1182)+((E1182*F1182/25000)*I1182*H1182))/3)/(((J1182/5)*200*I1182*H1182)+((J1182*S1182/2.5)*I1182*H1182)+((E1182*F1182*J1182*S1182*I1182*H1182)/12500000))/3*1000,"")</f>
        <v/>
      </c>
    </row>
    <row r="1183">
      <c r="B1183" s="7" t="inlineStr">
        <is>
          <t xml:space="preserve">  ↳ VonSniperLockdown</t>
        </is>
      </c>
      <c r="C1183" s="7" t="inlineStr">
        <is>
          <t>Armament@lockdown</t>
        </is>
      </c>
      <c r="L1183" s="6" t="n">
        <v>204000</v>
      </c>
      <c r="M1183" s="6" t="n">
        <v>100</v>
      </c>
      <c r="N1183" s="6" t="n">
        <v>1</v>
      </c>
      <c r="O1183" s="6" t="n"/>
      <c r="P1183" s="6" t="n">
        <v>7879</v>
      </c>
      <c r="Q1183" s="6" t="n">
        <v>1.25</v>
      </c>
      <c r="R1183">
        <f>M1183+IF(N1183&gt;1,N(O1183)*(N1183-1),0)</f>
        <v/>
      </c>
      <c r="S1183">
        <f>IFERROR(L1183*MAX(N1183,1)/R1183*IF(ISBLANK(K1182),1,K1182),0)</f>
        <v/>
      </c>
      <c r="AB1183" s="7" t="inlineStr">
        <is>
          <t>^Warhead_Tesla_Super, ^Warhead_CannonHE_Heavy</t>
        </is>
      </c>
    </row>
    <row r="1184">
      <c r="B1184" s="7" t="inlineStr">
        <is>
          <t xml:space="preserve">  ↳ VonSniper</t>
        </is>
      </c>
      <c r="C1184" s="7" t="inlineStr">
        <is>
          <t>Armament@PRIMARY</t>
        </is>
      </c>
      <c r="L1184" s="6" t="n">
        <v>30000</v>
      </c>
      <c r="M1184" s="6" t="n">
        <v>25</v>
      </c>
      <c r="N1184" s="6" t="n">
        <v>1</v>
      </c>
      <c r="O1184" s="6" t="n"/>
      <c r="P1184" s="6" t="n">
        <v>7879</v>
      </c>
      <c r="Q1184" s="6" t="n">
        <v>1.25</v>
      </c>
      <c r="R1184">
        <f>M1184+IF(N1184&gt;1,N(O1184)*(N1184-1),0)</f>
        <v/>
      </c>
      <c r="S1184">
        <f>IFERROR(L1184*MAX(N1184,1)/R1184*IF(ISBLANK(K1182),1,K1182),0)</f>
        <v/>
      </c>
      <c r="AB1184" s="7" t="inlineStr">
        <is>
          <t>^Warhead_CannonHE_Heavy</t>
        </is>
      </c>
    </row>
    <row r="1185">
      <c r="B1185" s="7" t="inlineStr">
        <is>
          <t xml:space="preserve">  ↳ VonSniperAP</t>
        </is>
      </c>
      <c r="C1185" s="7" t="inlineStr">
        <is>
          <t>Armament@PRIMARYUPGRADE</t>
        </is>
      </c>
      <c r="L1185" s="6" t="n">
        <v>92000</v>
      </c>
      <c r="M1185" s="6" t="n">
        <v>50</v>
      </c>
      <c r="N1185" s="6" t="n">
        <v>1</v>
      </c>
      <c r="O1185" s="6" t="n"/>
      <c r="P1185" s="6" t="n">
        <v>7879</v>
      </c>
      <c r="Q1185" s="6" t="n">
        <v>1.25</v>
      </c>
      <c r="R1185">
        <f>M1185+IF(N1185&gt;1,N(O1185)*(N1185-1),0)</f>
        <v/>
      </c>
      <c r="S1185">
        <f>IFERROR(L1185*MAX(N1185,1)/R1185*IF(ISBLANK(K1182),1,K1182),0)</f>
        <v/>
      </c>
      <c r="AB1185" s="7" t="inlineStr">
        <is>
          <t>^Warhead_CannonHE_Heavy</t>
        </is>
      </c>
    </row>
    <row r="1186">
      <c r="B1186" s="7" t="inlineStr">
        <is>
          <t xml:space="preserve">  ↳ VonSniper</t>
        </is>
      </c>
      <c r="C1186" s="7" t="inlineStr">
        <is>
          <t>Armament@GARRISONED</t>
        </is>
      </c>
      <c r="L1186" s="6" t="n">
        <v>30000</v>
      </c>
      <c r="M1186" s="6" t="n">
        <v>25</v>
      </c>
      <c r="N1186" s="6" t="n">
        <v>1</v>
      </c>
      <c r="O1186" s="6" t="n"/>
      <c r="P1186" s="6" t="n">
        <v>7879</v>
      </c>
      <c r="Q1186" s="6" t="n">
        <v>1.25</v>
      </c>
      <c r="R1186">
        <f>M1186+IF(N1186&gt;1,N(O1186)*(N1186-1),0)</f>
        <v/>
      </c>
      <c r="S1186">
        <f>IFERROR(L1186*MAX(N1186,1)/R1186*IF(ISBLANK(K1182),1,K1182),0)</f>
        <v/>
      </c>
      <c r="AB1186" s="7" t="inlineStr">
        <is>
          <t>^Warhead_CannonHE_Heavy</t>
        </is>
      </c>
    </row>
    <row r="1187">
      <c r="B1187" s="7" t="inlineStr">
        <is>
          <t xml:space="preserve">  ↳ VonSniperAP</t>
        </is>
      </c>
      <c r="C1187" s="7" t="inlineStr">
        <is>
          <t>Armament@GARRISONEDUPGRADE</t>
        </is>
      </c>
      <c r="L1187" s="6" t="n">
        <v>92000</v>
      </c>
      <c r="M1187" s="6" t="n">
        <v>50</v>
      </c>
      <c r="N1187" s="6" t="n">
        <v>1</v>
      </c>
      <c r="O1187" s="6" t="n"/>
      <c r="P1187" s="6" t="n">
        <v>7879</v>
      </c>
      <c r="Q1187" s="6" t="n">
        <v>1.25</v>
      </c>
      <c r="R1187">
        <f>M1187+IF(N1187&gt;1,N(O1187)*(N1187-1),0)</f>
        <v/>
      </c>
      <c r="S1187">
        <f>IFERROR(L1187*MAX(N1187,1)/R1187*IF(ISBLANK(K1182),1,K1182),0)</f>
        <v/>
      </c>
      <c r="AB1187" s="7" t="inlineStr">
        <is>
          <t>^Warhead_CannonHE_Heavy</t>
        </is>
      </c>
    </row>
    <row r="1188">
      <c r="A1188" t="inlineStr">
        <is>
          <t>redalert2mod</t>
        </is>
      </c>
      <c r="B1188" t="inlineStr">
        <is>
          <t>tkmvan</t>
        </is>
      </c>
      <c r="C1188" t="inlineStr">
        <is>
          <t>Van</t>
        </is>
      </c>
      <c r="D1188" s="6" t="inlineStr">
        <is>
          <t>HeroInfantry</t>
        </is>
      </c>
      <c r="E1188" s="6" t="n">
        <v>40000</v>
      </c>
      <c r="F1188" s="6" t="n">
        <v>75</v>
      </c>
      <c r="G1188" t="inlineStr">
        <is>
          <t>Heroic</t>
        </is>
      </c>
      <c r="H1188" s="6" t="n">
        <v>1</v>
      </c>
      <c r="I1188" s="6" t="n">
        <v>1</v>
      </c>
      <c r="J1188" s="6" t="n">
        <v>1</v>
      </c>
      <c r="K1188" s="6" t="n"/>
      <c r="P1188">
        <f>MAX(P1189)</f>
        <v/>
      </c>
      <c r="S1188">
        <f>S1189</f>
        <v/>
      </c>
      <c r="T1188">
        <f>(E1188/100000+F1188/100+(P1188/1000)*J1188/5+S1188/200)*200*I1188*H1188</f>
        <v/>
      </c>
      <c r="U1188">
        <f>((E1188*F1188/25000)+((P1188/1000)*J1188*S1188/2.5))*I1188*H1188</f>
        <v/>
      </c>
      <c r="V1188">
        <f>(E1188*F1188*(P1188/1000)*J1188*S1188*I1188*H1188)/12500000</f>
        <v/>
      </c>
      <c r="W1188">
        <f>(T1188+U1188+V1188)/3</f>
        <v/>
      </c>
      <c r="X1188" s="6" t="n">
        <v>3500</v>
      </c>
      <c r="Y1188">
        <f>IFERROR(W1188-X1188,"")</f>
        <v/>
      </c>
      <c r="Z1188">
        <f>IFERROR(ABS(Y1188)/MAX(X1188,1),"")</f>
        <v/>
      </c>
      <c r="AA1188">
        <f>IFERROR((X1188-(((E1188/100000+F1188/100+S1188/200)*200*I1188*H1188)+((E1188*F1188/25000)*I1188*H1188))/3)/(((J1188/5)*200*I1188*H1188)+((J1188*S1188/2.5)*I1188*H1188)+((E1188*F1188*J1188*S1188*I1188*H1188)/12500000))/3*1000,"")</f>
        <v/>
      </c>
    </row>
    <row r="1189">
      <c r="B1189" s="7" t="inlineStr">
        <is>
          <t xml:space="preserve">  ↳ VanSniper</t>
        </is>
      </c>
      <c r="C1189" s="7" t="inlineStr">
        <is>
          <t>Armament@PRIMARY</t>
        </is>
      </c>
      <c r="L1189" s="6" t="n">
        <v>80000</v>
      </c>
      <c r="M1189" s="6" t="n">
        <v>30</v>
      </c>
      <c r="N1189" s="6" t="n">
        <v>1</v>
      </c>
      <c r="O1189" s="6" t="n"/>
      <c r="P1189" s="6" t="n">
        <v>12402</v>
      </c>
      <c r="Q1189" s="6" t="n">
        <v>0.75</v>
      </c>
      <c r="R1189">
        <f>M1189+IF(N1189&gt;1,N(O1189)*(N1189-1),0)</f>
        <v/>
      </c>
      <c r="S1189">
        <f>IFERROR(L1189*MAX(N1189,1)/R1189*IF(ISBLANK(K1188),1,K1188),0)</f>
        <v/>
      </c>
      <c r="AB1189" s="7" t="inlineStr">
        <is>
          <t>^Warhead_Sniper_Light</t>
        </is>
      </c>
    </row>
    <row r="1190">
      <c r="B1190" s="7" t="inlineStr">
        <is>
          <t xml:space="preserve">  ↳ VanSniper</t>
        </is>
      </c>
      <c r="C1190" s="7" t="inlineStr">
        <is>
          <t>Armament@GARRISONED</t>
        </is>
      </c>
      <c r="L1190" s="6" t="n">
        <v>80000</v>
      </c>
      <c r="M1190" s="6" t="n">
        <v>30</v>
      </c>
      <c r="N1190" s="6" t="n">
        <v>1</v>
      </c>
      <c r="O1190" s="6" t="n"/>
      <c r="P1190" s="6" t="n">
        <v>12402</v>
      </c>
      <c r="Q1190" s="6" t="n">
        <v>0.75</v>
      </c>
      <c r="R1190">
        <f>M1190+IF(N1190&gt;1,N(O1190)*(N1190-1),0)</f>
        <v/>
      </c>
      <c r="S1190">
        <f>IFERROR(L1190*MAX(N1190,1)/R1190*IF(ISBLANK(K1188),1,K1188),0)</f>
        <v/>
      </c>
      <c r="AB1190" s="7" t="inlineStr">
        <is>
          <t>^Warhead_Sniper_Light</t>
        </is>
      </c>
    </row>
    <row r="1191">
      <c r="A1191" t="inlineStr">
        <is>
          <t>d2k</t>
        </is>
      </c>
      <c r="B1191" t="inlineStr">
        <is>
          <t>ordos_facedancer</t>
        </is>
      </c>
      <c r="C1191" t="inlineStr">
        <is>
          <t>Face Dancer</t>
        </is>
      </c>
      <c r="D1191" s="6" t="inlineStr">
        <is>
          <t>HeroInfantry</t>
        </is>
      </c>
      <c r="E1191" s="6" t="n">
        <v>90000</v>
      </c>
      <c r="F1191" s="6" t="n">
        <v>75</v>
      </c>
      <c r="G1191" t="inlineStr">
        <is>
          <t>Heroic</t>
        </is>
      </c>
      <c r="H1191" s="6" t="n">
        <v>0.75</v>
      </c>
      <c r="I1191" s="6" t="n">
        <v>1</v>
      </c>
      <c r="J1191" s="6" t="n">
        <v>1.25</v>
      </c>
      <c r="K1191" s="6" t="n"/>
      <c r="P1191">
        <f>MAX(P1192)</f>
        <v/>
      </c>
      <c r="S1191">
        <f>S1192</f>
        <v/>
      </c>
      <c r="T1191">
        <f>(E1191/100000+F1191/100+(P1191/1000)*J1191/5+S1191/200)*200*I1191*H1191</f>
        <v/>
      </c>
      <c r="U1191">
        <f>((E1191*F1191/25000)+((P1191/1000)*J1191*S1191/2.5))*I1191*H1191</f>
        <v/>
      </c>
      <c r="V1191">
        <f>(E1191*F1191*(P1191/1000)*J1191*S1191*I1191*H1191)/12500000</f>
        <v/>
      </c>
      <c r="W1191">
        <f>(T1191+U1191+V1191)/3</f>
        <v/>
      </c>
      <c r="X1191" s="6" t="n">
        <v>5000</v>
      </c>
      <c r="Y1191">
        <f>IFERROR(W1191-X1191,"")</f>
        <v/>
      </c>
      <c r="Z1191">
        <f>IFERROR(ABS(Y1191)/MAX(X1191,1),"")</f>
        <v/>
      </c>
      <c r="AA1191">
        <f>IFERROR((X1191-(((E1191/100000+F1191/100+S1191/200)*200*I1191*H1191)+((E1191*F1191/25000)*I1191*H1191))/3)/(((J1191/5)*200*I1191*H1191)+((J1191*S1191/2.5)*I1191*H1191)+((E1191*F1191*J1191*S1191*I1191*H1191)/12500000))/3*1000,"")</f>
        <v/>
      </c>
    </row>
    <row r="1192">
      <c r="B1192" s="7" t="inlineStr">
        <is>
          <t xml:space="preserve">  ↳ facedancer_grenade</t>
        </is>
      </c>
      <c r="C1192" s="7" t="inlineStr">
        <is>
          <t>Armament</t>
        </is>
      </c>
      <c r="L1192" s="6" t="n">
        <v>180000</v>
      </c>
      <c r="M1192" s="6" t="n">
        <v>90</v>
      </c>
      <c r="N1192" s="6" t="n">
        <v>1</v>
      </c>
      <c r="O1192" s="6" t="n"/>
      <c r="P1192" s="6" t="n">
        <v>7250</v>
      </c>
      <c r="Q1192" s="6" t="n">
        <v>1.25</v>
      </c>
      <c r="R1192">
        <f>M1192+IF(N1192&gt;1,N(O1192)*(N1192-1),0)</f>
        <v/>
      </c>
      <c r="S1192">
        <f>IFERROR(L1192*MAX(N1192,1)/R1192*IF(ISBLANK(K1191),1,K1191),0)</f>
        <v/>
      </c>
      <c r="AB1192" s="7" t="inlineStr">
        <is>
          <t>^Warhead_CannonHE_Heavy, ^Warhead_MissileAP_Heavy</t>
        </is>
      </c>
    </row>
    <row r="1193">
      <c r="B1193" s="7" t="inlineStr">
        <is>
          <t xml:space="preserve">  ↳ facedancer_grenade</t>
        </is>
      </c>
      <c r="C1193" s="7" t="inlineStr">
        <is>
          <t>Armament@GARRISONED</t>
        </is>
      </c>
      <c r="L1193" s="6" t="n">
        <v>180000</v>
      </c>
      <c r="M1193" s="6" t="n">
        <v>90</v>
      </c>
      <c r="N1193" s="6" t="n">
        <v>1</v>
      </c>
      <c r="O1193" s="6" t="n"/>
      <c r="P1193" s="6" t="n">
        <v>7250</v>
      </c>
      <c r="Q1193" s="6" t="n">
        <v>1.25</v>
      </c>
      <c r="R1193">
        <f>M1193+IF(N1193&gt;1,N(O1193)*(N1193-1),0)</f>
        <v/>
      </c>
      <c r="S1193">
        <f>IFERROR(L1193*MAX(N1193,1)/R1193*IF(ISBLANK(K1191),1,K1191),0)</f>
        <v/>
      </c>
      <c r="AB1193" s="7" t="inlineStr">
        <is>
          <t>^Warhead_CannonHE_Heavy, ^Warhead_MissileAP_Heavy</t>
        </is>
      </c>
    </row>
    <row r="1194">
      <c r="A1194" t="inlineStr">
        <is>
          <t>starcraft</t>
        </is>
      </c>
      <c r="B1194" t="inlineStr">
        <is>
          <t>protoss_patriarch</t>
        </is>
      </c>
      <c r="C1194" t="inlineStr">
        <is>
          <t>Patriarch</t>
        </is>
      </c>
      <c r="D1194" s="6" t="inlineStr">
        <is>
          <t>HeroInfantry</t>
        </is>
      </c>
      <c r="E1194" s="6" t="n">
        <v>75000</v>
      </c>
      <c r="F1194" s="6" t="n">
        <v>75</v>
      </c>
      <c r="G1194" t="inlineStr">
        <is>
          <t>Heroic</t>
        </is>
      </c>
      <c r="H1194" s="6" t="n">
        <v>0.7674</v>
      </c>
      <c r="I1194" s="6" t="n">
        <v>1</v>
      </c>
      <c r="J1194" s="6" t="n">
        <v>1</v>
      </c>
      <c r="K1194" s="6" t="n"/>
      <c r="P1194">
        <f>MAX(P1195)</f>
        <v/>
      </c>
      <c r="S1194">
        <f>S1195</f>
        <v/>
      </c>
      <c r="T1194">
        <f>(E1194/100000+F1194/100+(P1194/1000)*J1194/5+S1194/200)*200*I1194*H1194</f>
        <v/>
      </c>
      <c r="U1194">
        <f>((E1194*F1194/25000)+((P1194/1000)*J1194*S1194/2.5))*I1194*H1194</f>
        <v/>
      </c>
      <c r="V1194">
        <f>(E1194*F1194*(P1194/1000)*J1194*S1194*I1194*H1194)/12500000</f>
        <v/>
      </c>
      <c r="W1194">
        <f>(T1194+U1194+V1194)/3</f>
        <v/>
      </c>
      <c r="X1194" s="6" t="n">
        <v>4000</v>
      </c>
      <c r="Y1194">
        <f>IFERROR(W1194-X1194,"")</f>
        <v/>
      </c>
      <c r="Z1194">
        <f>IFERROR(ABS(Y1194)/MAX(X1194,1),"")</f>
        <v/>
      </c>
      <c r="AA1194">
        <f>IFERROR((X1194-(((E1194/100000+F1194/100+S1194/200)*200*I1194*H1194)+((E1194*F1194/25000)*I1194*H1194))/3)/(((J1194/5)*200*I1194*H1194)+((J1194*S1194/2.5)*I1194*H1194)+((E1194*F1194*J1194*S1194*I1194*H1194)/12500000))/3*1000,"")</f>
        <v/>
      </c>
    </row>
    <row r="1195">
      <c r="B1195" s="7" t="inlineStr">
        <is>
          <t xml:space="preserve">  ↳ PatriarchShoot</t>
        </is>
      </c>
      <c r="C1195" s="7" t="inlineStr">
        <is>
          <t>Armament</t>
        </is>
      </c>
      <c r="L1195" s="6" t="n">
        <v>12000</v>
      </c>
      <c r="M1195" s="6" t="n">
        <v>75</v>
      </c>
      <c r="N1195" s="6" t="n">
        <v>2</v>
      </c>
      <c r="O1195" s="6" t="n">
        <v>0</v>
      </c>
      <c r="P1195" s="6" t="n">
        <v>5000</v>
      </c>
      <c r="Q1195" s="6" t="n">
        <v>1</v>
      </c>
      <c r="R1195">
        <f>M1195+IF(N1195&gt;1,N(O1195)*(N1195-1),0)</f>
        <v/>
      </c>
      <c r="S1195">
        <f>IFERROR(L1195*MAX(N1195,1)/R1195*IF(ISBLANK(K1194),1,K1194),0)</f>
        <v/>
      </c>
      <c r="AB1195" s="7" t="inlineStr">
        <is>
          <t>^Grenade, ^ShrapnelWeapon, ^HeavyBomb, ^MediumMissile, ^Chaingun, ^FlakWeapon</t>
        </is>
      </c>
    </row>
    <row r="1196">
      <c r="B1196" s="7" t="inlineStr">
        <is>
          <t xml:space="preserve">  ↳ PatriarchShoot</t>
        </is>
      </c>
      <c r="C1196" s="7" t="inlineStr">
        <is>
          <t>Armament@garrisoned</t>
        </is>
      </c>
      <c r="L1196" s="6" t="n">
        <v>12000</v>
      </c>
      <c r="M1196" s="6" t="n">
        <v>75</v>
      </c>
      <c r="N1196" s="6" t="n">
        <v>2</v>
      </c>
      <c r="O1196" s="6" t="n">
        <v>0</v>
      </c>
      <c r="P1196" s="6" t="n">
        <v>5000</v>
      </c>
      <c r="Q1196" s="6" t="n">
        <v>1</v>
      </c>
      <c r="R1196">
        <f>M1196+IF(N1196&gt;1,N(O1196)*(N1196-1),0)</f>
        <v/>
      </c>
      <c r="S1196">
        <f>IFERROR(L1196*MAX(N1196,1)/R1196*IF(ISBLANK(K1194),1,K1194),0)</f>
        <v/>
      </c>
      <c r="AB1196" s="7" t="inlineStr">
        <is>
          <t>^Grenade, ^ShrapnelWeapon, ^HeavyBomb, ^MediumMissile, ^Chaingun, ^FlakWeapon</t>
        </is>
      </c>
    </row>
    <row r="1197">
      <c r="A1197" t="inlineStr">
        <is>
          <t>starcraft</t>
        </is>
      </c>
      <c r="B1197" t="inlineStr">
        <is>
          <t>protoss_zeratul</t>
        </is>
      </c>
      <c r="C1197" t="inlineStr">
        <is>
          <t>Zeratul</t>
        </is>
      </c>
      <c r="D1197" s="6" t="inlineStr">
        <is>
          <t>HeroInfantry</t>
        </is>
      </c>
      <c r="E1197" s="6" t="n">
        <v>250000</v>
      </c>
      <c r="F1197" s="6" t="n">
        <v>100</v>
      </c>
      <c r="G1197" t="inlineStr">
        <is>
          <t>Heroic</t>
        </is>
      </c>
      <c r="H1197" s="6" t="n">
        <v>0.75</v>
      </c>
      <c r="I1197" s="6" t="n">
        <v>1</v>
      </c>
      <c r="J1197" s="6" t="n">
        <v>1.25</v>
      </c>
      <c r="K1197" s="6" t="n"/>
      <c r="P1197">
        <f>MAX(P1198)</f>
        <v/>
      </c>
      <c r="S1197">
        <f>S1198</f>
        <v/>
      </c>
      <c r="T1197">
        <f>(E1197/100000+F1197/100+(P1197/1000)*J1197/5+S1197/200)*200*I1197*H1197</f>
        <v/>
      </c>
      <c r="U1197">
        <f>((E1197*F1197/25000)+((P1197/1000)*J1197*S1197/2.5))*I1197*H1197</f>
        <v/>
      </c>
      <c r="V1197">
        <f>(E1197*F1197*(P1197/1000)*J1197*S1197*I1197*H1197)/12500000</f>
        <v/>
      </c>
      <c r="W1197">
        <f>(T1197+U1197+V1197)/3</f>
        <v/>
      </c>
      <c r="X1197" s="6" t="n">
        <v>4000</v>
      </c>
      <c r="Y1197">
        <f>IFERROR(W1197-X1197,"")</f>
        <v/>
      </c>
      <c r="Z1197">
        <f>IFERROR(ABS(Y1197)/MAX(X1197,1),"")</f>
        <v/>
      </c>
      <c r="AA1197">
        <f>IFERROR((X1197-(((E1197/100000+F1197/100+S1197/200)*200*I1197*H1197)+((E1197*F1197/25000)*I1197*H1197))/3)/(((J1197/5)*200*I1197*H1197)+((J1197*S1197/2.5)*I1197*H1197)+((E1197*F1197*J1197*S1197*I1197*H1197)/12500000))/3*1000,"")</f>
        <v/>
      </c>
    </row>
    <row r="1198">
      <c r="B1198" s="7" t="inlineStr">
        <is>
          <t xml:space="preserve">  ↳ ZeratulSlice</t>
        </is>
      </c>
      <c r="C1198" s="7" t="inlineStr">
        <is>
          <t>Armament</t>
        </is>
      </c>
      <c r="L1198" s="6" t="n">
        <v>64000</v>
      </c>
      <c r="M1198" s="6" t="n">
        <v>24</v>
      </c>
      <c r="N1198" s="6" t="n">
        <v>1</v>
      </c>
      <c r="O1198" s="6" t="n"/>
      <c r="P1198" s="6" t="n">
        <v>1445</v>
      </c>
      <c r="Q1198" s="6" t="n">
        <v>1</v>
      </c>
      <c r="R1198">
        <f>M1198+IF(N1198&gt;1,N(O1198)*(N1198-1),0)</f>
        <v/>
      </c>
      <c r="S1198">
        <f>IFERROR(L1198*MAX(N1198,1)/R1198*IF(ISBLANK(K1197),1,K1197),0)</f>
        <v/>
      </c>
      <c r="AB1198" s="7" t="inlineStr">
        <is>
          <t>^Warhead_Melee_Medium</t>
        </is>
      </c>
    </row>
    <row r="1199">
      <c r="A1199" t="inlineStr">
        <is>
          <t>starcraft</t>
        </is>
      </c>
      <c r="B1199" t="inlineStr">
        <is>
          <t>zerg_kerrigan</t>
        </is>
      </c>
      <c r="C1199" t="inlineStr">
        <is>
          <t>Kerrigan</t>
        </is>
      </c>
      <c r="D1199" s="6" t="inlineStr">
        <is>
          <t>HeroInfantry</t>
        </is>
      </c>
      <c r="E1199" s="6" t="n">
        <v>300000</v>
      </c>
      <c r="F1199" s="6" t="n">
        <v>75</v>
      </c>
      <c r="G1199" t="inlineStr">
        <is>
          <t>Heroic</t>
        </is>
      </c>
      <c r="H1199" s="6" t="n">
        <v>0.75</v>
      </c>
      <c r="I1199" s="6" t="n">
        <v>1</v>
      </c>
      <c r="J1199" s="6" t="n">
        <v>1.25</v>
      </c>
      <c r="K1199" s="6" t="n"/>
      <c r="P1199">
        <f>MAX(P1200)</f>
        <v/>
      </c>
      <c r="S1199">
        <f>S1200</f>
        <v/>
      </c>
      <c r="T1199">
        <f>(E1199/100000+F1199/100+(P1199/1000)*J1199/5+S1199/200)*200*I1199*H1199</f>
        <v/>
      </c>
      <c r="U1199">
        <f>((E1199*F1199/25000)+((P1199/1000)*J1199*S1199/2.5))*I1199*H1199</f>
        <v/>
      </c>
      <c r="V1199">
        <f>(E1199*F1199*(P1199/1000)*J1199*S1199*I1199*H1199)/12500000</f>
        <v/>
      </c>
      <c r="W1199">
        <f>(T1199+U1199+V1199)/3</f>
        <v/>
      </c>
      <c r="X1199" s="6" t="n">
        <v>4000</v>
      </c>
      <c r="Y1199">
        <f>IFERROR(W1199-X1199,"")</f>
        <v/>
      </c>
      <c r="Z1199">
        <f>IFERROR(ABS(Y1199)/MAX(X1199,1),"")</f>
        <v/>
      </c>
      <c r="AA1199">
        <f>IFERROR((X1199-(((E1199/100000+F1199/100+S1199/200)*200*I1199*H1199)+((E1199*F1199/25000)*I1199*H1199))/3)/(((J1199/5)*200*I1199*H1199)+((J1199*S1199/2.5)*I1199*H1199)+((E1199*F1199*J1199*S1199*I1199*H1199)/12500000))/3*1000,"")</f>
        <v/>
      </c>
    </row>
    <row r="1200">
      <c r="B1200" s="7" t="inlineStr">
        <is>
          <t xml:space="preserve">  ↳ zerg_kerrigan</t>
        </is>
      </c>
      <c r="C1200" s="7" t="inlineStr">
        <is>
          <t>Armament</t>
        </is>
      </c>
      <c r="L1200" s="6" t="n">
        <v>40000</v>
      </c>
      <c r="M1200" s="6" t="n">
        <v>20</v>
      </c>
      <c r="N1200" s="6" t="n">
        <v>1</v>
      </c>
      <c r="O1200" s="6" t="n"/>
      <c r="P1200" s="6" t="n">
        <v>2225</v>
      </c>
      <c r="Q1200" s="6" t="n">
        <v>1</v>
      </c>
      <c r="R1200">
        <f>M1200+IF(N1200&gt;1,N(O1200)*(N1200-1),0)</f>
        <v/>
      </c>
      <c r="S1200">
        <f>IFERROR(L1200*MAX(N1200,1)/R1200*IF(ISBLANK(K1199),1,K1199),0)</f>
        <v/>
      </c>
      <c r="AB1200" s="7" t="inlineStr">
        <is>
          <t>^Warhead_Melee_Medium</t>
        </is>
      </c>
    </row>
    <row r="1201">
      <c r="A1201" t="inlineStr">
        <is>
          <t>starcraft</t>
        </is>
      </c>
      <c r="B1201" t="inlineStr">
        <is>
          <t>terran_jimraynor</t>
        </is>
      </c>
      <c r="C1201" t="inlineStr">
        <is>
          <t>Jim Raynor</t>
        </is>
      </c>
      <c r="D1201" s="6" t="inlineStr">
        <is>
          <t>HeroInfantry</t>
        </is>
      </c>
      <c r="E1201" s="6" t="n">
        <v>200000</v>
      </c>
      <c r="F1201" s="6" t="n">
        <v>65</v>
      </c>
      <c r="G1201" t="inlineStr">
        <is>
          <t>Heroic</t>
        </is>
      </c>
      <c r="H1201" s="6" t="n">
        <v>0.75</v>
      </c>
      <c r="I1201" s="6" t="n">
        <v>1</v>
      </c>
      <c r="J1201" s="6" t="n">
        <v>1</v>
      </c>
      <c r="K1201" s="6" t="n"/>
      <c r="P1201">
        <f>MAX(P1202)</f>
        <v/>
      </c>
      <c r="S1201">
        <f>S1202</f>
        <v/>
      </c>
      <c r="T1201">
        <f>(E1201/100000+F1201/100+(P1201/1000)*J1201/5+S1201/200)*200*I1201*H1201</f>
        <v/>
      </c>
      <c r="U1201">
        <f>((E1201*F1201/25000)+((P1201/1000)*J1201*S1201/2.5))*I1201*H1201</f>
        <v/>
      </c>
      <c r="V1201">
        <f>(E1201*F1201*(P1201/1000)*J1201*S1201*I1201*H1201)/12500000</f>
        <v/>
      </c>
      <c r="W1201">
        <f>(T1201+U1201+V1201)/3</f>
        <v/>
      </c>
      <c r="X1201" s="6" t="n">
        <v>4000</v>
      </c>
      <c r="Y1201">
        <f>IFERROR(W1201-X1201,"")</f>
        <v/>
      </c>
      <c r="Z1201">
        <f>IFERROR(ABS(Y1201)/MAX(X1201,1),"")</f>
        <v/>
      </c>
      <c r="AA1201">
        <f>IFERROR((X1201-(((E1201/100000+F1201/100+S1201/200)*200*I1201*H1201)+((E1201*F1201/25000)*I1201*H1201))/3)/(((J1201/5)*200*I1201*H1201)+((J1201*S1201/2.5)*I1201*H1201)+((E1201*F1201*J1201*S1201*I1201*H1201)/12500000))/3*1000,"")</f>
        <v/>
      </c>
    </row>
    <row r="1202">
      <c r="B1202" s="7" t="inlineStr">
        <is>
          <t xml:space="preserve">  ↳ JimRaynorMachineGun</t>
        </is>
      </c>
      <c r="C1202" s="7" t="inlineStr">
        <is>
          <t>Armament@PRIMARY</t>
        </is>
      </c>
      <c r="L1202" s="6" t="n">
        <v>4000</v>
      </c>
      <c r="M1202" s="6" t="n">
        <v>12</v>
      </c>
      <c r="N1202" s="6" t="n">
        <v>5</v>
      </c>
      <c r="O1202" s="6" t="n">
        <v>2</v>
      </c>
      <c r="P1202" s="6" t="n">
        <v>7446</v>
      </c>
      <c r="Q1202" s="6" t="n">
        <v>1.25</v>
      </c>
      <c r="R1202">
        <f>M1202+IF(N1202&gt;1,N(O1202)*(N1202-1),0)</f>
        <v/>
      </c>
      <c r="S1202">
        <f>IFERROR(L1202*MAX(N1202,1)/R1202*IF(ISBLANK(K1201),1,K1201),0)</f>
        <v/>
      </c>
      <c r="AB1202" s="7" t="inlineStr">
        <is>
          <t>^Warhead_MissileHE_Heavy, ^Warhead_CannonHE_Heavy</t>
        </is>
      </c>
    </row>
    <row r="1203">
      <c r="B1203" s="7" t="inlineStr">
        <is>
          <t xml:space="preserve">  ↳ JimRaynorMachineGun</t>
        </is>
      </c>
      <c r="C1203" s="7" t="inlineStr">
        <is>
          <t>Armament@GARRISONED</t>
        </is>
      </c>
      <c r="L1203" s="6" t="n">
        <v>4000</v>
      </c>
      <c r="M1203" s="6" t="n">
        <v>12</v>
      </c>
      <c r="N1203" s="6" t="n">
        <v>5</v>
      </c>
      <c r="O1203" s="6" t="n">
        <v>2</v>
      </c>
      <c r="P1203" s="6" t="n">
        <v>7446</v>
      </c>
      <c r="Q1203" s="6" t="n">
        <v>1.25</v>
      </c>
      <c r="R1203">
        <f>M1203+IF(N1203&gt;1,N(O1203)*(N1203-1),0)</f>
        <v/>
      </c>
      <c r="S1203">
        <f>IFERROR(L1203*MAX(N1203,1)/R1203*IF(ISBLANK(K1201),1,K1201),0)</f>
        <v/>
      </c>
      <c r="AB1203" s="7" t="inlineStr">
        <is>
          <t>^Warhead_MissileHE_Heavy, ^Warhead_CannonHE_Heavy</t>
        </is>
      </c>
    </row>
    <row r="1204">
      <c r="A1204" s="4" t="inlineStr">
        <is>
          <t>FlyingInfantry</t>
        </is>
      </c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  <c r="M1204" s="5" t="n"/>
      <c r="N1204" s="5" t="n"/>
      <c r="O1204" s="5" t="n"/>
      <c r="P1204" s="5" t="n"/>
      <c r="Q1204" s="5" t="n"/>
      <c r="R1204" s="5" t="n"/>
      <c r="S1204" s="5" t="n"/>
      <c r="T1204" s="5" t="n"/>
      <c r="U1204" s="5" t="n"/>
      <c r="V1204" s="5" t="n"/>
      <c r="W1204" s="5" t="n"/>
      <c r="X1204" s="5" t="n"/>
      <c r="Y1204" s="5" t="n"/>
      <c r="Z1204" s="5" t="n"/>
      <c r="AA1204" s="5" t="n"/>
      <c r="AB1204" s="5" t="n"/>
    </row>
    <row r="1205">
      <c r="A1205" t="inlineStr">
        <is>
          <t>redalert</t>
        </is>
      </c>
      <c r="B1205" t="inlineStr">
        <is>
          <t>japan_rocketangel</t>
        </is>
      </c>
      <c r="C1205" t="inlineStr">
        <is>
          <t>Rocket Angel</t>
        </is>
      </c>
      <c r="D1205" s="6" t="inlineStr">
        <is>
          <t>FlyingInfantry</t>
        </is>
      </c>
      <c r="E1205" s="6" t="n">
        <v>24000</v>
      </c>
      <c r="F1205" s="6" t="n">
        <v>140</v>
      </c>
      <c r="G1205" t="inlineStr">
        <is>
          <t>Scout</t>
        </is>
      </c>
      <c r="H1205" s="6" t="n">
        <v>0.75</v>
      </c>
      <c r="I1205" s="6" t="n">
        <v>1</v>
      </c>
      <c r="J1205" s="6" t="n">
        <v>1.25</v>
      </c>
      <c r="K1205" s="6" t="n">
        <v>0.005</v>
      </c>
      <c r="P1205">
        <f>MAX(P1206)</f>
        <v/>
      </c>
      <c r="S1205">
        <f>S1206</f>
        <v/>
      </c>
      <c r="T1205">
        <f>(E1205/100000+F1205/100+(P1205/1000)*J1205/5+S1205/200)*200*I1205*H1205</f>
        <v/>
      </c>
      <c r="U1205">
        <f>((E1205*F1205/25000)+((P1205/1000)*J1205*S1205/2.5))*I1205*H1205</f>
        <v/>
      </c>
      <c r="V1205">
        <f>(E1205*F1205*(P1205/1000)*J1205*S1205*I1205*H1205)/12500000</f>
        <v/>
      </c>
      <c r="W1205">
        <f>(T1205+U1205+V1205)/3</f>
        <v/>
      </c>
      <c r="X1205" s="6" t="n">
        <v>900</v>
      </c>
      <c r="Y1205">
        <f>IFERROR(W1205-X1205,"")</f>
        <v/>
      </c>
      <c r="Z1205">
        <f>IFERROR(ABS(Y1205)/MAX(X1205,1),"")</f>
        <v/>
      </c>
      <c r="AA1205">
        <f>IFERROR((X1205-(((E1205/100000+F1205/100+S1205/200)*200*I1205*H1205)+((E1205*F1205/25000)*I1205*H1205))/3)/(((J1205/5)*200*I1205*H1205)+((J1205*S1205/2.5)*I1205*H1205)+((E1205*F1205*J1205*S1205*I1205*H1205)/12500000))/3*1000,"")</f>
        <v/>
      </c>
    </row>
    <row r="1206">
      <c r="B1206" s="7" t="inlineStr">
        <is>
          <t xml:space="preserve">  ↳ RocketAngelRockets</t>
        </is>
      </c>
      <c r="C1206" s="7" t="inlineStr">
        <is>
          <t>Armament@PRIMARY</t>
        </is>
      </c>
      <c r="L1206" s="6" t="n">
        <v>12000</v>
      </c>
      <c r="M1206" s="6" t="n">
        <v>34</v>
      </c>
      <c r="N1206" s="6" t="n">
        <v>4</v>
      </c>
      <c r="O1206" s="6" t="n">
        <v>2</v>
      </c>
      <c r="P1206" s="6" t="n">
        <v>4600</v>
      </c>
      <c r="Q1206" s="6" t="n">
        <v>1</v>
      </c>
      <c r="R1206">
        <f>M1206+IF(N1206&gt;1,N(O1206)*(N1206-1),0)</f>
        <v/>
      </c>
      <c r="S1206">
        <f>IFERROR(L1206*MAX(N1206,1)/R1206*IF(ISBLANK(K1205),1,K1205),0)</f>
        <v/>
      </c>
      <c r="AB1206" s="7" t="inlineStr">
        <is>
          <t>^TeslaWeapon, ^HeavyMissile, ^MediumFlameWeapon, ^MediumChemicalWeapon, ^Grenade, ^ArrowWeapon</t>
        </is>
      </c>
    </row>
    <row r="1207">
      <c r="A1207" t="inlineStr">
        <is>
          <t>tiberiansun</t>
        </is>
      </c>
      <c r="B1207" t="inlineStr">
        <is>
          <t>cabal_cyborgassassin</t>
        </is>
      </c>
      <c r="C1207" t="inlineStr">
        <is>
          <t>Cyborg Assassin</t>
        </is>
      </c>
      <c r="D1207" s="6" t="inlineStr">
        <is>
          <t>FlyingInfantry</t>
        </is>
      </c>
      <c r="E1207" s="6" t="n">
        <v>30000</v>
      </c>
      <c r="F1207" s="6" t="n">
        <v>180</v>
      </c>
      <c r="G1207" t="inlineStr">
        <is>
          <t>Scout</t>
        </is>
      </c>
      <c r="H1207" s="6" t="n">
        <v>1</v>
      </c>
      <c r="I1207" s="6" t="n">
        <v>1</v>
      </c>
      <c r="J1207" s="6" t="n">
        <v>1</v>
      </c>
      <c r="K1207" s="6" t="n"/>
      <c r="P1207">
        <f>MAX(P1208)</f>
        <v/>
      </c>
      <c r="S1207">
        <f>S1208</f>
        <v/>
      </c>
      <c r="T1207">
        <f>(E1207/100000+F1207/100+(P1207/1000)*J1207/5+S1207/200)*200*I1207*H1207</f>
        <v/>
      </c>
      <c r="U1207">
        <f>((E1207*F1207/25000)+((P1207/1000)*J1207*S1207/2.5))*I1207*H1207</f>
        <v/>
      </c>
      <c r="V1207">
        <f>(E1207*F1207*(P1207/1000)*J1207*S1207*I1207*H1207)/12500000</f>
        <v/>
      </c>
      <c r="W1207">
        <f>(T1207+U1207+V1207)/3</f>
        <v/>
      </c>
      <c r="X1207" s="6" t="n">
        <v>1000</v>
      </c>
      <c r="Y1207">
        <f>IFERROR(W1207-X1207,"")</f>
        <v/>
      </c>
      <c r="Z1207">
        <f>IFERROR(ABS(Y1207)/MAX(X1207,1),"")</f>
        <v/>
      </c>
      <c r="AA1207">
        <f>IFERROR((X1207-(((E1207/100000+F1207/100+S1207/200)*200*I1207*H1207)+((E1207*F1207/25000)*I1207*H1207))/3)/(((J1207/5)*200*I1207*H1207)+((J1207*S1207/2.5)*I1207*H1207)+((E1207*F1207*J1207*S1207*I1207*H1207)/12500000))/3*1000,"")</f>
        <v/>
      </c>
    </row>
    <row r="1208">
      <c r="B1208" s="7" t="inlineStr">
        <is>
          <t xml:space="preserve">  ↳ CabalWaspLaserStriker</t>
        </is>
      </c>
      <c r="C1208" s="7" t="inlineStr">
        <is>
          <t>Armament@PRIMARY</t>
        </is>
      </c>
      <c r="L1208" s="6" t="n">
        <v>4000</v>
      </c>
      <c r="M1208" s="6" t="n">
        <v>18</v>
      </c>
      <c r="N1208" s="6" t="n">
        <v>2</v>
      </c>
      <c r="O1208" s="6" t="n">
        <v>3</v>
      </c>
      <c r="P1208" s="6" t="n">
        <v>6309</v>
      </c>
      <c r="Q1208" s="6" t="n">
        <v>1.25</v>
      </c>
      <c r="R1208">
        <f>M1208+IF(N1208&gt;1,N(O1208)*(N1208-1),0)</f>
        <v/>
      </c>
      <c r="S1208">
        <f>IFERROR(L1208*MAX(N1208,1)/R1208*IF(ISBLANK(K1207),1,K1207),0)</f>
        <v/>
      </c>
      <c r="AB1208" s="7" t="inlineStr">
        <is>
          <t>^Warhead_Laser_Heavy</t>
        </is>
      </c>
    </row>
    <row r="1209">
      <c r="A1209" t="inlineStr">
        <is>
          <t>tiberiansun</t>
        </is>
      </c>
      <c r="B1209" t="inlineStr">
        <is>
          <t>cabal_orbdrone</t>
        </is>
      </c>
      <c r="C1209" t="inlineStr">
        <is>
          <t>Orb Drone</t>
        </is>
      </c>
      <c r="D1209" s="6" t="inlineStr">
        <is>
          <t>FlyingInfantry</t>
        </is>
      </c>
      <c r="E1209" s="6" t="n">
        <v>25000</v>
      </c>
      <c r="F1209" s="6" t="n">
        <v>140</v>
      </c>
      <c r="G1209" t="inlineStr">
        <is>
          <t>Scout</t>
        </is>
      </c>
      <c r="H1209" s="6" t="n">
        <v>1</v>
      </c>
      <c r="I1209" s="6" t="n">
        <v>1</v>
      </c>
      <c r="J1209" s="6" t="n">
        <v>1</v>
      </c>
      <c r="K1209" s="6" t="n"/>
      <c r="P1209">
        <f>MAX(P1210)</f>
        <v/>
      </c>
      <c r="S1209">
        <f>S1210</f>
        <v/>
      </c>
      <c r="T1209">
        <f>(E1209/100000+F1209/100+(P1209/1000)*J1209/5+S1209/200)*200*I1209*H1209</f>
        <v/>
      </c>
      <c r="U1209">
        <f>((E1209*F1209/25000)+((P1209/1000)*J1209*S1209/2.5))*I1209*H1209</f>
        <v/>
      </c>
      <c r="V1209">
        <f>(E1209*F1209*(P1209/1000)*J1209*S1209*I1209*H1209)/12500000</f>
        <v/>
      </c>
      <c r="W1209">
        <f>(T1209+U1209+V1209)/3</f>
        <v/>
      </c>
      <c r="X1209" s="6" t="n">
        <v>600</v>
      </c>
      <c r="Y1209">
        <f>IFERROR(W1209-X1209,"")</f>
        <v/>
      </c>
      <c r="Z1209">
        <f>IFERROR(ABS(Y1209)/MAX(X1209,1),"")</f>
        <v/>
      </c>
      <c r="AA1209">
        <f>IFERROR((X1209-(((E1209/100000+F1209/100+S1209/200)*200*I1209*H1209)+((E1209*F1209/25000)*I1209*H1209))/3)/(((J1209/5)*200*I1209*H1209)+((J1209*S1209/2.5)*I1209*H1209)+((E1209*F1209*J1209*S1209*I1209*H1209)/12500000))/3*1000,"")</f>
        <v/>
      </c>
    </row>
    <row r="1210">
      <c r="B1210" s="7" t="inlineStr">
        <is>
          <t xml:space="preserve">  ↳ CabalWaspLaser</t>
        </is>
      </c>
      <c r="C1210" s="7" t="inlineStr">
        <is>
          <t>Armament@PRIMARY</t>
        </is>
      </c>
      <c r="L1210" s="6" t="n">
        <v>4000</v>
      </c>
      <c r="M1210" s="6" t="n">
        <v>20</v>
      </c>
      <c r="N1210" s="6" t="n">
        <v>1</v>
      </c>
      <c r="O1210" s="6" t="n"/>
      <c r="P1210" s="6" t="n">
        <v>6420</v>
      </c>
      <c r="Q1210" s="6" t="n">
        <v>1.25</v>
      </c>
      <c r="R1210">
        <f>M1210+IF(N1210&gt;1,N(O1210)*(N1210-1),0)</f>
        <v/>
      </c>
      <c r="S1210">
        <f>IFERROR(L1210*MAX(N1210,1)/R1210*IF(ISBLANK(K1209),1,K1209),0)</f>
        <v/>
      </c>
      <c r="AB1210" s="7" t="inlineStr">
        <is>
          <t>^Warhead_Laser_Heavy</t>
        </is>
      </c>
    </row>
    <row r="1211">
      <c r="A1211" t="inlineStr">
        <is>
          <t>tiberiansun</t>
        </is>
      </c>
      <c r="B1211" t="inlineStr">
        <is>
          <t>cabal_orbdrone_slave</t>
        </is>
      </c>
      <c r="C1211" t="inlineStr">
        <is>
          <t>Orb Drone</t>
        </is>
      </c>
      <c r="D1211" s="6" t="inlineStr">
        <is>
          <t>FlyingInfantry</t>
        </is>
      </c>
      <c r="E1211" s="6" t="n">
        <v>25000</v>
      </c>
      <c r="F1211" s="6" t="n">
        <v>140</v>
      </c>
      <c r="G1211" t="inlineStr">
        <is>
          <t>Scout</t>
        </is>
      </c>
      <c r="H1211" s="6" t="n">
        <v>1</v>
      </c>
      <c r="I1211" s="6" t="n">
        <v>1</v>
      </c>
      <c r="J1211" s="6" t="n">
        <v>1</v>
      </c>
      <c r="K1211" s="6" t="n"/>
      <c r="P1211">
        <f>MAX(P1212)</f>
        <v/>
      </c>
      <c r="S1211">
        <f>S1212</f>
        <v/>
      </c>
      <c r="T1211">
        <f>(E1211/100000+F1211/100+(P1211/1000)*J1211/5+S1211/200)*200*I1211*H1211</f>
        <v/>
      </c>
      <c r="U1211">
        <f>((E1211*F1211/25000)+((P1211/1000)*J1211*S1211/2.5))*I1211*H1211</f>
        <v/>
      </c>
      <c r="V1211">
        <f>(E1211*F1211*(P1211/1000)*J1211*S1211*I1211*H1211)/12500000</f>
        <v/>
      </c>
      <c r="W1211">
        <f>(T1211+U1211+V1211)/3</f>
        <v/>
      </c>
      <c r="X1211" s="6" t="n">
        <v>270</v>
      </c>
      <c r="Y1211">
        <f>IFERROR(W1211-X1211,"")</f>
        <v/>
      </c>
      <c r="Z1211">
        <f>IFERROR(ABS(Y1211)/MAX(X1211,1),"")</f>
        <v/>
      </c>
      <c r="AA1211">
        <f>IFERROR((X1211-(((E1211/100000+F1211/100+S1211/200)*200*I1211*H1211)+((E1211*F1211/25000)*I1211*H1211))/3)/(((J1211/5)*200*I1211*H1211)+((J1211*S1211/2.5)*I1211*H1211)+((E1211*F1211*J1211*S1211*I1211*H1211)/12500000))/3*1000,"")</f>
        <v/>
      </c>
    </row>
    <row r="1212">
      <c r="B1212" s="7" t="inlineStr">
        <is>
          <t xml:space="preserve">  ↳ CabalWaspLaser</t>
        </is>
      </c>
      <c r="C1212" s="7" t="inlineStr">
        <is>
          <t>Armament@PRIMARY</t>
        </is>
      </c>
      <c r="L1212" s="6" t="n">
        <v>4000</v>
      </c>
      <c r="M1212" s="6" t="n">
        <v>20</v>
      </c>
      <c r="N1212" s="6" t="n">
        <v>1</v>
      </c>
      <c r="O1212" s="6" t="n"/>
      <c r="P1212" s="6" t="n">
        <v>6420</v>
      </c>
      <c r="Q1212" s="6" t="n">
        <v>1.25</v>
      </c>
      <c r="R1212">
        <f>M1212+IF(N1212&gt;1,N(O1212)*(N1212-1),0)</f>
        <v/>
      </c>
      <c r="S1212">
        <f>IFERROR(L1212*MAX(N1212,1)/R1212*IF(ISBLANK(K1211),1,K1211),0)</f>
        <v/>
      </c>
      <c r="AB1212" s="7" t="inlineStr">
        <is>
          <t>^Warhead_Laser_Heavy</t>
        </is>
      </c>
    </row>
    <row r="1213">
      <c r="A1213" t="inlineStr">
        <is>
          <t>tiberiansun</t>
        </is>
      </c>
      <c r="B1213" t="inlineStr">
        <is>
          <t>ts_nod_shadowteam_air</t>
        </is>
      </c>
      <c r="C1213" t="inlineStr">
        <is>
          <t>actor_ts_nod_shadowteam.name</t>
        </is>
      </c>
      <c r="D1213" s="6" t="inlineStr">
        <is>
          <t>FlyingInfantry</t>
        </is>
      </c>
      <c r="E1213" s="6" t="n">
        <v>30000</v>
      </c>
      <c r="F1213" s="6" t="n">
        <v>150</v>
      </c>
      <c r="G1213" t="inlineStr">
        <is>
          <t>Scout</t>
        </is>
      </c>
      <c r="H1213" s="6" t="n">
        <v>1</v>
      </c>
      <c r="I1213" s="6" t="n">
        <v>1</v>
      </c>
      <c r="J1213" s="6" t="n">
        <v>1</v>
      </c>
      <c r="K1213" s="6" t="n"/>
      <c r="X1213" s="6" t="n">
        <v>900</v>
      </c>
    </row>
    <row r="1214">
      <c r="B1214" s="7" t="inlineStr">
        <is>
          <t xml:space="preserve">  ↳ TSShadowTeamTargeting</t>
        </is>
      </c>
      <c r="C1214" s="7" t="inlineStr">
        <is>
          <t>Armament@PRIMARY</t>
        </is>
      </c>
      <c r="L1214" s="6" t="n"/>
      <c r="M1214" s="6" t="n">
        <v>500</v>
      </c>
      <c r="N1214" s="6" t="n">
        <v>1</v>
      </c>
      <c r="O1214" s="6" t="n"/>
      <c r="P1214" s="6" t="n">
        <v>12000</v>
      </c>
      <c r="Q1214" s="6" t="n">
        <v>1</v>
      </c>
      <c r="R1214">
        <f>M1214+IF(N1214&gt;1,N(O1214)*(N1214-1),0)</f>
        <v/>
      </c>
      <c r="S1214">
        <f>IFERROR(L1214*MAX(N1214,1)/R1214*IF(ISBLANK(K1213),1,K1213),0)</f>
        <v/>
      </c>
      <c r="AB1214" s="7" t="inlineStr"/>
    </row>
    <row r="1215">
      <c r="A1215" t="inlineStr">
        <is>
          <t>tiberiansun</t>
        </is>
      </c>
      <c r="B1215" t="inlineStr">
        <is>
          <t>ts_gdi_jumpjetinfantry</t>
        </is>
      </c>
      <c r="C1215" t="inlineStr">
        <is>
          <t>Jumpjet Infantry</t>
        </is>
      </c>
      <c r="D1215" s="6" t="inlineStr">
        <is>
          <t>FlyingInfantry</t>
        </is>
      </c>
      <c r="E1215" s="6" t="n">
        <v>34000</v>
      </c>
      <c r="F1215" s="6" t="n">
        <v>110</v>
      </c>
      <c r="G1215" t="inlineStr">
        <is>
          <t>Scout</t>
        </is>
      </c>
      <c r="H1215" s="6" t="n">
        <v>1</v>
      </c>
      <c r="I1215" s="6" t="n">
        <v>1</v>
      </c>
      <c r="J1215" s="6" t="n">
        <v>1</v>
      </c>
      <c r="K1215" s="6" t="n"/>
      <c r="P1215">
        <f>MAX(P1216)</f>
        <v/>
      </c>
      <c r="S1215">
        <f>S1216</f>
        <v/>
      </c>
      <c r="T1215">
        <f>(E1215/100000+F1215/100+(P1215/1000)*J1215/5+S1215/200)*200*I1215*H1215</f>
        <v/>
      </c>
      <c r="U1215">
        <f>((E1215*F1215/25000)+((P1215/1000)*J1215*S1215/2.5))*I1215*H1215</f>
        <v/>
      </c>
      <c r="V1215">
        <f>(E1215*F1215*(P1215/1000)*J1215*S1215*I1215*H1215)/12500000</f>
        <v/>
      </c>
      <c r="W1215">
        <f>(T1215+U1215+V1215)/3</f>
        <v/>
      </c>
      <c r="X1215" s="6" t="n">
        <v>700</v>
      </c>
      <c r="Y1215">
        <f>IFERROR(W1215-X1215,"")</f>
        <v/>
      </c>
      <c r="Z1215">
        <f>IFERROR(ABS(Y1215)/MAX(X1215,1),"")</f>
        <v/>
      </c>
      <c r="AA1215">
        <f>IFERROR((X1215-(((E1215/100000+F1215/100+S1215/200)*200*I1215*H1215)+((E1215*F1215/25000)*I1215*H1215))/3)/(((J1215/5)*200*I1215*H1215)+((J1215*S1215/2.5)*I1215*H1215)+((E1215*F1215*J1215*S1215*I1215*H1215)/12500000))/3*1000,"")</f>
        <v/>
      </c>
    </row>
    <row r="1216">
      <c r="B1216" s="7" t="inlineStr">
        <is>
          <t xml:space="preserve">  ↳ TSJumpCannon</t>
        </is>
      </c>
      <c r="C1216" s="7" t="inlineStr">
        <is>
          <t>Armament@PRIMARY</t>
        </is>
      </c>
      <c r="L1216" s="6" t="n">
        <v>8000</v>
      </c>
      <c r="M1216" s="6" t="n">
        <v>25</v>
      </c>
      <c r="N1216" s="6" t="n">
        <v>1</v>
      </c>
      <c r="O1216" s="6" t="n"/>
      <c r="P1216" s="6" t="n">
        <v>5090</v>
      </c>
      <c r="Q1216" s="6" t="n">
        <v>1</v>
      </c>
      <c r="R1216">
        <f>M1216+IF(N1216&gt;1,N(O1216)*(N1216-1),0)</f>
        <v/>
      </c>
      <c r="S1216">
        <f>IFERROR(L1216*MAX(N1216,1)/R1216*IF(ISBLANK(K1215),1,K1215),0)</f>
        <v/>
      </c>
      <c r="AB1216" s="7" t="inlineStr">
        <is>
          <t>^Warhead_Flak_Medium, ^Warhead_Bullet_Medium</t>
        </is>
      </c>
    </row>
    <row r="1217">
      <c r="A1217" t="inlineStr">
        <is>
          <t>redalert2</t>
        </is>
      </c>
      <c r="B1217" t="inlineStr">
        <is>
          <t>ra2_allies_rocketeer</t>
        </is>
      </c>
      <c r="C1217" t="inlineStr">
        <is>
          <t>Rocketeer</t>
        </is>
      </c>
      <c r="D1217" s="6" t="inlineStr">
        <is>
          <t>FlyingInfantry</t>
        </is>
      </c>
      <c r="E1217" s="6" t="n">
        <v>18000</v>
      </c>
      <c r="F1217" s="6" t="n">
        <v>180</v>
      </c>
      <c r="G1217" t="inlineStr">
        <is>
          <t>Scout</t>
        </is>
      </c>
      <c r="H1217" s="6" t="n">
        <v>0.8639</v>
      </c>
      <c r="I1217" s="6" t="n">
        <v>1</v>
      </c>
      <c r="J1217" s="6" t="n">
        <v>1</v>
      </c>
      <c r="K1217" s="6" t="n">
        <v>0.005</v>
      </c>
      <c r="P1217">
        <f>MAX(P1218)</f>
        <v/>
      </c>
      <c r="S1217">
        <f>S1218</f>
        <v/>
      </c>
      <c r="T1217">
        <f>(E1217/100000+F1217/100+(P1217/1000)*J1217/5+S1217/200)*200*I1217*H1217</f>
        <v/>
      </c>
      <c r="U1217">
        <f>((E1217*F1217/25000)+((P1217/1000)*J1217*S1217/2.5))*I1217*H1217</f>
        <v/>
      </c>
      <c r="V1217">
        <f>(E1217*F1217*(P1217/1000)*J1217*S1217*I1217*H1217)/12500000</f>
        <v/>
      </c>
      <c r="W1217">
        <f>(T1217+U1217+V1217)/3</f>
        <v/>
      </c>
      <c r="X1217" s="6" t="n">
        <v>600</v>
      </c>
      <c r="Y1217">
        <f>IFERROR(W1217-X1217,"")</f>
        <v/>
      </c>
      <c r="Z1217">
        <f>IFERROR(ABS(Y1217)/MAX(X1217,1),"")</f>
        <v/>
      </c>
      <c r="AA1217">
        <f>IFERROR((X1217-(((E1217/100000+F1217/100+S1217/200)*200*I1217*H1217)+((E1217*F1217/25000)*I1217*H1217))/3)/(((J1217/5)*200*I1217*H1217)+((J1217*S1217/2.5)*I1217*H1217)+((E1217*F1217*J1217*S1217*I1217*H1217)/12500000))/3*1000,"")</f>
        <v/>
      </c>
    </row>
    <row r="1218">
      <c r="B1218" s="7" t="inlineStr">
        <is>
          <t xml:space="preserve">  ↳ ra2roktgun</t>
        </is>
      </c>
      <c r="C1218" s="7" t="inlineStr">
        <is>
          <t>Armament@PRIMARY</t>
        </is>
      </c>
      <c r="L1218" s="6" t="n">
        <v>8000</v>
      </c>
      <c r="M1218" s="6" t="n">
        <v>14</v>
      </c>
      <c r="N1218" s="6" t="n">
        <v>1</v>
      </c>
      <c r="O1218" s="6" t="n"/>
      <c r="P1218" s="6" t="n">
        <v>5000</v>
      </c>
      <c r="Q1218" s="6" t="n">
        <v>1</v>
      </c>
      <c r="R1218">
        <f>M1218+IF(N1218&gt;1,N(O1218)*(N1218-1),0)</f>
        <v/>
      </c>
      <c r="S1218">
        <f>IFERROR(L1218*MAX(N1218,1)/R1218*IF(ISBLANK(K1217),1,K1217),0)</f>
        <v/>
      </c>
      <c r="AB1218" s="7" t="inlineStr">
        <is>
          <t>^Warhead_Bullet_Medium</t>
        </is>
      </c>
    </row>
    <row r="1219">
      <c r="A1219" t="inlineStr">
        <is>
          <t>redalert2</t>
        </is>
      </c>
      <c r="B1219" t="inlineStr">
        <is>
          <t>yuri_cosmonaut</t>
        </is>
      </c>
      <c r="C1219" t="inlineStr">
        <is>
          <t>Cosmonaut</t>
        </is>
      </c>
      <c r="D1219" s="6" t="inlineStr">
        <is>
          <t>FlyingInfantry</t>
        </is>
      </c>
      <c r="E1219" s="6" t="n">
        <v>28000</v>
      </c>
      <c r="F1219" s="6" t="n">
        <v>165</v>
      </c>
      <c r="G1219" t="inlineStr">
        <is>
          <t>Scout</t>
        </is>
      </c>
      <c r="H1219" s="6" t="n">
        <v>1</v>
      </c>
      <c r="I1219" s="6" t="n">
        <v>1</v>
      </c>
      <c r="J1219" s="6" t="n">
        <v>1</v>
      </c>
      <c r="K1219" s="6" t="n">
        <v>0.005</v>
      </c>
      <c r="P1219">
        <f>MAX(P1220)</f>
        <v/>
      </c>
      <c r="S1219">
        <f>S1220</f>
        <v/>
      </c>
      <c r="T1219">
        <f>(E1219/100000+F1219/100+(P1219/1000)*J1219/5+S1219/200)*200*I1219*H1219</f>
        <v/>
      </c>
      <c r="U1219">
        <f>((E1219*F1219/25000)+((P1219/1000)*J1219*S1219/2.5))*I1219*H1219</f>
        <v/>
      </c>
      <c r="V1219">
        <f>(E1219*F1219*(P1219/1000)*J1219*S1219*I1219*H1219)/12500000</f>
        <v/>
      </c>
      <c r="W1219">
        <f>(T1219+U1219+V1219)/3</f>
        <v/>
      </c>
      <c r="X1219" s="6" t="n">
        <v>1100</v>
      </c>
      <c r="Y1219">
        <f>IFERROR(W1219-X1219,"")</f>
        <v/>
      </c>
      <c r="Z1219">
        <f>IFERROR(ABS(Y1219)/MAX(X1219,1),"")</f>
        <v/>
      </c>
      <c r="AA1219">
        <f>IFERROR((X1219-(((E1219/100000+F1219/100+S1219/200)*200*I1219*H1219)+((E1219*F1219/25000)*I1219*H1219))/3)/(((J1219/5)*200*I1219*H1219)+((J1219*S1219/2.5)*I1219*H1219)+((E1219*F1219*J1219*S1219*I1219*H1219)/12500000))/3*1000,"")</f>
        <v/>
      </c>
    </row>
    <row r="1220">
      <c r="B1220" s="7" t="inlineStr">
        <is>
          <t xml:space="preserve">  ↳ RA2CosmonautLaser</t>
        </is>
      </c>
      <c r="C1220" s="7" t="inlineStr">
        <is>
          <t>Armament@PRIMARY</t>
        </is>
      </c>
      <c r="L1220" s="6" t="n">
        <v>12000</v>
      </c>
      <c r="M1220" s="6" t="n">
        <v>11</v>
      </c>
      <c r="N1220" s="6" t="n">
        <v>1</v>
      </c>
      <c r="O1220" s="6" t="n"/>
      <c r="P1220" s="6" t="n">
        <v>4750</v>
      </c>
      <c r="Q1220" s="6" t="n">
        <v>1</v>
      </c>
      <c r="R1220">
        <f>M1220+IF(N1220&gt;1,N(O1220)*(N1220-1),0)</f>
        <v/>
      </c>
      <c r="S1220">
        <f>IFERROR(L1220*MAX(N1220,1)/R1220*IF(ISBLANK(K1219),1,K1219),0)</f>
        <v/>
      </c>
      <c r="AB1220" s="7" t="inlineStr">
        <is>
          <t>^Warhead_Bullet_Medium</t>
        </is>
      </c>
    </row>
    <row r="1221">
      <c r="A1221" t="inlineStr">
        <is>
          <t>redalert2mod</t>
        </is>
      </c>
      <c r="B1221" t="inlineStr">
        <is>
          <t>naxis_skymage</t>
        </is>
      </c>
      <c r="C1221" t="inlineStr">
        <is>
          <t>Sky Mage</t>
        </is>
      </c>
      <c r="D1221" s="6" t="inlineStr">
        <is>
          <t>FlyingInfantry</t>
        </is>
      </c>
      <c r="E1221" s="6" t="n">
        <v>48000</v>
      </c>
      <c r="F1221" s="6" t="n">
        <v>160</v>
      </c>
      <c r="G1221" t="inlineStr">
        <is>
          <t>Scout</t>
        </is>
      </c>
      <c r="H1221" s="6" t="n">
        <v>0.75</v>
      </c>
      <c r="I1221" s="6" t="n">
        <v>1</v>
      </c>
      <c r="J1221" s="6" t="n">
        <v>1.25</v>
      </c>
      <c r="K1221" s="6" t="n">
        <v>0.005</v>
      </c>
      <c r="P1221">
        <f>MAX(P1222,P1223,P1224,P1225)</f>
        <v/>
      </c>
      <c r="S1221">
        <f>S1222+S1223+S1224+S1225</f>
        <v/>
      </c>
      <c r="T1221">
        <f>(E1221/100000+F1221/100+(P1221/1000)*J1221/5+S1221/200)*200*I1221*H1221</f>
        <v/>
      </c>
      <c r="U1221">
        <f>((E1221*F1221/25000)+((P1221/1000)*J1221*S1221/2.5))*I1221*H1221</f>
        <v/>
      </c>
      <c r="V1221">
        <f>(E1221*F1221*(P1221/1000)*J1221*S1221*I1221*H1221)/12500000</f>
        <v/>
      </c>
      <c r="W1221">
        <f>(T1221+U1221+V1221)/3</f>
        <v/>
      </c>
      <c r="X1221" s="6" t="n">
        <v>1200</v>
      </c>
      <c r="Y1221">
        <f>IFERROR(W1221-X1221,"")</f>
        <v/>
      </c>
      <c r="Z1221">
        <f>IFERROR(ABS(Y1221)/MAX(X1221,1),"")</f>
        <v/>
      </c>
      <c r="AA1221">
        <f>IFERROR((X1221-(((E1221/100000+F1221/100+S1221/200)*200*I1221*H1221)+((E1221*F1221/25000)*I1221*H1221))/3)/(((J1221/5)*200*I1221*H1221)+((J1221*S1221/2.5)*I1221*H1221)+((E1221*F1221*J1221*S1221*I1221*H1221)/12500000))/3*1000,"")</f>
        <v/>
      </c>
    </row>
    <row r="1222">
      <c r="B1222" s="7" t="inlineStr">
        <is>
          <t xml:space="preserve">  ↳ SkyMageCannon</t>
        </is>
      </c>
      <c r="C1222" s="7" t="inlineStr">
        <is>
          <t>Armament@PRIMARY</t>
        </is>
      </c>
      <c r="L1222" s="6" t="n">
        <v>7000</v>
      </c>
      <c r="M1222" s="6" t="n">
        <v>26</v>
      </c>
      <c r="N1222" s="6" t="n">
        <v>6</v>
      </c>
      <c r="O1222" s="6" t="n">
        <v>4</v>
      </c>
      <c r="P1222" s="6" t="n">
        <v>5000</v>
      </c>
      <c r="Q1222" s="6" t="n">
        <v>1</v>
      </c>
      <c r="R1222">
        <f>M1222+IF(N1222&gt;1,N(O1222)*(N1222-1),0)</f>
        <v/>
      </c>
      <c r="S1222">
        <f>IFERROR(L1222*MAX(N1222,1)/R1222*IF(ISBLANK(K1221),1,K1221),0)</f>
        <v/>
      </c>
      <c r="AB1222" s="7" t="inlineStr">
        <is>
          <t>^Warhead_Flak_Medium</t>
        </is>
      </c>
    </row>
    <row r="1223">
      <c r="B1223" s="7" t="inlineStr">
        <is>
          <t xml:space="preserve">  ↳ SkyMageCannon_elite</t>
        </is>
      </c>
      <c r="C1223" s="7" t="inlineStr">
        <is>
          <t>Armament@ELITE</t>
        </is>
      </c>
      <c r="L1223" s="6" t="n">
        <v>7000</v>
      </c>
      <c r="M1223" s="6" t="n">
        <v>26</v>
      </c>
      <c r="N1223" s="6" t="n">
        <v>8</v>
      </c>
      <c r="O1223" s="6" t="n">
        <v>3</v>
      </c>
      <c r="P1223" s="6" t="n">
        <v>6000</v>
      </c>
      <c r="Q1223" s="6" t="n">
        <v>1</v>
      </c>
      <c r="R1223">
        <f>M1223+IF(N1223&gt;1,N(O1223)*(N1223-1),0)</f>
        <v/>
      </c>
      <c r="S1223">
        <f>IFERROR(L1223*MAX(N1223,1)/R1223*IF(ISBLANK(K1221),1,K1221),0)</f>
        <v/>
      </c>
      <c r="AB1223" s="7" t="inlineStr">
        <is>
          <t>^Warhead_Flak_Medium</t>
        </is>
      </c>
    </row>
    <row r="1224">
      <c r="B1224" s="7" t="inlineStr">
        <is>
          <t xml:space="preserve">  ↳ SkyMageCannon_AA</t>
        </is>
      </c>
      <c r="C1224" s="7" t="inlineStr">
        <is>
          <t>Armament@AA</t>
        </is>
      </c>
      <c r="L1224" s="6" t="n">
        <v>7000</v>
      </c>
      <c r="M1224" s="6" t="n">
        <v>26</v>
      </c>
      <c r="N1224" s="6" t="n">
        <v>6</v>
      </c>
      <c r="O1224" s="6" t="n">
        <v>4</v>
      </c>
      <c r="P1224" s="6" t="n">
        <v>7500</v>
      </c>
      <c r="Q1224" s="6" t="n">
        <v>1</v>
      </c>
      <c r="R1224">
        <f>M1224+IF(N1224&gt;1,N(O1224)*(N1224-1),0)</f>
        <v/>
      </c>
      <c r="S1224">
        <f>IFERROR(L1224*MAX(N1224,1)/R1224*IF(ISBLANK(K1221),1,K1221),0)</f>
        <v/>
      </c>
      <c r="AB1224" s="7" t="inlineStr">
        <is>
          <t>^Warhead_Flak_Medium</t>
        </is>
      </c>
    </row>
    <row r="1225">
      <c r="B1225" s="7" t="inlineStr">
        <is>
          <t xml:space="preserve">  ↳ SkyMageCannon_AA_elite</t>
        </is>
      </c>
      <c r="C1225" s="7" t="inlineStr">
        <is>
          <t>Armament@ELITEAA</t>
        </is>
      </c>
      <c r="L1225" s="6" t="n">
        <v>7000</v>
      </c>
      <c r="M1225" s="6" t="n">
        <v>26</v>
      </c>
      <c r="N1225" s="6" t="n">
        <v>8</v>
      </c>
      <c r="O1225" s="6" t="n">
        <v>3</v>
      </c>
      <c r="P1225" s="6" t="n">
        <v>8500</v>
      </c>
      <c r="Q1225" s="6" t="n">
        <v>1</v>
      </c>
      <c r="R1225">
        <f>M1225+IF(N1225&gt;1,N(O1225)*(N1225-1),0)</f>
        <v/>
      </c>
      <c r="S1225">
        <f>IFERROR(L1225*MAX(N1225,1)/R1225*IF(ISBLANK(K1221),1,K1221),0)</f>
        <v/>
      </c>
      <c r="AB1225" s="7" t="inlineStr">
        <is>
          <t>^Warhead_Flak_Medium</t>
        </is>
      </c>
    </row>
    <row r="1226">
      <c r="A1226" t="inlineStr">
        <is>
          <t>starcraft</t>
        </is>
      </c>
      <c r="B1226" t="inlineStr">
        <is>
          <t>zerg_shriek</t>
        </is>
      </c>
      <c r="C1226" t="inlineStr">
        <is>
          <t>Shriek</t>
        </is>
      </c>
      <c r="D1226" s="6" t="inlineStr">
        <is>
          <t>FlyingInfantry</t>
        </is>
      </c>
      <c r="E1226" s="6" t="n">
        <v>14000</v>
      </c>
      <c r="F1226" s="6" t="n">
        <v>195</v>
      </c>
      <c r="G1226" t="inlineStr">
        <is>
          <t>Scout</t>
        </is>
      </c>
      <c r="H1226" s="6" t="n">
        <v>1</v>
      </c>
      <c r="I1226" s="6" t="n">
        <v>1</v>
      </c>
      <c r="J1226" s="6" t="n">
        <v>2</v>
      </c>
      <c r="K1226" s="6" t="n"/>
      <c r="P1226">
        <f>MAX(P1227)</f>
        <v/>
      </c>
      <c r="S1226">
        <f>S1227</f>
        <v/>
      </c>
      <c r="T1226">
        <f>(E1226/100000+F1226/100+(P1226/1000)*J1226/5+S1226/200)*200*I1226*H1226</f>
        <v/>
      </c>
      <c r="U1226">
        <f>((E1226*F1226/25000)+((P1226/1000)*J1226*S1226/2.5))*I1226*H1226</f>
        <v/>
      </c>
      <c r="V1226">
        <f>(E1226*F1226*(P1226/1000)*J1226*S1226*I1226*H1226)/12500000</f>
        <v/>
      </c>
      <c r="W1226">
        <f>(T1226+U1226+V1226)/3</f>
        <v/>
      </c>
      <c r="X1226" s="6" t="n">
        <v>500</v>
      </c>
      <c r="Y1226">
        <f>IFERROR(W1226-X1226,"")</f>
        <v/>
      </c>
      <c r="Z1226">
        <f>IFERROR(ABS(Y1226)/MAX(X1226,1),"")</f>
        <v/>
      </c>
      <c r="AA1226">
        <f>IFERROR((X1226-(((E1226/100000+F1226/100+S1226/200)*200*I1226*H1226)+((E1226*F1226/25000)*I1226*H1226))/3)/(((J1226/5)*200*I1226*H1226)+((J1226*S1226/2.5)*I1226*H1226)+((E1226*F1226*J1226*S1226*I1226*H1226)/12500000))/3*1000,"")</f>
        <v/>
      </c>
    </row>
    <row r="1227">
      <c r="B1227" s="7" t="inlineStr">
        <is>
          <t xml:space="preserve">  ↳ ShriekStinger</t>
        </is>
      </c>
      <c r="C1227" s="7" t="inlineStr">
        <is>
          <t>Armament</t>
        </is>
      </c>
      <c r="L1227" s="6" t="n">
        <v>4000</v>
      </c>
      <c r="M1227" s="6" t="n">
        <v>11</v>
      </c>
      <c r="N1227" s="6" t="n">
        <v>1</v>
      </c>
      <c r="O1227" s="6" t="n"/>
      <c r="P1227" s="6" t="n">
        <v>1150</v>
      </c>
      <c r="Q1227" s="6" t="n">
        <v>1</v>
      </c>
      <c r="R1227">
        <f>M1227+IF(N1227&gt;1,N(O1227)*(N1227-1),0)</f>
        <v/>
      </c>
      <c r="S1227">
        <f>IFERROR(L1227*MAX(N1227,1)/R1227*IF(ISBLANK(K1226),1,K1226),0)</f>
        <v/>
      </c>
      <c r="AB1227" s="7" t="inlineStr">
        <is>
          <t>^Warhead_Melee_Medium</t>
        </is>
      </c>
    </row>
    <row r="1228">
      <c r="A1228" t="inlineStr">
        <is>
          <t>starcraft</t>
        </is>
      </c>
      <c r="B1228" t="inlineStr">
        <is>
          <t>zerg_swarmling</t>
        </is>
      </c>
      <c r="C1228" t="inlineStr">
        <is>
          <t>Swarmling</t>
        </is>
      </c>
      <c r="D1228" s="6" t="inlineStr">
        <is>
          <t>FlyingInfantry</t>
        </is>
      </c>
      <c r="E1228" s="6" t="n">
        <v>40000</v>
      </c>
      <c r="F1228" s="6" t="n">
        <v>80</v>
      </c>
      <c r="G1228" t="inlineStr">
        <is>
          <t>Scout</t>
        </is>
      </c>
      <c r="H1228" s="6" t="n">
        <v>1</v>
      </c>
      <c r="I1228" s="6" t="n">
        <v>1</v>
      </c>
      <c r="J1228" s="6" t="n">
        <v>1.25</v>
      </c>
      <c r="K1228" s="6" t="n"/>
      <c r="P1228">
        <f>MAX(P1229)</f>
        <v/>
      </c>
      <c r="S1228">
        <f>S1229</f>
        <v/>
      </c>
      <c r="T1228">
        <f>(E1228/100000+F1228/100+(P1228/1000)*J1228/5+S1228/200)*200*I1228*H1228</f>
        <v/>
      </c>
      <c r="U1228">
        <f>((E1228*F1228/25000)+((P1228/1000)*J1228*S1228/2.5))*I1228*H1228</f>
        <v/>
      </c>
      <c r="V1228">
        <f>(E1228*F1228*(P1228/1000)*J1228*S1228*I1228*H1228)/12500000</f>
        <v/>
      </c>
      <c r="W1228">
        <f>(T1228+U1228+V1228)/3</f>
        <v/>
      </c>
      <c r="X1228" s="6" t="n">
        <v>800</v>
      </c>
      <c r="Y1228">
        <f>IFERROR(W1228-X1228,"")</f>
        <v/>
      </c>
      <c r="Z1228">
        <f>IFERROR(ABS(Y1228)/MAX(X1228,1),"")</f>
        <v/>
      </c>
      <c r="AA1228">
        <f>IFERROR((X1228-(((E1228/100000+F1228/100+S1228/200)*200*I1228*H1228)+((E1228*F1228/25000)*I1228*H1228))/3)/(((J1228/5)*200*I1228*H1228)+((J1228*S1228/2.5)*I1228*H1228)+((E1228*F1228*J1228*S1228*I1228*H1228)/12500000))/3*1000,"")</f>
        <v/>
      </c>
    </row>
    <row r="1229">
      <c r="B1229" s="7" t="inlineStr">
        <is>
          <t xml:space="preserve">  ↳ SwarmlingShoot</t>
        </is>
      </c>
      <c r="C1229" s="7" t="inlineStr">
        <is>
          <t>Armament</t>
        </is>
      </c>
      <c r="L1229" s="6" t="n">
        <v>16000</v>
      </c>
      <c r="M1229" s="6" t="n">
        <v>80</v>
      </c>
      <c r="N1229" s="6" t="n">
        <v>1</v>
      </c>
      <c r="O1229" s="6" t="n"/>
      <c r="P1229" s="6" t="n">
        <v>8561</v>
      </c>
      <c r="Q1229" s="6" t="n">
        <v>1</v>
      </c>
      <c r="R1229">
        <f>M1229+IF(N1229&gt;1,N(O1229)*(N1229-1),0)</f>
        <v/>
      </c>
      <c r="S1229">
        <f>IFERROR(L1229*MAX(N1229,1)/R1229*IF(ISBLANK(K1228),1,K1228),0)</f>
        <v/>
      </c>
      <c r="AB1229" s="7" t="inlineStr">
        <is>
          <t>^MediumChemicalWeapon, ^MediumFlameWeapon, ^Grenade, ^ShrapnelWeapon, ^HeavyBomb, ^MediumMissile, ^Chaingun, ^FlakWeapon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3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MainBattleTank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td_gdi_battletank</t>
        </is>
      </c>
      <c r="C3" t="inlineStr">
        <is>
          <t>GDI Battle Tank</t>
        </is>
      </c>
      <c r="D3" s="6" t="inlineStr">
        <is>
          <t>MainBattleTank</t>
        </is>
      </c>
      <c r="E3" s="6" t="n">
        <v>125000</v>
      </c>
      <c r="F3" s="6" t="n">
        <v>80</v>
      </c>
      <c r="G3" t="inlineStr">
        <is>
          <t>Heavy</t>
        </is>
      </c>
      <c r="H3" s="6" t="n">
        <v>1</v>
      </c>
      <c r="I3" s="6" t="n">
        <v>1</v>
      </c>
      <c r="J3" s="6" t="n">
        <v>1</v>
      </c>
      <c r="K3" s="6" t="n">
        <v>0.0105</v>
      </c>
      <c r="P3">
        <f>MAX(P4,P5,P6,P7,P8)</f>
        <v/>
      </c>
      <c r="S3">
        <f>S4+S5+S6+S7+S8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(((E3/240000)+(F3/95)+(S3/600)+((P3/5500)*J3))*800/4+(((E3/240000)*(F3/95))+(((P3/5500)*J3)*(S3/600)))*800/2+((E3/240000)*(F3/95)*((P3/5500)*J3)*(S3/600))*800)*(H3/1.0)/3</f>
        <v/>
      </c>
      <c r="X3" s="6" t="n">
        <v>900</v>
      </c>
      <c r="Y3">
        <f>IFERROR(W3-X3,"")</f>
        <v/>
      </c>
      <c r="Z3">
        <f>IFERROR(ABS(Y3)/MAX(X3,1),"")</f>
        <v/>
      </c>
      <c r="AA3">
        <f>IFERROR(ROUND(((3*X3-(((E3/240000)+(F3/95)+(S3/600))*800/4+((E3/240000)*(F3/95))*800/2)*(H3/1.0))/(800/4+((S3/600))*800/2+((E3/240000)*(F3/95)*(S3/600))*800)*(H3/1.0)*5500)/J3,-1),"")</f>
        <v/>
      </c>
    </row>
    <row r="4">
      <c r="B4" s="7" t="inlineStr">
        <is>
          <t xml:space="preserve">  ↳ 120mm</t>
        </is>
      </c>
      <c r="C4" s="7" t="inlineStr">
        <is>
          <t>Armament</t>
        </is>
      </c>
      <c r="L4" s="6" t="n">
        <v>8000</v>
      </c>
      <c r="M4" s="6" t="n">
        <v>72</v>
      </c>
      <c r="N4" s="6" t="n">
        <v>1</v>
      </c>
      <c r="O4" s="6" t="n"/>
      <c r="P4" s="6" t="n">
        <v>5438</v>
      </c>
      <c r="Q4" s="6" t="n">
        <v>1</v>
      </c>
      <c r="R4">
        <f>M4+IF(N4&gt;1,N(O4)*(N4-1),0)</f>
        <v/>
      </c>
      <c r="S4">
        <f>IFERROR(L4*MAX(N4,1)/R4*IF(ISBLANK(K3),1,K3),0)</f>
        <v/>
      </c>
      <c r="AB4" s="7" t="inlineStr">
        <is>
          <t>^Warhead_CannonHE_Medium</t>
        </is>
      </c>
    </row>
    <row r="5">
      <c r="B5" s="7" t="inlineStr">
        <is>
          <t xml:space="preserve">  ↳ 120mmHV</t>
        </is>
      </c>
      <c r="C5" s="7" t="inlineStr">
        <is>
          <t>Armament@HV</t>
        </is>
      </c>
      <c r="L5" s="6" t="n">
        <v>16000</v>
      </c>
      <c r="M5" s="6" t="n">
        <v>72</v>
      </c>
      <c r="N5" s="6" t="n">
        <v>1</v>
      </c>
      <c r="O5" s="6" t="n"/>
      <c r="P5" s="6" t="n">
        <v>5438</v>
      </c>
      <c r="Q5" s="6" t="n">
        <v>1</v>
      </c>
      <c r="R5">
        <f>M5+IF(N5&gt;1,N(O5)*(N5-1),0)</f>
        <v/>
      </c>
      <c r="S5">
        <f>IFERROR(L5*MAX(N5,1)/R5*IF(ISBLANK(K3),1,K3),0)</f>
        <v/>
      </c>
      <c r="AB5" s="7" t="inlineStr">
        <is>
          <t>^Warhead_CannonHE_Medium</t>
        </is>
      </c>
    </row>
    <row r="6">
      <c r="B6" s="7" t="inlineStr">
        <is>
          <t xml:space="preserve">  ↳ M1A1Missiles</t>
        </is>
      </c>
      <c r="C6" s="7" t="inlineStr">
        <is>
          <t>Armament@Missile</t>
        </is>
      </c>
      <c r="L6" s="6" t="n">
        <v>8000</v>
      </c>
      <c r="M6" s="6" t="n">
        <v>72</v>
      </c>
      <c r="N6" s="6" t="n">
        <v>1</v>
      </c>
      <c r="O6" s="6" t="n"/>
      <c r="P6" s="6" t="n">
        <v>5400</v>
      </c>
      <c r="Q6" s="6" t="n">
        <v>1</v>
      </c>
      <c r="R6">
        <f>M6+IF(N6&gt;1,N(O6)*(N6-1),0)</f>
        <v/>
      </c>
      <c r="S6">
        <f>IFERROR(L6*MAX(N6,1)/R6*IF(ISBLANK(K3),1,K3),0)</f>
        <v/>
      </c>
      <c r="AB6" s="7" t="inlineStr">
        <is>
          <t>^Warhead_MissileAP_Medium</t>
        </is>
      </c>
    </row>
    <row r="7">
      <c r="B7" s="7" t="inlineStr">
        <is>
          <t xml:space="preserve">  ↳ M1A1MissilesAMT</t>
        </is>
      </c>
      <c r="C7" s="7" t="inlineStr">
        <is>
          <t>Armament@AdvancedMissileTargeting</t>
        </is>
      </c>
      <c r="L7" s="6" t="n">
        <v>8000</v>
      </c>
      <c r="M7" s="6" t="n">
        <v>72</v>
      </c>
      <c r="N7" s="6" t="n">
        <v>1</v>
      </c>
      <c r="O7" s="6" t="n"/>
      <c r="P7" s="6" t="n">
        <v>5400</v>
      </c>
      <c r="Q7" s="6" t="n">
        <v>1</v>
      </c>
      <c r="R7">
        <f>M7+IF(N7&gt;1,N(O7)*(N7-1),0)</f>
        <v/>
      </c>
      <c r="S7">
        <f>IFERROR(L7*MAX(N7,1)/R7*IF(ISBLANK(K3),1,K3),0)</f>
        <v/>
      </c>
      <c r="AB7" s="7" t="inlineStr">
        <is>
          <t>^Warhead_MissileAP_Medium</t>
        </is>
      </c>
    </row>
    <row r="8">
      <c r="B8" s="7" t="inlineStr">
        <is>
          <t xml:space="preserve">  ↳ M1A1MachineGun</t>
        </is>
      </c>
      <c r="C8" s="7" t="inlineStr">
        <is>
          <t>Armament@MachineGun</t>
        </is>
      </c>
      <c r="L8" s="6" t="n">
        <v>2000</v>
      </c>
      <c r="M8" s="6" t="n">
        <v>68</v>
      </c>
      <c r="N8" s="6" t="n">
        <v>4</v>
      </c>
      <c r="O8" s="6" t="n"/>
      <c r="P8" s="6" t="n">
        <v>5400</v>
      </c>
      <c r="Q8" s="6" t="n">
        <v>1</v>
      </c>
      <c r="R8">
        <f>M8+IF(N8&gt;1,N(O8)*(N8-1),0)</f>
        <v/>
      </c>
      <c r="S8">
        <f>IFERROR(L8*MAX(N8,1)/R8*IF(ISBLANK(K3),1,K3),0)</f>
        <v/>
      </c>
      <c r="AB8" s="7" t="inlineStr">
        <is>
          <t>^Warhead_Bullet_Medium</t>
        </is>
      </c>
    </row>
    <row r="9">
      <c r="A9" t="inlineStr">
        <is>
          <t>tiberiandawn</t>
        </is>
      </c>
      <c r="B9" t="inlineStr">
        <is>
          <t>td_gdi_predatortank</t>
        </is>
      </c>
      <c r="C9" t="inlineStr">
        <is>
          <t>Predator Tank</t>
        </is>
      </c>
      <c r="D9" s="6" t="inlineStr">
        <is>
          <t>MainBattleTank</t>
        </is>
      </c>
      <c r="E9" s="6" t="n">
        <v>170000</v>
      </c>
      <c r="F9" s="6" t="n">
        <v>70</v>
      </c>
      <c r="G9" t="inlineStr">
        <is>
          <t>Heavy</t>
        </is>
      </c>
      <c r="H9" s="6" t="n">
        <v>1</v>
      </c>
      <c r="I9" s="6" t="n">
        <v>1</v>
      </c>
      <c r="J9" s="6" t="n">
        <v>1.25</v>
      </c>
      <c r="K9" s="6" t="n">
        <v>0.0105</v>
      </c>
      <c r="P9">
        <f>MAX(P10,P11,P12,P13,P14)</f>
        <v/>
      </c>
      <c r="S9">
        <f>S10+S11+S12+S13+S14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(((E9/240000)+(F9/95)+(S9/600)+((P9/5500)*J9))*800/4+(((E9/240000)*(F9/95))+(((P9/5500)*J9)*(S9/600)))*800/2+((E9/240000)*(F9/95)*((P9/5500)*J9)*(S9/600))*800)*(H9/1.0)/3</f>
        <v/>
      </c>
      <c r="X9" s="6" t="n">
        <v>1250</v>
      </c>
      <c r="Y9">
        <f>IFERROR(W9-X9,"")</f>
        <v/>
      </c>
      <c r="Z9">
        <f>IFERROR(ABS(Y9)/MAX(X9,1),"")</f>
        <v/>
      </c>
      <c r="AA9">
        <f>IFERROR(ROUND(((3*X9-(((E9/240000)+(F9/95)+(S9/600))*800/4+((E9/240000)*(F9/95))*800/2)*(H9/1.0))/(800/4+((S9/600))*800/2+((E9/240000)*(F9/95)*(S9/600))*800)*(H9/1.0)*5500)/J9,-1),"")</f>
        <v/>
      </c>
    </row>
    <row r="10">
      <c r="B10" s="7" t="inlineStr">
        <is>
          <t xml:space="preserve">  ↳ GDIPredatorTankCannon</t>
        </is>
      </c>
      <c r="C10" s="7" t="inlineStr">
        <is>
          <t>Armament@PRIMARY</t>
        </is>
      </c>
      <c r="L10" s="6" t="n">
        <v>8000</v>
      </c>
      <c r="M10" s="6" t="n">
        <v>70</v>
      </c>
      <c r="N10" s="6" t="n">
        <v>1</v>
      </c>
      <c r="O10" s="6" t="n"/>
      <c r="P10" s="6" t="n">
        <v>5880</v>
      </c>
      <c r="Q10" s="6" t="n">
        <v>1</v>
      </c>
      <c r="R10">
        <f>M10+IF(N10&gt;1,N(O10)*(N10-1),0)</f>
        <v/>
      </c>
      <c r="S10">
        <f>IFERROR(L10*MAX(N10,1)/R10*IF(ISBLANK(K9),1,K9),0)</f>
        <v/>
      </c>
      <c r="AB10" s="7" t="inlineStr">
        <is>
          <t>^Warhead_CannonHE_Medium</t>
        </is>
      </c>
    </row>
    <row r="11">
      <c r="B11" s="7" t="inlineStr">
        <is>
          <t xml:space="preserve">  ↳ GDIPredatorTankCannonHV</t>
        </is>
      </c>
      <c r="C11" s="7" t="inlineStr">
        <is>
          <t>Armament@Upgrade</t>
        </is>
      </c>
      <c r="L11" s="6" t="n">
        <v>16000</v>
      </c>
      <c r="M11" s="6" t="n">
        <v>70</v>
      </c>
      <c r="N11" s="6" t="n">
        <v>1</v>
      </c>
      <c r="O11" s="6" t="n"/>
      <c r="P11" s="6" t="n">
        <v>5880</v>
      </c>
      <c r="Q11" s="6" t="n">
        <v>1</v>
      </c>
      <c r="R11">
        <f>M11+IF(N11&gt;1,N(O11)*(N11-1),0)</f>
        <v/>
      </c>
      <c r="S11">
        <f>IFERROR(L11*MAX(N11,1)/R11*IF(ISBLANK(K9),1,K9),0)</f>
        <v/>
      </c>
      <c r="AB11" s="7" t="inlineStr">
        <is>
          <t>^Warhead_CannonHE_Medium</t>
        </is>
      </c>
    </row>
    <row r="12">
      <c r="B12" s="7" t="inlineStr">
        <is>
          <t xml:space="preserve">  ↳ GDIPredatorTankMissiles</t>
        </is>
      </c>
      <c r="C12" s="7" t="inlineStr">
        <is>
          <t>Armament@SECONDARY</t>
        </is>
      </c>
      <c r="L12" s="6" t="n">
        <v>8000</v>
      </c>
      <c r="M12" s="6" t="n">
        <v>70</v>
      </c>
      <c r="N12" s="6" t="n">
        <v>1</v>
      </c>
      <c r="O12" s="6" t="n"/>
      <c r="P12" s="6" t="n">
        <v>5880</v>
      </c>
      <c r="Q12" s="6" t="n">
        <v>1</v>
      </c>
      <c r="R12">
        <f>M12+IF(N12&gt;1,N(O12)*(N12-1),0)</f>
        <v/>
      </c>
      <c r="S12">
        <f>IFERROR(L12*MAX(N12,1)/R12*IF(ISBLANK(K9),1,K9),0)</f>
        <v/>
      </c>
      <c r="AB12" s="7" t="inlineStr">
        <is>
          <t>^Warhead_MissileAP_Medium</t>
        </is>
      </c>
    </row>
    <row r="13">
      <c r="B13" s="7" t="inlineStr">
        <is>
          <t xml:space="preserve">  ↳ GDIPredatorTankMissilesAMT</t>
        </is>
      </c>
      <c r="C13" s="7" t="inlineStr">
        <is>
          <t>Armament@AdvancedMissileTargeting</t>
        </is>
      </c>
      <c r="L13" s="6" t="n">
        <v>8000</v>
      </c>
      <c r="M13" s="6" t="n">
        <v>70</v>
      </c>
      <c r="N13" s="6" t="n">
        <v>1</v>
      </c>
      <c r="O13" s="6" t="n"/>
      <c r="P13" s="6" t="n">
        <v>5880</v>
      </c>
      <c r="Q13" s="6" t="n">
        <v>1</v>
      </c>
      <c r="R13">
        <f>M13+IF(N13&gt;1,N(O13)*(N13-1),0)</f>
        <v/>
      </c>
      <c r="S13">
        <f>IFERROR(L13*MAX(N13,1)/R13*IF(ISBLANK(K9),1,K9),0)</f>
        <v/>
      </c>
      <c r="AB13" s="7" t="inlineStr">
        <is>
          <t>^Warhead_MissileAP_Medium</t>
        </is>
      </c>
    </row>
    <row r="14">
      <c r="B14" s="7" t="inlineStr">
        <is>
          <t xml:space="preserve">  ↳ GDIPredatorMachineGun</t>
        </is>
      </c>
      <c r="C14" s="7" t="inlineStr">
        <is>
          <t>Armament@MachineGun</t>
        </is>
      </c>
      <c r="L14" s="6" t="n">
        <v>2000</v>
      </c>
      <c r="M14" s="6" t="n">
        <v>70</v>
      </c>
      <c r="N14" s="6" t="n">
        <v>4</v>
      </c>
      <c r="O14" s="6" t="n"/>
      <c r="P14" s="6" t="n">
        <v>5880</v>
      </c>
      <c r="Q14" s="6" t="n">
        <v>1</v>
      </c>
      <c r="R14">
        <f>M14+IF(N14&gt;1,N(O14)*(N14-1),0)</f>
        <v/>
      </c>
      <c r="S14">
        <f>IFERROR(L14*MAX(N14,1)/R14*IF(ISBLANK(K9),1,K9),0)</f>
        <v/>
      </c>
      <c r="AB14" s="7" t="inlineStr">
        <is>
          <t>^Warhead_Bullet_Medium</t>
        </is>
      </c>
    </row>
    <row r="15">
      <c r="B15" s="7" t="inlineStr">
        <is>
          <t xml:space="preserve">  ↳ GDIPredatorBlueLaser</t>
        </is>
      </c>
      <c r="C15" s="7" t="inlineStr">
        <is>
          <t>Armament@Lights</t>
        </is>
      </c>
      <c r="L15" s="6" t="n"/>
      <c r="M15" s="6" t="n">
        <v>11</v>
      </c>
      <c r="N15" s="6" t="n">
        <v>1</v>
      </c>
      <c r="O15" s="6" t="n"/>
      <c r="P15" s="6" t="n">
        <v>5880</v>
      </c>
      <c r="Q15" s="6" t="n">
        <v>1</v>
      </c>
      <c r="R15">
        <f>M15+IF(N15&gt;1,N(O15)*(N15-1),0)</f>
        <v/>
      </c>
      <c r="S15">
        <f>IFERROR(L15*MAX(N15,1)/R15*IF(ISBLANK(K9),1,K9),0)</f>
        <v/>
      </c>
      <c r="AB15" s="7" t="inlineStr"/>
    </row>
    <row r="16">
      <c r="A16" t="inlineStr">
        <is>
          <t>shared</t>
        </is>
      </c>
      <c r="B16" t="inlineStr">
        <is>
          <t>ra1_allies_alliedcybertank</t>
        </is>
      </c>
      <c r="C16" t="inlineStr">
        <is>
          <t>Allied Cyber Tank</t>
        </is>
      </c>
      <c r="D16" s="6" t="inlineStr">
        <is>
          <t>MainBattleTank</t>
        </is>
      </c>
      <c r="E16" s="6" t="n">
        <v>160000</v>
      </c>
      <c r="F16" s="6" t="n">
        <v>75</v>
      </c>
      <c r="G16" t="inlineStr">
        <is>
          <t>Heavy</t>
        </is>
      </c>
      <c r="H16" s="6" t="n">
        <v>1</v>
      </c>
      <c r="I16" s="6" t="n">
        <v>1</v>
      </c>
      <c r="J16" s="6" t="n">
        <v>1</v>
      </c>
      <c r="K16" s="6" t="n"/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(((E16/240000)+(F16/95)+(S16/600)+((P16/5500)*J16))*800/4+(((E16/240000)*(F16/95))+(((P16/5500)*J16)*(S16/600)))*800/2+((E16/240000)*(F16/95)*((P16/5500)*J16)*(S16/600))*800)*(H16/1.0)/3</f>
        <v/>
      </c>
      <c r="X16" s="6" t="n">
        <v>1300</v>
      </c>
      <c r="Y16">
        <f>IFERROR(W16-X16,"")</f>
        <v/>
      </c>
      <c r="Z16">
        <f>IFERROR(ABS(Y16)/MAX(X16,1),"")</f>
        <v/>
      </c>
      <c r="AA16">
        <f>IFERROR(ROUND(((3*X16-(((E16/240000)+(F16/95)+(S16/600))*800/4+((E16/240000)*(F16/95))*800/2)*(H16/1.0))/(800/4+((S16/600))*800/2+((E16/240000)*(F16/95)*(S16/600))*800)*(H16/1.0)*5500)/J16,-1),"")</f>
        <v/>
      </c>
    </row>
    <row r="17">
      <c r="B17" s="7" t="inlineStr">
        <is>
          <t xml:space="preserve">  ↳ TigerCannon</t>
        </is>
      </c>
      <c r="C17" s="7" t="inlineStr">
        <is>
          <t>Armament</t>
        </is>
      </c>
      <c r="L17" s="6" t="n">
        <v>16000</v>
      </c>
      <c r="M17" s="6" t="n">
        <v>60</v>
      </c>
      <c r="N17" s="6" t="n">
        <v>1</v>
      </c>
      <c r="O17" s="6" t="n"/>
      <c r="P17" s="6" t="n">
        <v>5915</v>
      </c>
      <c r="Q17" s="6" t="n">
        <v>1.125</v>
      </c>
      <c r="R17">
        <f>M17+IF(N17&gt;1,N(O17)*(N17-1),0)</f>
        <v/>
      </c>
      <c r="S17">
        <f>IFERROR(L17*MAX(N17,1)/R17*IF(ISBLANK(K16),1,K16),0)</f>
        <v/>
      </c>
      <c r="AB17" s="7" t="inlineStr">
        <is>
          <t>^Warhead_CannonHE_Heavy, ^Warhead_CannonHE_Medium</t>
        </is>
      </c>
    </row>
    <row r="18">
      <c r="A18" t="inlineStr">
        <is>
          <t>redalert</t>
        </is>
      </c>
      <c r="B18" t="inlineStr">
        <is>
          <t>japan_chihaheavytank</t>
        </is>
      </c>
      <c r="C18" t="inlineStr">
        <is>
          <t>Chi-Ha Heavy Tank</t>
        </is>
      </c>
      <c r="D18" s="6" t="inlineStr">
        <is>
          <t>MainBattleTank</t>
        </is>
      </c>
      <c r="E18" s="6" t="n">
        <v>130000</v>
      </c>
      <c r="F18" s="6" t="n">
        <v>85</v>
      </c>
      <c r="G18" t="inlineStr">
        <is>
          <t>Heavy</t>
        </is>
      </c>
      <c r="H18" s="6" t="n">
        <v>0.8683999999999999</v>
      </c>
      <c r="I18" s="6" t="n">
        <v>1</v>
      </c>
      <c r="J18" s="6" t="n">
        <v>1</v>
      </c>
      <c r="K18" s="6" t="n"/>
      <c r="P18">
        <f>MAX(P19,P20)</f>
        <v/>
      </c>
      <c r="S18">
        <f>S19+S20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(((E18/240000)+(F18/95)+(S18/600)+((P18/5500)*J18))*800/4+(((E18/240000)*(F18/95))+(((P18/5500)*J18)*(S18/600)))*800/2+((E18/240000)*(F18/95)*((P18/5500)*J18)*(S18/600))*800)*(H18/1.0)/3</f>
        <v/>
      </c>
      <c r="X18" s="6" t="n">
        <v>1200</v>
      </c>
      <c r="Y18">
        <f>IFERROR(W18-X18,"")</f>
        <v/>
      </c>
      <c r="Z18">
        <f>IFERROR(ABS(Y18)/MAX(X18,1),"")</f>
        <v/>
      </c>
      <c r="AA18">
        <f>IFERROR(ROUND(((3*X18-(((E18/240000)+(F18/95)+(S18/600))*800/4+((E18/240000)*(F18/95))*800/2)*(H18/1.0))/(800/4+((S18/600))*800/2+((E18/240000)*(F18/95)*(S18/600))*800)*(H18/1.0)*5500)/J18,-1),"")</f>
        <v/>
      </c>
    </row>
    <row r="19">
      <c r="B19" s="7" t="inlineStr">
        <is>
          <t xml:space="preserve">  ↳ Type97Cannon</t>
        </is>
      </c>
      <c r="C19" s="7" t="inlineStr">
        <is>
          <t>Armament</t>
        </is>
      </c>
      <c r="L19" s="6" t="n">
        <v>12000</v>
      </c>
      <c r="M19" s="6" t="n">
        <v>56</v>
      </c>
      <c r="N19" s="6" t="n">
        <v>1</v>
      </c>
      <c r="O19" s="6" t="n"/>
      <c r="P19" s="6" t="n">
        <v>5692</v>
      </c>
      <c r="Q19" s="6" t="n">
        <v>1.125</v>
      </c>
      <c r="R19">
        <f>M19+IF(N19&gt;1,N(O19)*(N19-1),0)</f>
        <v/>
      </c>
      <c r="S19">
        <f>IFERROR(L19*MAX(N19,1)/R19*IF(ISBLANK(K18),1,K18),0)</f>
        <v/>
      </c>
      <c r="AB19" s="7" t="inlineStr">
        <is>
          <t>^Warhead_CannonHE_Heavy, ^Warhead_CannonHE_Medium</t>
        </is>
      </c>
    </row>
    <row r="20">
      <c r="B20" s="7" t="inlineStr">
        <is>
          <t xml:space="preserve">  ↳ Type97PlasmaCannon</t>
        </is>
      </c>
      <c r="C20" s="7" t="inlineStr">
        <is>
          <t>Armament@Upgrade</t>
        </is>
      </c>
      <c r="L20" s="6" t="n">
        <v>12000</v>
      </c>
      <c r="M20" s="6" t="n">
        <v>56</v>
      </c>
      <c r="N20" s="6" t="n">
        <v>1</v>
      </c>
      <c r="O20" s="6" t="n"/>
      <c r="P20" s="6" t="n">
        <v>5692</v>
      </c>
      <c r="Q20" s="6" t="n">
        <v>1</v>
      </c>
      <c r="R20">
        <f>M20+IF(N20&gt;1,N(O20)*(N20-1),0)</f>
        <v/>
      </c>
      <c r="S20">
        <f>IFERROR(L20*MAX(N20,1)/R20*IF(ISBLANK(K18),1,K18),0)</f>
        <v/>
      </c>
      <c r="AB20" s="7" t="inlineStr">
        <is>
          <t>^Warhead_Tesla_Heavy, ^Warhead_Railgun_Heavy, ^Warhead_CannonHE_Heavy</t>
        </is>
      </c>
    </row>
    <row r="21">
      <c r="A21" t="inlineStr">
        <is>
          <t>redalert</t>
        </is>
      </c>
      <c r="B21" t="inlineStr">
        <is>
          <t>japan_igomediumtank</t>
        </is>
      </c>
      <c r="C21" t="inlineStr">
        <is>
          <t>I-Go Medium Tank</t>
        </is>
      </c>
      <c r="D21" s="6" t="inlineStr">
        <is>
          <t>MainBattleTank</t>
        </is>
      </c>
      <c r="E21" s="6" t="n">
        <v>110000</v>
      </c>
      <c r="F21" s="6" t="n">
        <v>90</v>
      </c>
      <c r="G21" t="inlineStr">
        <is>
          <t>Heavy</t>
        </is>
      </c>
      <c r="H21" s="6" t="n">
        <v>1</v>
      </c>
      <c r="I21" s="6" t="n">
        <v>1</v>
      </c>
      <c r="J21" s="6" t="n">
        <v>1</v>
      </c>
      <c r="K21" s="6" t="n"/>
      <c r="P21">
        <f>MAX(P22,P23)</f>
        <v/>
      </c>
      <c r="S21">
        <f>S22+S23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(((E21/240000)+(F21/95)+(S21/600)+((P21/5500)*J21))*800/4+(((E21/240000)*(F21/95))+(((P21/5500)*J21)*(S21/600)))*800/2+((E21/240000)*(F21/95)*((P21/5500)*J21)*(S21/600))*800)*(H21/1.0)/3</f>
        <v/>
      </c>
      <c r="X21" s="6" t="n">
        <v>800</v>
      </c>
      <c r="Y21">
        <f>IFERROR(W21-X21,"")</f>
        <v/>
      </c>
      <c r="Z21">
        <f>IFERROR(ABS(Y21)/MAX(X21,1),"")</f>
        <v/>
      </c>
      <c r="AA21">
        <f>IFERROR(ROUND(((3*X21-(((E21/240000)+(F21/95)+(S21/600))*800/4+((E21/240000)*(F21/95))*800/2)*(H21/1.0))/(800/4+((S21/600))*800/2+((E21/240000)*(F21/95)*(S21/600))*800)*(H21/1.0)*5500)/J21,-1),"")</f>
        <v/>
      </c>
    </row>
    <row r="22">
      <c r="B22" s="7" t="inlineStr">
        <is>
          <t xml:space="preserve">  ↳ Type89Cannon</t>
        </is>
      </c>
      <c r="C22" s="7" t="inlineStr">
        <is>
          <t>Armament</t>
        </is>
      </c>
      <c r="L22" s="6" t="n">
        <v>10000</v>
      </c>
      <c r="M22" s="6" t="n">
        <v>52</v>
      </c>
      <c r="N22" s="6" t="n">
        <v>1</v>
      </c>
      <c r="O22" s="6" t="n"/>
      <c r="P22" s="6" t="n">
        <v>5243</v>
      </c>
      <c r="Q22" s="6" t="n">
        <v>1</v>
      </c>
      <c r="R22">
        <f>M22+IF(N22&gt;1,N(O22)*(N22-1),0)</f>
        <v/>
      </c>
      <c r="S22">
        <f>IFERROR(L22*MAX(N22,1)/R22*IF(ISBLANK(K21),1,K21),0)</f>
        <v/>
      </c>
      <c r="AB22" s="7" t="inlineStr">
        <is>
          <t>^Warhead_CannonHE_Medium</t>
        </is>
      </c>
    </row>
    <row r="23">
      <c r="B23" s="7" t="inlineStr">
        <is>
          <t xml:space="preserve">  ↳ Type89PlasmaCannon</t>
        </is>
      </c>
      <c r="C23" s="7" t="inlineStr">
        <is>
          <t>Armament@Upgrade</t>
        </is>
      </c>
      <c r="L23" s="6" t="n">
        <v>13000</v>
      </c>
      <c r="M23" s="6" t="n">
        <v>52</v>
      </c>
      <c r="N23" s="6" t="n">
        <v>1</v>
      </c>
      <c r="O23" s="6" t="n"/>
      <c r="P23" s="6" t="n">
        <v>5243</v>
      </c>
      <c r="Q23" s="6" t="n">
        <v>1</v>
      </c>
      <c r="R23">
        <f>M23+IF(N23&gt;1,N(O23)*(N23-1),0)</f>
        <v/>
      </c>
      <c r="S23">
        <f>IFERROR(L23*MAX(N23,1)/R23*IF(ISBLANK(K21),1,K21),0)</f>
        <v/>
      </c>
      <c r="AB23" s="7" t="inlineStr">
        <is>
          <t>^TeslaWeapon, ^TankDestroyerCannon, ^HeavyCannon</t>
        </is>
      </c>
    </row>
    <row r="24">
      <c r="A24" t="inlineStr">
        <is>
          <t>redalert</t>
        </is>
      </c>
      <c r="B24" t="inlineStr">
        <is>
          <t>ra1_soviets_hammertank</t>
        </is>
      </c>
      <c r="C24" t="inlineStr">
        <is>
          <t>Hammer Tank</t>
        </is>
      </c>
      <c r="D24" s="6" t="inlineStr">
        <is>
          <t>MainBattleTank</t>
        </is>
      </c>
      <c r="E24" s="6" t="n">
        <v>210000</v>
      </c>
      <c r="F24" s="6" t="n">
        <v>60</v>
      </c>
      <c r="G24" t="inlineStr">
        <is>
          <t>Heavy</t>
        </is>
      </c>
      <c r="H24" s="6" t="n">
        <v>1</v>
      </c>
      <c r="I24" s="6" t="n">
        <v>1</v>
      </c>
      <c r="J24" s="6" t="n">
        <v>1</v>
      </c>
      <c r="K24" s="6" t="n"/>
      <c r="P24">
        <f>MAX(P25,P26,P27)</f>
        <v/>
      </c>
      <c r="S24">
        <f>S25+S26+S27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(((E24/240000)+(F24/95)+(S24/600)+((P24/5500)*J24))*800/4+(((E24/240000)*(F24/95))+(((P24/5500)*J24)*(S24/600)))*800/2+((E24/240000)*(F24/95)*((P24/5500)*J24)*(S24/600))*800)*(H24/1.0)/3</f>
        <v/>
      </c>
      <c r="X24" s="6" t="n">
        <v>1500</v>
      </c>
      <c r="Y24">
        <f>IFERROR(W24-X24,"")</f>
        <v/>
      </c>
      <c r="Z24">
        <f>IFERROR(ABS(Y24)/MAX(X24,1),"")</f>
        <v/>
      </c>
      <c r="AA24">
        <f>IFERROR(ROUND(((3*X24-(((E24/240000)+(F24/95)+(S24/600))*800/4+((E24/240000)*(F24/95))*800/2)*(H24/1.0))/(800/4+((S24/600))*800/2+((E24/240000)*(F24/95)*(S24/600))*800)*(H24/1.0)*5500)/J24,-1),"")</f>
        <v/>
      </c>
    </row>
    <row r="25">
      <c r="B25" s="7" t="inlineStr">
        <is>
          <t xml:space="preserve">  ↳ HammerTankCannon</t>
        </is>
      </c>
      <c r="C25" s="7" t="inlineStr">
        <is>
          <t>Armament</t>
        </is>
      </c>
      <c r="L25" s="6" t="n">
        <v>12000</v>
      </c>
      <c r="M25" s="6" t="n">
        <v>85</v>
      </c>
      <c r="N25" s="6" t="n">
        <v>2</v>
      </c>
      <c r="O25" s="6" t="n">
        <v>5</v>
      </c>
      <c r="P25" s="6" t="n">
        <v>6825</v>
      </c>
      <c r="Q25" s="6" t="n">
        <v>1.125</v>
      </c>
      <c r="R25">
        <f>M25+IF(N25&gt;1,N(O25)*(N25-1),0)</f>
        <v/>
      </c>
      <c r="S25">
        <f>IFERROR(L25*MAX(N25,1)/R25*IF(ISBLANK(K24),1,K24),0)</f>
        <v/>
      </c>
      <c r="AB25" s="7" t="inlineStr">
        <is>
          <t>^Warhead_CannonHE_Heavy, ^Warhead_CannonHE_Medium</t>
        </is>
      </c>
    </row>
    <row r="26">
      <c r="B26" s="7" t="inlineStr">
        <is>
          <t xml:space="preserve">  ↳ HammerTankCannonThermobaric</t>
        </is>
      </c>
      <c r="C26" s="7" t="inlineStr">
        <is>
          <t>Armament@Upgrade</t>
        </is>
      </c>
      <c r="L26" s="6" t="n">
        <v>16000</v>
      </c>
      <c r="M26" s="6" t="n">
        <v>85</v>
      </c>
      <c r="N26" s="6" t="n">
        <v>2</v>
      </c>
      <c r="O26" s="6" t="n">
        <v>5</v>
      </c>
      <c r="P26" s="6" t="n">
        <v>6825</v>
      </c>
      <c r="Q26" s="6" t="n">
        <v>1</v>
      </c>
      <c r="R26">
        <f>M26+IF(N26&gt;1,N(O26)*(N26-1),0)</f>
        <v/>
      </c>
      <c r="S26">
        <f>IFERROR(L26*MAX(N26,1)/R26*IF(ISBLANK(K24),1,K24),0)</f>
        <v/>
      </c>
      <c r="AB26" s="7" t="inlineStr">
        <is>
          <t>^Warhead_Demolition_Heavy, ^Warhead_Flame_Medium, ^Warhead_CannonHE_Heavy, ^Warhead_CannonHE_Medium</t>
        </is>
      </c>
    </row>
    <row r="27">
      <c r="B27" s="7" t="inlineStr">
        <is>
          <t xml:space="preserve">  ↳ ShtoraLaser</t>
        </is>
      </c>
      <c r="C27" s="7" t="inlineStr">
        <is>
          <t>Armament@shtora</t>
        </is>
      </c>
      <c r="L27" s="6" t="n">
        <v>7000</v>
      </c>
      <c r="M27" s="6" t="n">
        <v>100</v>
      </c>
      <c r="N27" s="6" t="n">
        <v>1</v>
      </c>
      <c r="O27" s="6" t="n"/>
      <c r="P27" s="6" t="n">
        <v>6825</v>
      </c>
      <c r="Q27" s="6" t="n">
        <v>1</v>
      </c>
      <c r="R27">
        <f>M27+IF(N27&gt;1,N(O27)*(N27-1),0)</f>
        <v/>
      </c>
      <c r="S27">
        <f>IFERROR(L27*MAX(N27,1)/R27*IF(ISBLANK(K24),1,K24),0)</f>
        <v/>
      </c>
      <c r="AB27" s="7" t="inlineStr">
        <is>
          <t>^LightFlameWeapon, ^FlakWeapon, ^LaserWeapon</t>
        </is>
      </c>
    </row>
    <row r="28">
      <c r="A28" t="inlineStr">
        <is>
          <t>redalert</t>
        </is>
      </c>
      <c r="B28" t="inlineStr">
        <is>
          <t>ra1_soviets_heavytank</t>
        </is>
      </c>
      <c r="C28" t="inlineStr">
        <is>
          <t>Soviet Heavy Tank</t>
        </is>
      </c>
      <c r="D28" s="6" t="inlineStr">
        <is>
          <t>MainBattleTank</t>
        </is>
      </c>
      <c r="E28" s="6" t="n">
        <v>150000</v>
      </c>
      <c r="F28" s="6" t="n">
        <v>70</v>
      </c>
      <c r="G28" t="inlineStr">
        <is>
          <t>Heavy</t>
        </is>
      </c>
      <c r="H28" s="6" t="n">
        <v>1</v>
      </c>
      <c r="I28" s="6" t="n">
        <v>1</v>
      </c>
      <c r="J28" s="6" t="n">
        <v>1</v>
      </c>
      <c r="K28" s="6" t="n"/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(((E28/240000)+(F28/95)+(S28/600)+((P28/5500)*J28))*800/4+(((E28/240000)*(F28/95))+(((P28/5500)*J28)*(S28/600)))*800/2+((E28/240000)*(F28/95)*((P28/5500)*J28)*(S28/600))*800)*(H28/1.0)/3</f>
        <v/>
      </c>
      <c r="X28" s="6" t="n">
        <v>1000</v>
      </c>
      <c r="Y28">
        <f>IFERROR(W28-X28,"")</f>
        <v/>
      </c>
      <c r="Z28">
        <f>IFERROR(ABS(Y28)/MAX(X28,1),"")</f>
        <v/>
      </c>
      <c r="AA28">
        <f>IFERROR(ROUND(((3*X28-(((E28/240000)+(F28/95)+(S28/600))*800/4+((E28/240000)*(F28/95))*800/2)*(H28/1.0))/(800/4+((S28/600))*800/2+((E28/240000)*(F28/95)*(S28/600))*800)*(H28/1.0)*5500)/J28,-1),"")</f>
        <v/>
      </c>
    </row>
    <row r="29">
      <c r="B29" s="7" t="inlineStr">
        <is>
          <t xml:space="preserve">  ↳ 105mm</t>
        </is>
      </c>
      <c r="C29" s="7" t="inlineStr">
        <is>
          <t>Armament</t>
        </is>
      </c>
      <c r="L29" s="6" t="n">
        <v>10000</v>
      </c>
      <c r="M29" s="6" t="n">
        <v>76</v>
      </c>
      <c r="N29" s="6" t="n">
        <v>2</v>
      </c>
      <c r="O29" s="6" t="n">
        <v>5</v>
      </c>
      <c r="P29" s="6" t="n">
        <v>5469</v>
      </c>
      <c r="Q29" s="6" t="n">
        <v>1</v>
      </c>
      <c r="R29">
        <f>M29+IF(N29&gt;1,N(O29)*(N29-1),0)</f>
        <v/>
      </c>
      <c r="S29">
        <f>IFERROR(L29*MAX(N29,1)/R29*IF(ISBLANK(K28),1,K28),0)</f>
        <v/>
      </c>
      <c r="AB29" s="7" t="inlineStr">
        <is>
          <t>^Warhead_CannonHE_Medium</t>
        </is>
      </c>
    </row>
    <row r="30">
      <c r="B30" s="7" t="inlineStr">
        <is>
          <t xml:space="preserve">  ↳ 105mmThermobaric</t>
        </is>
      </c>
      <c r="C30" s="7" t="inlineStr">
        <is>
          <t>Armament@Upgrade</t>
        </is>
      </c>
      <c r="L30" s="6" t="n">
        <v>12000</v>
      </c>
      <c r="M30" s="6" t="n">
        <v>76</v>
      </c>
      <c r="N30" s="6" t="n">
        <v>2</v>
      </c>
      <c r="O30" s="6" t="n">
        <v>5</v>
      </c>
      <c r="P30" s="6" t="n">
        <v>5469</v>
      </c>
      <c r="Q30" s="6" t="n">
        <v>1</v>
      </c>
      <c r="R30">
        <f>M30+IF(N30&gt;1,N(O30)*(N30-1),0)</f>
        <v/>
      </c>
      <c r="S30">
        <f>IFERROR(L30*MAX(N30,1)/R30*IF(ISBLANK(K28),1,K28),0)</f>
        <v/>
      </c>
      <c r="AB30" s="7" t="inlineStr">
        <is>
          <t>^Warhead_Flame_Medium, ^Warhead_CannonHE_Medium</t>
        </is>
      </c>
    </row>
    <row r="31">
      <c r="A31" t="inlineStr">
        <is>
          <t>redalert</t>
        </is>
      </c>
      <c r="B31" t="inlineStr">
        <is>
          <t>ra1_soviets_kotinnucleartank</t>
        </is>
      </c>
      <c r="C31" t="inlineStr">
        <is>
          <t>Kotin Nuclear Tank</t>
        </is>
      </c>
      <c r="D31" s="6" t="inlineStr">
        <is>
          <t>MainBattleTank</t>
        </is>
      </c>
      <c r="E31" s="6" t="n">
        <v>240000</v>
      </c>
      <c r="F31" s="6" t="n">
        <v>65</v>
      </c>
      <c r="G31" t="inlineStr">
        <is>
          <t>Heavy</t>
        </is>
      </c>
      <c r="H31" s="6" t="n">
        <v>1</v>
      </c>
      <c r="I31" s="6" t="n">
        <v>1</v>
      </c>
      <c r="J31" s="6" t="n">
        <v>1.25</v>
      </c>
      <c r="K31" s="6" t="n"/>
      <c r="P31">
        <f>MAX(P32,P33)</f>
        <v/>
      </c>
      <c r="S31">
        <f>S32+S33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(((E31/240000)+(F31/95)+(S31/600)+((P31/5500)*J31))*800/4+(((E31/240000)*(F31/95))+(((P31/5500)*J31)*(S31/600)))*800/2+((E31/240000)*(F31/95)*((P31/5500)*J31)*(S31/600))*800)*(H31/1.0)/3</f>
        <v/>
      </c>
      <c r="X31" s="6" t="n">
        <v>1800</v>
      </c>
      <c r="Y31">
        <f>IFERROR(W31-X31,"")</f>
        <v/>
      </c>
      <c r="Z31">
        <f>IFERROR(ABS(Y31)/MAX(X31,1),"")</f>
        <v/>
      </c>
      <c r="AA31">
        <f>IFERROR(ROUND(((3*X31-(((E31/240000)+(F31/95)+(S31/600))*800/4+((E31/240000)*(F31/95))*800/2)*(H31/1.0))/(800/4+((S31/600))*800/2+((E31/240000)*(F31/95)*(S31/600))*800)*(H31/1.0)*5500)/J31,-1),"")</f>
        <v/>
      </c>
    </row>
    <row r="32">
      <c r="B32" s="7" t="inlineStr">
        <is>
          <t xml:space="preserve">  ↳ KotinCannon</t>
        </is>
      </c>
      <c r="C32" s="7" t="inlineStr">
        <is>
          <t>Armament</t>
        </is>
      </c>
      <c r="L32" s="6" t="n">
        <v>12000</v>
      </c>
      <c r="M32" s="6" t="n">
        <v>96</v>
      </c>
      <c r="N32" s="6" t="n">
        <v>2</v>
      </c>
      <c r="O32" s="6" t="n">
        <v>4</v>
      </c>
      <c r="P32" s="6" t="n">
        <v>6427</v>
      </c>
      <c r="Q32" s="6" t="n">
        <v>1.125</v>
      </c>
      <c r="R32">
        <f>M32+IF(N32&gt;1,N(O32)*(N32-1),0)</f>
        <v/>
      </c>
      <c r="S32">
        <f>IFERROR(L32*MAX(N32,1)/R32*IF(ISBLANK(K31),1,K31),0)</f>
        <v/>
      </c>
      <c r="AB32" s="7" t="inlineStr">
        <is>
          <t>^Warhead_CannonHE_Heavy, ^Warhead_CannonHE_Medium</t>
        </is>
      </c>
    </row>
    <row r="33">
      <c r="B33" s="7" t="inlineStr">
        <is>
          <t xml:space="preserve">  ↳ KotinCannonThermobaric</t>
        </is>
      </c>
      <c r="C33" s="7" t="inlineStr">
        <is>
          <t>Armament@Upgrade</t>
        </is>
      </c>
      <c r="L33" s="6" t="n">
        <v>16000</v>
      </c>
      <c r="M33" s="6" t="n">
        <v>96</v>
      </c>
      <c r="N33" s="6" t="n">
        <v>2</v>
      </c>
      <c r="O33" s="6" t="n">
        <v>4</v>
      </c>
      <c r="P33" s="6" t="n">
        <v>6427</v>
      </c>
      <c r="Q33" s="6" t="n">
        <v>1</v>
      </c>
      <c r="R33">
        <f>M33+IF(N33&gt;1,N(O33)*(N33-1),0)</f>
        <v/>
      </c>
      <c r="S33">
        <f>IFERROR(L33*MAX(N33,1)/R33*IF(ISBLANK(K31),1,K31),0)</f>
        <v/>
      </c>
      <c r="AB33" s="7" t="inlineStr">
        <is>
          <t>^Warhead_Demolition_Heavy, ^Warhead_Flame_Medium, ^Warhead_CannonHE_Heavy, ^Warhead_CannonHE_Medium</t>
        </is>
      </c>
    </row>
    <row r="34">
      <c r="A34" t="inlineStr">
        <is>
          <t>redalert</t>
        </is>
      </c>
      <c r="B34" t="inlineStr">
        <is>
          <t>ra1_allies_alliedmediumtank</t>
        </is>
      </c>
      <c r="C34" t="inlineStr">
        <is>
          <t>Allied Medium Tank</t>
        </is>
      </c>
      <c r="D34" s="6" t="inlineStr">
        <is>
          <t>MainBattleTank</t>
        </is>
      </c>
      <c r="E34" s="6" t="n">
        <v>90000</v>
      </c>
      <c r="F34" s="6" t="n">
        <v>100</v>
      </c>
      <c r="G34" t="inlineStr">
        <is>
          <t>Heavy</t>
        </is>
      </c>
      <c r="H34" s="6" t="n">
        <v>1</v>
      </c>
      <c r="I34" s="6" t="n">
        <v>1</v>
      </c>
      <c r="J34" s="6" t="n">
        <v>1</v>
      </c>
      <c r="K34" s="6" t="n"/>
      <c r="P34">
        <f>MAX(P35)</f>
        <v/>
      </c>
      <c r="S34">
        <f>S35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(((E34/240000)+(F34/95)+(S34/600)+((P34/5500)*J34))*800/4+(((E34/240000)*(F34/95))+(((P34/5500)*J34)*(S34/600)))*800/2+((E34/240000)*(F34/95)*((P34/5500)*J34)*(S34/600))*800)*(H34/1.0)/3</f>
        <v/>
      </c>
      <c r="X34" s="6" t="n">
        <v>700</v>
      </c>
      <c r="Y34">
        <f>IFERROR(W34-X34,"")</f>
        <v/>
      </c>
      <c r="Z34">
        <f>IFERROR(ABS(Y34)/MAX(X34,1),"")</f>
        <v/>
      </c>
      <c r="AA34">
        <f>IFERROR(ROUND(((3*X34-(((E34/240000)+(F34/95)+(S34/600))*800/4+((E34/240000)*(F34/95))*800/2)*(H34/1.0))/(800/4+((S34/600))*800/2+((E34/240000)*(F34/95)*(S34/600))*800)*(H34/1.0)*5500)/J34,-1),"")</f>
        <v/>
      </c>
    </row>
    <row r="35">
      <c r="B35" s="7" t="inlineStr">
        <is>
          <t xml:space="preserve">  ↳ 90mm</t>
        </is>
      </c>
      <c r="C35" s="7" t="inlineStr">
        <is>
          <t>Armament</t>
        </is>
      </c>
      <c r="L35" s="6" t="n">
        <v>8000</v>
      </c>
      <c r="M35" s="6" t="n">
        <v>47</v>
      </c>
      <c r="N35" s="6" t="n">
        <v>1</v>
      </c>
      <c r="O35" s="6" t="n"/>
      <c r="P35" s="6" t="n">
        <v>5159</v>
      </c>
      <c r="Q35" s="6" t="n">
        <v>1</v>
      </c>
      <c r="R35">
        <f>M35+IF(N35&gt;1,N(O35)*(N35-1),0)</f>
        <v/>
      </c>
      <c r="S35">
        <f>IFERROR(L35*MAX(N35,1)/R35*IF(ISBLANK(K34),1,K34),0)</f>
        <v/>
      </c>
      <c r="AB35" s="7" t="inlineStr">
        <is>
          <t>^Warhead_CannonHE_Medium</t>
        </is>
      </c>
    </row>
    <row r="36">
      <c r="A36" t="inlineStr">
        <is>
          <t>redalert</t>
        </is>
      </c>
      <c r="B36" t="inlineStr">
        <is>
          <t>ra1_allies_alliedtigerheavytank</t>
        </is>
      </c>
      <c r="C36" t="inlineStr">
        <is>
          <t>Allied Tiger Heavy Tank</t>
        </is>
      </c>
      <c r="D36" s="6" t="inlineStr">
        <is>
          <t>MainBattleTank</t>
        </is>
      </c>
      <c r="E36" s="6" t="n">
        <v>160000</v>
      </c>
      <c r="F36" s="6" t="n">
        <v>75</v>
      </c>
      <c r="G36" t="inlineStr">
        <is>
          <t>Heavy</t>
        </is>
      </c>
      <c r="H36" s="6" t="n">
        <v>1</v>
      </c>
      <c r="I36" s="6" t="n">
        <v>1</v>
      </c>
      <c r="J36" s="6" t="n">
        <v>1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(((E36/240000)+(F36/95)+(S36/600)+((P36/5500)*J36))*800/4+(((E36/240000)*(F36/95))+(((P36/5500)*J36)*(S36/600)))*800/2+((E36/240000)*(F36/95)*((P36/5500)*J36)*(S36/600))*800)*(H36/1.0)/3</f>
        <v/>
      </c>
      <c r="X36" s="6" t="n">
        <v>1300</v>
      </c>
      <c r="Y36">
        <f>IFERROR(W36-X36,"")</f>
        <v/>
      </c>
      <c r="Z36">
        <f>IFERROR(ABS(Y36)/MAX(X36,1),"")</f>
        <v/>
      </c>
      <c r="AA36">
        <f>IFERROR(ROUND(((3*X36-(((E36/240000)+(F36/95)+(S36/600))*800/4+((E36/240000)*(F36/95))*800/2)*(H36/1.0))/(800/4+((S36/600))*800/2+((E36/240000)*(F36/95)*(S36/600))*800)*(H36/1.0)*5500)/J36,-1),"")</f>
        <v/>
      </c>
    </row>
    <row r="37">
      <c r="B37" s="7" t="inlineStr">
        <is>
          <t xml:space="preserve">  ↳ TigerCannon</t>
        </is>
      </c>
      <c r="C37" s="7" t="inlineStr">
        <is>
          <t>Armament</t>
        </is>
      </c>
      <c r="L37" s="6" t="n">
        <v>16000</v>
      </c>
      <c r="M37" s="6" t="n">
        <v>60</v>
      </c>
      <c r="N37" s="6" t="n">
        <v>1</v>
      </c>
      <c r="O37" s="6" t="n"/>
      <c r="P37" s="6" t="n">
        <v>5915</v>
      </c>
      <c r="Q37" s="6" t="n">
        <v>1.125</v>
      </c>
      <c r="R37">
        <f>M37+IF(N37&gt;1,N(O37)*(N37-1),0)</f>
        <v/>
      </c>
      <c r="S37">
        <f>IFERROR(L37*MAX(N37,1)/R37*IF(ISBLANK(K36),1,K36),0)</f>
        <v/>
      </c>
      <c r="AB37" s="7" t="inlineStr">
        <is>
          <t>^Warhead_CannonHE_Heavy, ^Warhead_CannonHE_Medium</t>
        </is>
      </c>
    </row>
    <row r="38">
      <c r="A38" t="inlineStr">
        <is>
          <t>tiberiansun</t>
        </is>
      </c>
      <c r="B38" t="inlineStr">
        <is>
          <t>cabal_tarantula</t>
        </is>
      </c>
      <c r="C38" t="inlineStr">
        <is>
          <t>Tarantula</t>
        </is>
      </c>
      <c r="D38" s="6" t="inlineStr">
        <is>
          <t>MainBattleTank</t>
        </is>
      </c>
      <c r="E38" s="6" t="n">
        <v>110000</v>
      </c>
      <c r="F38" s="6" t="n">
        <v>70</v>
      </c>
      <c r="G38" t="inlineStr">
        <is>
          <t>Heavy</t>
        </is>
      </c>
      <c r="H38" s="6" t="n">
        <v>1</v>
      </c>
      <c r="I38" s="6" t="n">
        <v>1</v>
      </c>
      <c r="J38" s="6" t="n">
        <v>1</v>
      </c>
      <c r="K38" s="6" t="n"/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(((E38/240000)+(F38/95)+(S38/600)+((P38/5500)*J38))*800/4+(((E38/240000)*(F38/95))+(((P38/5500)*J38)*(S38/600)))*800/2+((E38/240000)*(F38/95)*((P38/5500)*J38)*(S38/600))*800)*(H38/1.0)/3</f>
        <v/>
      </c>
      <c r="X38" s="6" t="n">
        <v>1000</v>
      </c>
      <c r="Y38">
        <f>IFERROR(W38-X38,"")</f>
        <v/>
      </c>
      <c r="Z38">
        <f>IFERROR(ABS(Y38)/MAX(X38,1),"")</f>
        <v/>
      </c>
      <c r="AA38">
        <f>IFERROR(ROUND(((3*X38-(((E38/240000)+(F38/95)+(S38/600))*800/4+((E38/240000)*(F38/95))*800/2)*(H38/1.0))/(800/4+((S38/600))*800/2+((E38/240000)*(F38/95)*(S38/600))*800)*(H38/1.0)*5500)/J38,-1),"")</f>
        <v/>
      </c>
    </row>
    <row r="39">
      <c r="B39" s="7" t="inlineStr">
        <is>
          <t xml:space="preserve">  ↳ CabalTarantulaCannon</t>
        </is>
      </c>
      <c r="C39" s="7" t="inlineStr">
        <is>
          <t>Armament@PRIMARY</t>
        </is>
      </c>
      <c r="L39" s="6" t="n">
        <v>16000</v>
      </c>
      <c r="M39" s="6" t="n">
        <v>48</v>
      </c>
      <c r="N39" s="6" t="n">
        <v>1</v>
      </c>
      <c r="O39" s="6" t="n"/>
      <c r="P39" s="6" t="n">
        <v>5278</v>
      </c>
      <c r="Q39" s="6" t="n">
        <v>1</v>
      </c>
      <c r="R39">
        <f>M39+IF(N39&gt;1,N(O39)*(N39-1),0)</f>
        <v/>
      </c>
      <c r="S39">
        <f>IFERROR(L39*MAX(N39,1)/R39*IF(ISBLANK(K38),1,K38),0)</f>
        <v/>
      </c>
      <c r="AB39" s="7" t="inlineStr">
        <is>
          <t>^Warhead_CannonHE_Medium</t>
        </is>
      </c>
    </row>
    <row r="40">
      <c r="B40" s="7" t="inlineStr">
        <is>
          <t xml:space="preserve">  ↳ TS120mm_bluenuke</t>
        </is>
      </c>
      <c r="C40" s="7" t="inlineStr">
        <is>
          <t>Armament@Upgraded</t>
        </is>
      </c>
      <c r="L40" s="6" t="n">
        <v>24000</v>
      </c>
      <c r="M40" s="6" t="n">
        <v>44</v>
      </c>
      <c r="N40" s="6" t="n">
        <v>1</v>
      </c>
      <c r="O40" s="6" t="n"/>
      <c r="P40" s="6" t="n">
        <v>6201</v>
      </c>
      <c r="Q40" s="6" t="n">
        <v>1</v>
      </c>
      <c r="R40">
        <f>M40+IF(N40&gt;1,N(O40)*(N40-1),0)</f>
        <v/>
      </c>
      <c r="S40">
        <f>IFERROR(L40*MAX(N40,1)/R40*IF(ISBLANK(K38),1,K38),0)</f>
        <v/>
      </c>
      <c r="AB40" s="7" t="inlineStr">
        <is>
          <t>^Warhead_CannonHE_Medium</t>
        </is>
      </c>
    </row>
    <row r="41">
      <c r="A41" t="inlineStr">
        <is>
          <t>tiberiansun</t>
        </is>
      </c>
      <c r="B41" t="inlineStr">
        <is>
          <t>cabal_widow</t>
        </is>
      </c>
      <c r="C41" t="inlineStr">
        <is>
          <t>Widow</t>
        </is>
      </c>
      <c r="D41" s="6" t="inlineStr">
        <is>
          <t>MainBattleTank</t>
        </is>
      </c>
      <c r="E41" s="6" t="n">
        <v>120000</v>
      </c>
      <c r="F41" s="6" t="n">
        <v>60</v>
      </c>
      <c r="G41" t="inlineStr">
        <is>
          <t>Heavy</t>
        </is>
      </c>
      <c r="H41" s="6" t="n">
        <v>1</v>
      </c>
      <c r="I41" s="6" t="n">
        <v>1</v>
      </c>
      <c r="J41" s="6" t="n">
        <v>1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(((E41/240000)+(F41/95)+(S41/600)+((P41/5500)*J41))*800/4+(((E41/240000)*(F41/95))+(((P41/5500)*J41)*(S41/600)))*800/2+((E41/240000)*(F41/95)*((P41/5500)*J41)*(S41/600))*800)*(H41/1.0)/3</f>
        <v/>
      </c>
      <c r="X41" s="6" t="n">
        <v>3500</v>
      </c>
      <c r="Y41">
        <f>IFERROR(W41-X41,"")</f>
        <v/>
      </c>
      <c r="Z41">
        <f>IFERROR(ABS(Y41)/MAX(X41,1),"")</f>
        <v/>
      </c>
      <c r="AA41">
        <f>IFERROR(ROUND(((3*X41-(((E41/240000)+(F41/95)+(S41/600))*800/4+((E41/240000)*(F41/95))*800/2)*(H41/1.0))/(800/4+((S41/600))*800/2+((E41/240000)*(F41/95)*(S41/600))*800)*(H41/1.0)*5500)/J41,-1),"")</f>
        <v/>
      </c>
    </row>
    <row r="42">
      <c r="B42" s="7" t="inlineStr">
        <is>
          <t xml:space="preserve">  ↳ CabalLegionGun</t>
        </is>
      </c>
      <c r="C42" s="7" t="inlineStr">
        <is>
          <t>Armament@PRIMARY</t>
        </is>
      </c>
      <c r="L42" s="6" t="n">
        <v>120000</v>
      </c>
      <c r="M42" s="6" t="n">
        <v>40</v>
      </c>
      <c r="N42" s="6" t="n">
        <v>1</v>
      </c>
      <c r="O42" s="6" t="n"/>
      <c r="P42" s="6" t="n">
        <v>6813</v>
      </c>
      <c r="Q42" s="6" t="n">
        <v>1</v>
      </c>
      <c r="R42">
        <f>M42+IF(N42&gt;1,N(O42)*(N42-1),0)</f>
        <v/>
      </c>
      <c r="S42">
        <f>IFERROR(L42*MAX(N42,1)/R42*IF(ISBLANK(K41),1,K41),0)</f>
        <v/>
      </c>
      <c r="AB42" s="7" t="inlineStr">
        <is>
          <t>^Warhead_Bullet_Light, ^Warhead_Laser_Heavy</t>
        </is>
      </c>
    </row>
    <row r="43">
      <c r="A43" t="inlineStr">
        <is>
          <t>tiberiansun</t>
        </is>
      </c>
      <c r="B43" t="inlineStr">
        <is>
          <t>ts_nod_ticktank</t>
        </is>
      </c>
      <c r="C43" t="inlineStr">
        <is>
          <t>Tick Tank</t>
        </is>
      </c>
      <c r="D43" s="6" t="inlineStr">
        <is>
          <t>MainBattleTank</t>
        </is>
      </c>
      <c r="E43" s="6" t="n">
        <v>100000</v>
      </c>
      <c r="F43" s="6" t="n">
        <v>90</v>
      </c>
      <c r="G43" t="inlineStr">
        <is>
          <t>Heavy</t>
        </is>
      </c>
      <c r="H43" s="6" t="n">
        <v>1</v>
      </c>
      <c r="I43" s="6" t="n">
        <v>1</v>
      </c>
      <c r="J43" s="6" t="n">
        <v>1</v>
      </c>
      <c r="K43" s="6" t="n"/>
      <c r="P43">
        <f>MAX(P44,P45,P46,P47,P48,P49)</f>
        <v/>
      </c>
      <c r="S43">
        <f>S44+S45+S46+S47+S48+S49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(((E43/240000)+(F43/95)+(S43/600)+((P43/5500)*J43))*800/4+(((E43/240000)*(F43/95))+(((P43/5500)*J43)*(S43/600)))*800/2+((E43/240000)*(F43/95)*((P43/5500)*J43)*(S43/600))*800)*(H43/1.0)/3</f>
        <v/>
      </c>
      <c r="X43" s="6" t="n">
        <v>800</v>
      </c>
      <c r="Y43">
        <f>IFERROR(W43-X43,"")</f>
        <v/>
      </c>
      <c r="Z43">
        <f>IFERROR(ABS(Y43)/MAX(X43,1),"")</f>
        <v/>
      </c>
      <c r="AA43">
        <f>IFERROR(ROUND(((3*X43-(((E43/240000)+(F43/95)+(S43/600))*800/4+((E43/240000)*(F43/95))*800/2)*(H43/1.0))/(800/4+((S43/600))*800/2+((E43/240000)*(F43/95)*(S43/600))*800)*(H43/1.0)*5500)/J43,-1),"")</f>
        <v/>
      </c>
    </row>
    <row r="44">
      <c r="B44" s="7" t="inlineStr">
        <is>
          <t xml:space="preserve">  ↳ TS90mm</t>
        </is>
      </c>
      <c r="C44" s="7" t="inlineStr">
        <is>
          <t>Armament@PRIMARY</t>
        </is>
      </c>
      <c r="L44" s="6" t="n">
        <v>6000</v>
      </c>
      <c r="M44" s="6" t="n">
        <v>26</v>
      </c>
      <c r="N44" s="6" t="n">
        <v>1</v>
      </c>
      <c r="O44" s="6" t="n"/>
      <c r="P44" s="6" t="n">
        <v>5319</v>
      </c>
      <c r="Q44" s="6" t="n">
        <v>1</v>
      </c>
      <c r="R44">
        <f>M44+IF(N44&gt;1,N(O44)*(N44-1),0)</f>
        <v/>
      </c>
      <c r="S44">
        <f>IFERROR(L44*MAX(N44,1)/R44*IF(ISBLANK(K43),1,K43),0)</f>
        <v/>
      </c>
      <c r="AB44" s="7" t="inlineStr">
        <is>
          <t>^Warhead_CannonHE_Medium</t>
        </is>
      </c>
    </row>
    <row r="45">
      <c r="B45" s="7" t="inlineStr">
        <is>
          <t xml:space="preserve">  ↳ TSLaser90mm</t>
        </is>
      </c>
      <c r="C45" s="7" t="inlineStr">
        <is>
          <t>Armament@UPGRADE</t>
        </is>
      </c>
      <c r="L45" s="6" t="n">
        <v>12000</v>
      </c>
      <c r="M45" s="6" t="n">
        <v>32</v>
      </c>
      <c r="N45" s="6" t="n">
        <v>1</v>
      </c>
      <c r="O45" s="6" t="n"/>
      <c r="P45" s="6" t="n">
        <v>5423</v>
      </c>
      <c r="Q45" s="6" t="n">
        <v>1</v>
      </c>
      <c r="R45">
        <f>M45+IF(N45&gt;1,N(O45)*(N45-1),0)</f>
        <v/>
      </c>
      <c r="S45">
        <f>IFERROR(L45*MAX(N45,1)/R45*IF(ISBLANK(K43),1,K43),0)</f>
        <v/>
      </c>
      <c r="AB45" s="7" t="inlineStr">
        <is>
          <t>^Warhead_CannonHE_Medium</t>
        </is>
      </c>
    </row>
    <row r="46">
      <c r="B46" s="7" t="inlineStr">
        <is>
          <t xml:space="preserve">  ↳ TS90mmDep</t>
        </is>
      </c>
      <c r="C46" s="7" t="inlineStr">
        <is>
          <t>Armament@deployed</t>
        </is>
      </c>
      <c r="L46" s="6" t="n">
        <v>6000</v>
      </c>
      <c r="M46" s="6" t="n">
        <v>22</v>
      </c>
      <c r="N46" s="6" t="n">
        <v>1</v>
      </c>
      <c r="O46" s="6" t="n"/>
      <c r="P46" s="6" t="n">
        <v>6679</v>
      </c>
      <c r="Q46" s="6" t="n">
        <v>1</v>
      </c>
      <c r="R46">
        <f>M46+IF(N46&gt;1,N(O46)*(N46-1),0)</f>
        <v/>
      </c>
      <c r="S46">
        <f>IFERROR(L46*MAX(N46,1)/R46*IF(ISBLANK(K43),1,K43),0)</f>
        <v/>
      </c>
      <c r="AB46" s="7" t="inlineStr">
        <is>
          <t>^Warhead_CannonHE_Medium</t>
        </is>
      </c>
    </row>
    <row r="47">
      <c r="B47" s="7" t="inlineStr">
        <is>
          <t xml:space="preserve">  ↳ TSLaser90mmDep</t>
        </is>
      </c>
      <c r="C47" s="7" t="inlineStr">
        <is>
          <t>Armament@UPGRADEdeployed</t>
        </is>
      </c>
      <c r="L47" s="6" t="n">
        <v>12000</v>
      </c>
      <c r="M47" s="6" t="n">
        <v>26</v>
      </c>
      <c r="N47" s="6" t="n">
        <v>1</v>
      </c>
      <c r="O47" s="6" t="n"/>
      <c r="P47" s="6" t="n">
        <v>6754</v>
      </c>
      <c r="Q47" s="6" t="n">
        <v>1</v>
      </c>
      <c r="R47">
        <f>M47+IF(N47&gt;1,N(O47)*(N47-1),0)</f>
        <v/>
      </c>
      <c r="S47">
        <f>IFERROR(L47*MAX(N47,1)/R47*IF(ISBLANK(K43),1,K43),0)</f>
        <v/>
      </c>
      <c r="AB47" s="7" t="inlineStr">
        <is>
          <t>^Warhead_CannonHE_Medium</t>
        </is>
      </c>
    </row>
    <row r="48">
      <c r="B48" s="7" t="inlineStr">
        <is>
          <t xml:space="preserve">  ↳ TS25mmDep</t>
        </is>
      </c>
      <c r="C48" s="7" t="inlineStr">
        <is>
          <t>Armament@SECONDARY</t>
        </is>
      </c>
      <c r="L48" s="6" t="n">
        <v>2000</v>
      </c>
      <c r="M48" s="6" t="n">
        <v>8</v>
      </c>
      <c r="N48" s="6" t="n">
        <v>1</v>
      </c>
      <c r="O48" s="6" t="n"/>
      <c r="P48" s="6" t="n">
        <v>6679</v>
      </c>
      <c r="Q48" s="6" t="n">
        <v>1</v>
      </c>
      <c r="R48">
        <f>M48+IF(N48&gt;1,N(O48)*(N48-1),0)</f>
        <v/>
      </c>
      <c r="S48">
        <f>IFERROR(L48*MAX(N48,1)/R48*IF(ISBLANK(K43),1,K43),0)</f>
        <v/>
      </c>
      <c r="AB48" s="7" t="inlineStr">
        <is>
          <t>^Warhead_Flak_Medium</t>
        </is>
      </c>
    </row>
    <row r="49">
      <c r="B49" s="7" t="inlineStr">
        <is>
          <t xml:space="preserve">  ↳ TSLaser25mmDep</t>
        </is>
      </c>
      <c r="C49" s="7" t="inlineStr">
        <is>
          <t>Armament@UPGRADESECONDARY</t>
        </is>
      </c>
      <c r="L49" s="6" t="n">
        <v>4000</v>
      </c>
      <c r="M49" s="6" t="n">
        <v>8</v>
      </c>
      <c r="N49" s="6" t="n">
        <v>1</v>
      </c>
      <c r="O49" s="6" t="n"/>
      <c r="P49" s="6" t="n">
        <v>6679</v>
      </c>
      <c r="Q49" s="6" t="n">
        <v>1</v>
      </c>
      <c r="R49">
        <f>M49+IF(N49&gt;1,N(O49)*(N49-1),0)</f>
        <v/>
      </c>
      <c r="S49">
        <f>IFERROR(L49*MAX(N49,1)/R49*IF(ISBLANK(K43),1,K43),0)</f>
        <v/>
      </c>
      <c r="AB49" s="7" t="inlineStr">
        <is>
          <t>^FlakWeapon, ^LaserWeapon, ^TSLaserEffect</t>
        </is>
      </c>
    </row>
    <row r="50">
      <c r="A50" t="inlineStr">
        <is>
          <t>tiberiansun</t>
        </is>
      </c>
      <c r="B50" t="inlineStr">
        <is>
          <t>ts_gdi_titan</t>
        </is>
      </c>
      <c r="C50" t="inlineStr">
        <is>
          <t>Titan</t>
        </is>
      </c>
      <c r="D50" s="6" t="inlineStr">
        <is>
          <t>MainBattleTank</t>
        </is>
      </c>
      <c r="E50" s="6" t="n">
        <v>100000</v>
      </c>
      <c r="F50" s="6" t="n">
        <v>75</v>
      </c>
      <c r="G50" t="inlineStr">
        <is>
          <t>Heavy</t>
        </is>
      </c>
      <c r="H50" s="6" t="n">
        <v>1</v>
      </c>
      <c r="I50" s="6" t="n">
        <v>1</v>
      </c>
      <c r="J50" s="6" t="n">
        <v>1</v>
      </c>
      <c r="K50" s="6" t="n"/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(((E50/240000)+(F50/95)+(S50/600)+((P50/5500)*J50))*800/4+(((E50/240000)*(F50/95))+(((P50/5500)*J50)*(S50/600)))*800/2+((E50/240000)*(F50/95)*((P50/5500)*J50)*(S50/600))*800)*(H50/1.0)/3</f>
        <v/>
      </c>
      <c r="X50" s="6" t="n">
        <v>950</v>
      </c>
      <c r="Y50">
        <f>IFERROR(W50-X50,"")</f>
        <v/>
      </c>
      <c r="Z50">
        <f>IFERROR(ABS(Y50)/MAX(X50,1),"")</f>
        <v/>
      </c>
      <c r="AA50">
        <f>IFERROR(ROUND(((3*X50-(((E50/240000)+(F50/95)+(S50/600))*800/4+((E50/240000)*(F50/95))*800/2)*(H50/1.0))/(800/4+((S50/600))*800/2+((E50/240000)*(F50/95)*(S50/600))*800)*(H50/1.0)*5500)/J50,-1),"")</f>
        <v/>
      </c>
    </row>
    <row r="51">
      <c r="B51" s="7" t="inlineStr">
        <is>
          <t xml:space="preserve">  ↳ TS120mm</t>
        </is>
      </c>
      <c r="C51" s="7" t="inlineStr">
        <is>
          <t>Armament@PRIMARY</t>
        </is>
      </c>
      <c r="L51" s="6" t="n">
        <v>12000</v>
      </c>
      <c r="M51" s="6" t="n">
        <v>44</v>
      </c>
      <c r="N51" s="6" t="n">
        <v>1</v>
      </c>
      <c r="O51" s="6" t="n"/>
      <c r="P51" s="6" t="n">
        <v>6201</v>
      </c>
      <c r="Q51" s="6" t="n">
        <v>1</v>
      </c>
      <c r="R51">
        <f>M51+IF(N51&gt;1,N(O51)*(N51-1),0)</f>
        <v/>
      </c>
      <c r="S51">
        <f>IFERROR(L51*MAX(N51,1)/R51*IF(ISBLANK(K50),1,K50),0)</f>
        <v/>
      </c>
      <c r="AB51" s="7" t="inlineStr">
        <is>
          <t>^Warhead_CannonHE_Medium</t>
        </is>
      </c>
    </row>
    <row r="52">
      <c r="B52" s="7" t="inlineStr">
        <is>
          <t xml:space="preserve">  ↳ TS120mmRail</t>
        </is>
      </c>
      <c r="C52" s="7" t="inlineStr">
        <is>
          <t>Armament@Upgrade</t>
        </is>
      </c>
      <c r="L52" s="6" t="n">
        <v>16000</v>
      </c>
      <c r="M52" s="6" t="n">
        <v>44</v>
      </c>
      <c r="N52" s="6" t="n">
        <v>1</v>
      </c>
      <c r="O52" s="6" t="n"/>
      <c r="P52" s="6" t="n">
        <v>6201</v>
      </c>
      <c r="Q52" s="6" t="n">
        <v>1.125</v>
      </c>
      <c r="R52">
        <f>M52+IF(N52&gt;1,N(O52)*(N52-1),0)</f>
        <v/>
      </c>
      <c r="S52">
        <f>IFERROR(L52*MAX(N52,1)/R52*IF(ISBLANK(K50),1,K50),0)</f>
        <v/>
      </c>
      <c r="AB52" s="7" t="inlineStr">
        <is>
          <t>^Warhead_CannonHE_Medium, ^Warhead_Railgun_Heavy</t>
        </is>
      </c>
    </row>
    <row r="53">
      <c r="A53" t="inlineStr">
        <is>
          <t>tiberiansun</t>
        </is>
      </c>
      <c r="B53" t="inlineStr">
        <is>
          <t>ts_gdi_titanmkii</t>
        </is>
      </c>
      <c r="C53" t="inlineStr">
        <is>
          <t>Titan MK II</t>
        </is>
      </c>
      <c r="D53" s="6" t="inlineStr">
        <is>
          <t>MainBattleTank</t>
        </is>
      </c>
      <c r="E53" s="6" t="n">
        <v>120000</v>
      </c>
      <c r="F53" s="6" t="n">
        <v>75</v>
      </c>
      <c r="G53" t="inlineStr">
        <is>
          <t>Heavy</t>
        </is>
      </c>
      <c r="H53" s="6" t="n">
        <v>1</v>
      </c>
      <c r="I53" s="6" t="n">
        <v>1</v>
      </c>
      <c r="J53" s="6" t="n">
        <v>1</v>
      </c>
      <c r="K53" s="6" t="n"/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(((E53/240000)+(F53/95)+(S53/600)+((P53/5500)*J53))*800/4+(((E53/240000)*(F53/95))+(((P53/5500)*J53)*(S53/600)))*800/2+((E53/240000)*(F53/95)*((P53/5500)*J53)*(S53/600))*800)*(H53/1.0)/3</f>
        <v/>
      </c>
      <c r="X53" s="6" t="n">
        <v>1600</v>
      </c>
      <c r="Y53">
        <f>IFERROR(W53-X53,"")</f>
        <v/>
      </c>
      <c r="Z53">
        <f>IFERROR(ABS(Y53)/MAX(X53,1),"")</f>
        <v/>
      </c>
      <c r="AA53">
        <f>IFERROR(ROUND(((3*X53-(((E53/240000)+(F53/95)+(S53/600))*800/4+((E53/240000)*(F53/95))*800/2)*(H53/1.0))/(800/4+((S53/600))*800/2+((E53/240000)*(F53/95)*(S53/600))*800)*(H53/1.0)*5500)/J53,-1),"")</f>
        <v/>
      </c>
    </row>
    <row r="54">
      <c r="B54" s="7" t="inlineStr">
        <is>
          <t xml:space="preserve">  ↳ TS120mmTal</t>
        </is>
      </c>
      <c r="C54" s="7" t="inlineStr">
        <is>
          <t>Armament@PRIMARY</t>
        </is>
      </c>
      <c r="L54" s="6" t="n">
        <v>24000</v>
      </c>
      <c r="M54" s="6" t="n">
        <v>50</v>
      </c>
      <c r="N54" s="6" t="n">
        <v>1</v>
      </c>
      <c r="O54" s="6" t="n"/>
      <c r="P54" s="6" t="n">
        <v>6201</v>
      </c>
      <c r="Q54" s="6" t="n">
        <v>1</v>
      </c>
      <c r="R54">
        <f>M54+IF(N54&gt;1,N(O54)*(N54-1),0)</f>
        <v/>
      </c>
      <c r="S54">
        <f>IFERROR(L54*MAX(N54,1)/R54*IF(ISBLANK(K53),1,K53),0)</f>
        <v/>
      </c>
      <c r="AB54" s="7" t="inlineStr">
        <is>
          <t>^Warhead_CannonHE_Medium</t>
        </is>
      </c>
    </row>
    <row r="55">
      <c r="B55" s="7" t="inlineStr">
        <is>
          <t xml:space="preserve">  ↳ TS120mmTalRail</t>
        </is>
      </c>
      <c r="C55" s="7" t="inlineStr">
        <is>
          <t>Armament@Upgrade</t>
        </is>
      </c>
      <c r="L55" s="6" t="n">
        <v>36000</v>
      </c>
      <c r="M55" s="6" t="n">
        <v>50</v>
      </c>
      <c r="N55" s="6" t="n">
        <v>1</v>
      </c>
      <c r="O55" s="6" t="n"/>
      <c r="P55" s="6" t="n">
        <v>6201</v>
      </c>
      <c r="Q55" s="6" t="n">
        <v>1.125</v>
      </c>
      <c r="R55">
        <f>M55+IF(N55&gt;1,N(O55)*(N55-1),0)</f>
        <v/>
      </c>
      <c r="S55">
        <f>IFERROR(L55*MAX(N55,1)/R55*IF(ISBLANK(K53),1,K53),0)</f>
        <v/>
      </c>
      <c r="AB55" s="7" t="inlineStr">
        <is>
          <t>^Warhead_CannonHE_Medium, ^Warhead_Railgun_Heavy</t>
        </is>
      </c>
    </row>
    <row r="56">
      <c r="A56" t="inlineStr">
        <is>
          <t>tiberiansun</t>
        </is>
      </c>
      <c r="B56" t="inlineStr">
        <is>
          <t>forgotten_rattytank</t>
        </is>
      </c>
      <c r="C56" t="inlineStr">
        <is>
          <t>actor_forgotten_rattytank.name</t>
        </is>
      </c>
      <c r="D56" s="6" t="inlineStr">
        <is>
          <t>MainBattleTank</t>
        </is>
      </c>
      <c r="E56" s="6" t="n">
        <v>70000</v>
      </c>
      <c r="F56" s="6" t="n">
        <v>90</v>
      </c>
      <c r="G56" t="inlineStr">
        <is>
          <t>Heavy</t>
        </is>
      </c>
      <c r="H56" s="6" t="n">
        <v>1</v>
      </c>
      <c r="I56" s="6" t="n">
        <v>1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(((E56/240000)+(F56/95)+(S56/600)+((P56/5500)*J56))*800/4+(((E56/240000)*(F56/95))+(((P56/5500)*J56)*(S56/600)))*800/2+((E56/240000)*(F56/95)*((P56/5500)*J56)*(S56/600))*800)*(H56/1.0)/3</f>
        <v/>
      </c>
      <c r="X56" s="6" t="n">
        <v>600</v>
      </c>
      <c r="Y56">
        <f>IFERROR(W56-X56,"")</f>
        <v/>
      </c>
      <c r="Z56">
        <f>IFERROR(ABS(Y56)/MAX(X56,1),"")</f>
        <v/>
      </c>
      <c r="AA56">
        <f>IFERROR(ROUND(((3*X56-(((E56/240000)+(F56/95)+(S56/600))*800/4+((E56/240000)*(F56/95))*800/2)*(H56/1.0))/(800/4+((S56/600))*800/2+((E56/240000)*(F56/95)*(S56/600))*800)*(H56/1.0)*5500)/J56,-1),"")</f>
        <v/>
      </c>
    </row>
    <row r="57">
      <c r="B57" s="7" t="inlineStr">
        <is>
          <t xml:space="preserve">  ↳ TS70mm</t>
        </is>
      </c>
      <c r="C57" s="7" t="inlineStr">
        <is>
          <t>Armament@PRIMARY</t>
        </is>
      </c>
      <c r="L57" s="6" t="n">
        <v>4000</v>
      </c>
      <c r="M57" s="6" t="n">
        <v>24</v>
      </c>
      <c r="N57" s="6" t="n">
        <v>1</v>
      </c>
      <c r="O57" s="6" t="n"/>
      <c r="P57" s="6" t="n">
        <v>5566</v>
      </c>
      <c r="Q57" s="6" t="n">
        <v>1</v>
      </c>
      <c r="R57">
        <f>M57+IF(N57&gt;1,N(O57)*(N57-1),0)</f>
        <v/>
      </c>
      <c r="S57">
        <f>IFERROR(L57*MAX(N57,1)/R57*IF(ISBLANK(K56),1,K56),0)</f>
        <v/>
      </c>
      <c r="AB57" s="7" t="inlineStr">
        <is>
          <t>^Warhead_CannonHE_Medium</t>
        </is>
      </c>
    </row>
    <row r="58">
      <c r="B58" s="7" t="inlineStr">
        <is>
          <t xml:space="preserve">  ↳ TS70mmChem</t>
        </is>
      </c>
      <c r="C58" s="7" t="inlineStr">
        <is>
          <t>Armament@UPGRADE</t>
        </is>
      </c>
      <c r="L58" s="6" t="n">
        <v>6000</v>
      </c>
      <c r="M58" s="6" t="n">
        <v>24</v>
      </c>
      <c r="N58" s="6" t="n">
        <v>1</v>
      </c>
      <c r="O58" s="6" t="n"/>
      <c r="P58" s="6" t="n">
        <v>5566</v>
      </c>
      <c r="Q58" s="6" t="n">
        <v>1</v>
      </c>
      <c r="R58">
        <f>M58+IF(N58&gt;1,N(O58)*(N58-1),0)</f>
        <v/>
      </c>
      <c r="S58">
        <f>IFERROR(L58*MAX(N58,1)/R58*IF(ISBLANK(K56),1,K56),0)</f>
        <v/>
      </c>
      <c r="AB58" s="7" t="inlineStr">
        <is>
          <t>^Warhead_CannonHE_Medium</t>
        </is>
      </c>
    </row>
    <row r="59">
      <c r="A59" t="inlineStr">
        <is>
          <t>shared</t>
        </is>
      </c>
      <c r="B59" t="inlineStr">
        <is>
          <t>ra2_c_abram</t>
        </is>
      </c>
      <c r="C59" t="inlineStr">
        <is>
          <t>Civilian MBT</t>
        </is>
      </c>
      <c r="D59" s="6" t="inlineStr">
        <is>
          <t>MainBattleTank</t>
        </is>
      </c>
      <c r="E59" s="6" t="n">
        <v>190000</v>
      </c>
      <c r="F59" s="6" t="n">
        <v>75</v>
      </c>
      <c r="G59" t="inlineStr">
        <is>
          <t>Heavy</t>
        </is>
      </c>
      <c r="H59" s="6" t="n">
        <v>1</v>
      </c>
      <c r="I59" s="6" t="n">
        <v>1</v>
      </c>
      <c r="J59" s="6" t="n">
        <v>1</v>
      </c>
      <c r="K59" s="6" t="n"/>
      <c r="P59">
        <f>MAX(P60,P61,P62)</f>
        <v/>
      </c>
      <c r="S59">
        <f>S60+S61+S62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(((E59/240000)+(F59/95)+(S59/600)+((P59/5500)*J59))*800/4+(((E59/240000)*(F59/95))+(((P59/5500)*J59)*(S59/600)))*800/2+((E59/240000)*(F59/95)*((P59/5500)*J59)*(S59/600))*800)*(H59/1.0)/3</f>
        <v/>
      </c>
      <c r="X59" s="6" t="n">
        <v>900</v>
      </c>
      <c r="Y59">
        <f>IFERROR(W59-X59,"")</f>
        <v/>
      </c>
      <c r="Z59">
        <f>IFERROR(ABS(Y59)/MAX(X59,1),"")</f>
        <v/>
      </c>
      <c r="AA59">
        <f>IFERROR(ROUND(((3*X59-(((E59/240000)+(F59/95)+(S59/600))*800/4+((E59/240000)*(F59/95))*800/2)*(H59/1.0))/(800/4+((S59/600))*800/2+((E59/240000)*(F59/95)*(S59/600))*800)*(H59/1.0)*5500)/J59,-1),"")</f>
        <v/>
      </c>
    </row>
    <row r="60">
      <c r="B60" s="7" t="inlineStr">
        <is>
          <t xml:space="preserve">  ↳ RA2120mm</t>
        </is>
      </c>
      <c r="C60" s="7" t="inlineStr">
        <is>
          <t>Armament</t>
        </is>
      </c>
      <c r="L60" s="6" t="n">
        <v>10000</v>
      </c>
      <c r="M60" s="6" t="n">
        <v>54</v>
      </c>
      <c r="N60" s="6" t="n">
        <v>1</v>
      </c>
      <c r="O60" s="6" t="n"/>
      <c r="P60" s="6" t="n">
        <v>5374</v>
      </c>
      <c r="Q60" s="6" t="n">
        <v>1</v>
      </c>
      <c r="R60">
        <f>M60+IF(N60&gt;1,N(O60)*(N60-1),0)</f>
        <v/>
      </c>
      <c r="S60">
        <f>IFERROR(L60*MAX(N60,1)/R60*IF(ISBLANK(K59),1,K59),0)</f>
        <v/>
      </c>
      <c r="AB60" s="7" t="inlineStr">
        <is>
          <t>^Warhead_CannonHE_Medium</t>
        </is>
      </c>
    </row>
    <row r="61">
      <c r="B61" s="7" t="inlineStr">
        <is>
          <t xml:space="preserve">  ↳ RA2120mm_elite</t>
        </is>
      </c>
      <c r="C61" s="7" t="inlineStr">
        <is>
          <t>Armament@elite</t>
        </is>
      </c>
      <c r="L61" s="6" t="n">
        <v>10000</v>
      </c>
      <c r="M61" s="6" t="n">
        <v>54</v>
      </c>
      <c r="N61" s="6" t="n">
        <v>2</v>
      </c>
      <c r="O61" s="6" t="n">
        <v>3</v>
      </c>
      <c r="P61" s="6" t="n">
        <v>6374</v>
      </c>
      <c r="Q61" s="6" t="n">
        <v>1</v>
      </c>
      <c r="R61">
        <f>M61+IF(N61&gt;1,N(O61)*(N61-1),0)</f>
        <v/>
      </c>
      <c r="S61">
        <f>IFERROR(L61*MAX(N61,1)/R61*IF(ISBLANK(K59),1,K59),0)</f>
        <v/>
      </c>
      <c r="AB61" s="7" t="inlineStr">
        <is>
          <t>^Warhead_CannonHE_Medium</t>
        </is>
      </c>
    </row>
    <row r="62">
      <c r="B62" s="7" t="inlineStr">
        <is>
          <t xml:space="preserve">  ↳ RA2GattlingMG1</t>
        </is>
      </c>
      <c r="C62" s="7" t="inlineStr">
        <is>
          <t>Armament@machinegun</t>
        </is>
      </c>
      <c r="L62" s="6" t="n">
        <v>4000</v>
      </c>
      <c r="M62" s="6" t="n">
        <v>6</v>
      </c>
      <c r="N62" s="6" t="n">
        <v>1</v>
      </c>
      <c r="O62" s="6" t="n"/>
      <c r="P62" s="6" t="n">
        <v>5000</v>
      </c>
      <c r="Q62" s="6" t="n">
        <v>0.875</v>
      </c>
      <c r="R62">
        <f>M62+IF(N62&gt;1,N(O62)*(N62-1),0)</f>
        <v/>
      </c>
      <c r="S62">
        <f>IFERROR(L62*MAX(N62,1)/R62*IF(ISBLANK(K59),1,K59),0)</f>
        <v/>
      </c>
      <c r="AB62" s="7" t="inlineStr">
        <is>
          <t>^Warhead_Bullet_Light, ^Warhead_Bullet_Medium</t>
        </is>
      </c>
    </row>
    <row r="63">
      <c r="A63" t="inlineStr">
        <is>
          <t>shared</t>
        </is>
      </c>
      <c r="B63" t="inlineStr">
        <is>
          <t>ra2_c_ifv</t>
        </is>
      </c>
      <c r="C63" t="inlineStr">
        <is>
          <t>Machinegunner IFV</t>
        </is>
      </c>
      <c r="D63" s="6" t="inlineStr">
        <is>
          <t>MainBattleTank</t>
        </is>
      </c>
      <c r="E63" s="6" t="n">
        <v>120000</v>
      </c>
      <c r="F63" s="6" t="n">
        <v>100</v>
      </c>
      <c r="G63" t="inlineStr">
        <is>
          <t>Medium</t>
        </is>
      </c>
      <c r="H63" s="6" t="n">
        <v>1</v>
      </c>
      <c r="I63" s="6" t="n">
        <v>1</v>
      </c>
      <c r="J63" s="6" t="n">
        <v>1</v>
      </c>
      <c r="K63" s="6" t="n"/>
      <c r="P63">
        <f>MAX(P64,P65,P66,P67)</f>
        <v/>
      </c>
      <c r="S63">
        <f>S64+S65+S66+S67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(((E63/240000)+(F63/95)+(S63/600)+((P63/5500)*J63))*800/4+(((E63/240000)*(F63/95))+(((P63/5500)*J63)*(S63/600)))*800/2+((E63/240000)*(F63/95)*((P63/5500)*J63)*(S63/600))*800)*(H63/1.0)/3</f>
        <v/>
      </c>
      <c r="X63" s="6" t="n">
        <v>600</v>
      </c>
      <c r="Y63">
        <f>IFERROR(W63-X63,"")</f>
        <v/>
      </c>
      <c r="Z63">
        <f>IFERROR(ABS(Y63)/MAX(X63,1),"")</f>
        <v/>
      </c>
      <c r="AA63">
        <f>IFERROR(ROUND(((3*X63-(((E63/240000)+(F63/95)+(S63/600))*800/4+((E63/240000)*(F63/95))*800/2)*(H63/1.0))/(800/4+((S63/600))*800/2+((E63/240000)*(F63/95)*(S63/600))*800)*(H63/1.0)*5500)/J63,-1),"")</f>
        <v/>
      </c>
    </row>
    <row r="64">
      <c r="B64" s="7" t="inlineStr">
        <is>
          <t xml:space="preserve">  ↳ RA2GattlingMG1</t>
        </is>
      </c>
      <c r="C64" s="7" t="inlineStr">
        <is>
          <t>Armament</t>
        </is>
      </c>
      <c r="L64" s="6" t="n">
        <v>4000</v>
      </c>
      <c r="M64" s="6" t="n">
        <v>6</v>
      </c>
      <c r="N64" s="6" t="n">
        <v>1</v>
      </c>
      <c r="O64" s="6" t="n"/>
      <c r="P64" s="6" t="n">
        <v>5000</v>
      </c>
      <c r="Q64" s="6" t="n">
        <v>0.875</v>
      </c>
      <c r="R64">
        <f>M64+IF(N64&gt;1,N(O64)*(N64-1),0)</f>
        <v/>
      </c>
      <c r="S64">
        <f>IFERROR(L64*MAX(N64,1)/R64*IF(ISBLANK(K63),1,K63),0)</f>
        <v/>
      </c>
      <c r="AB64" s="7" t="inlineStr">
        <is>
          <t>^Warhead_Bullet_Light, ^Warhead_Bullet_Medium</t>
        </is>
      </c>
    </row>
    <row r="65">
      <c r="B65" s="7" t="inlineStr">
        <is>
          <t xml:space="preserve">  ↳ RA2GattlingMG2</t>
        </is>
      </c>
      <c r="C65" s="7" t="inlineStr">
        <is>
          <t>Armament@elite</t>
        </is>
      </c>
      <c r="L65" s="6" t="n">
        <v>4000</v>
      </c>
      <c r="M65" s="6" t="n">
        <v>4</v>
      </c>
      <c r="N65" s="6" t="n">
        <v>1</v>
      </c>
      <c r="O65" s="6" t="n"/>
      <c r="P65" s="6" t="n">
        <v>5250</v>
      </c>
      <c r="Q65" s="6" t="n">
        <v>0.875</v>
      </c>
      <c r="R65">
        <f>M65+IF(N65&gt;1,N(O65)*(N65-1),0)</f>
        <v/>
      </c>
      <c r="S65">
        <f>IFERROR(L65*MAX(N65,1)/R65*IF(ISBLANK(K63),1,K63),0)</f>
        <v/>
      </c>
      <c r="AB65" s="7" t="inlineStr">
        <is>
          <t>^Warhead_Bullet_Light, ^Warhead_Bullet_Medium</t>
        </is>
      </c>
    </row>
    <row r="66">
      <c r="B66" s="7" t="inlineStr">
        <is>
          <t xml:space="preserve">  ↳ RA2GattlingMG1_AA</t>
        </is>
      </c>
      <c r="C66" s="7" t="inlineStr">
        <is>
          <t>Armament@AA</t>
        </is>
      </c>
      <c r="L66" s="6" t="n">
        <v>8000</v>
      </c>
      <c r="M66" s="6" t="n">
        <v>6</v>
      </c>
      <c r="N66" s="6" t="n">
        <v>1</v>
      </c>
      <c r="O66" s="6" t="n"/>
      <c r="P66" s="6" t="n">
        <v>6750</v>
      </c>
      <c r="Q66" s="6" t="n">
        <v>0.875</v>
      </c>
      <c r="R66">
        <f>M66+IF(N66&gt;1,N(O66)*(N66-1),0)</f>
        <v/>
      </c>
      <c r="S66">
        <f>IFERROR(L66*MAX(N66,1)/R66*IF(ISBLANK(K63),1,K63),0)</f>
        <v/>
      </c>
      <c r="AB66" s="7" t="inlineStr">
        <is>
          <t>^Warhead_Bullet_Light, ^Warhead_Bullet_Medium</t>
        </is>
      </c>
    </row>
    <row r="67">
      <c r="B67" s="7" t="inlineStr">
        <is>
          <t xml:space="preserve">  ↳ RA2GattlingMG2_AA</t>
        </is>
      </c>
      <c r="C67" s="7" t="inlineStr">
        <is>
          <t>Armament@eliteAA</t>
        </is>
      </c>
      <c r="L67" s="6" t="n">
        <v>8000</v>
      </c>
      <c r="M67" s="6" t="n">
        <v>4</v>
      </c>
      <c r="N67" s="6" t="n">
        <v>1</v>
      </c>
      <c r="O67" s="6" t="n"/>
      <c r="P67" s="6" t="n">
        <v>7500</v>
      </c>
      <c r="Q67" s="6" t="n">
        <v>0.875</v>
      </c>
      <c r="R67">
        <f>M67+IF(N67&gt;1,N(O67)*(N67-1),0)</f>
        <v/>
      </c>
      <c r="S67">
        <f>IFERROR(L67*MAX(N67,1)/R67*IF(ISBLANK(K63),1,K63),0)</f>
        <v/>
      </c>
      <c r="AB67" s="7" t="inlineStr">
        <is>
          <t>^Warhead_Bullet_Light, ^Warhead_Bullet_Medium</t>
        </is>
      </c>
    </row>
    <row r="68">
      <c r="A68" t="inlineStr">
        <is>
          <t>shared</t>
        </is>
      </c>
      <c r="B68" t="inlineStr">
        <is>
          <t>ra2leopard</t>
        </is>
      </c>
      <c r="C68" t="inlineStr">
        <is>
          <t>Leopard</t>
        </is>
      </c>
      <c r="D68" s="6" t="inlineStr">
        <is>
          <t>MainBattleTank</t>
        </is>
      </c>
      <c r="E68" s="6" t="n">
        <v>230000</v>
      </c>
      <c r="F68" s="6" t="n">
        <v>70</v>
      </c>
      <c r="G68" t="inlineStr">
        <is>
          <t>Heavy</t>
        </is>
      </c>
      <c r="H68" s="6" t="n">
        <v>1</v>
      </c>
      <c r="I68" s="6" t="n">
        <v>1</v>
      </c>
      <c r="J68" s="6" t="n">
        <v>1</v>
      </c>
      <c r="K68" s="6" t="n"/>
      <c r="P68">
        <f>MAX(P69,P70,P71)</f>
        <v/>
      </c>
      <c r="S68">
        <f>S69+S70+S71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(((E68/240000)+(F68/95)+(S68/600)+((P68/5500)*J68))*800/4+(((E68/240000)*(F68/95))+(((P68/5500)*J68)*(S68/600)))*800/2+((E68/240000)*(F68/95)*((P68/5500)*J68)*(S68/600))*800)*(H68/1.0)/3</f>
        <v/>
      </c>
      <c r="X68" s="6" t="n">
        <v>950</v>
      </c>
      <c r="Y68">
        <f>IFERROR(W68-X68,"")</f>
        <v/>
      </c>
      <c r="Z68">
        <f>IFERROR(ABS(Y68)/MAX(X68,1),"")</f>
        <v/>
      </c>
      <c r="AA68">
        <f>IFERROR(ROUND(((3*X68-(((E68/240000)+(F68/95)+(S68/600))*800/4+((E68/240000)*(F68/95))*800/2)*(H68/1.0))/(800/4+((S68/600))*800/2+((E68/240000)*(F68/95)*(S68/600))*800)*(H68/1.0)*5500)/J68,-1),"")</f>
        <v/>
      </c>
    </row>
    <row r="69">
      <c r="B69" s="7" t="inlineStr">
        <is>
          <t xml:space="preserve">  ↳ RA2120mm</t>
        </is>
      </c>
      <c r="C69" s="7" t="inlineStr">
        <is>
          <t>Armament</t>
        </is>
      </c>
      <c r="L69" s="6" t="n">
        <v>10000</v>
      </c>
      <c r="M69" s="6" t="n">
        <v>54</v>
      </c>
      <c r="N69" s="6" t="n">
        <v>1</v>
      </c>
      <c r="O69" s="6" t="n"/>
      <c r="P69" s="6" t="n">
        <v>5374</v>
      </c>
      <c r="Q69" s="6" t="n">
        <v>1</v>
      </c>
      <c r="R69">
        <f>M69+IF(N69&gt;1,N(O69)*(N69-1),0)</f>
        <v/>
      </c>
      <c r="S69">
        <f>IFERROR(L69*MAX(N69,1)/R69*IF(ISBLANK(K68),1,K68),0)</f>
        <v/>
      </c>
      <c r="AB69" s="7" t="inlineStr">
        <is>
          <t>^Warhead_CannonHE_Medium</t>
        </is>
      </c>
    </row>
    <row r="70">
      <c r="B70" s="7" t="inlineStr">
        <is>
          <t xml:space="preserve">  ↳ RA2120mm_elite</t>
        </is>
      </c>
      <c r="C70" s="7" t="inlineStr">
        <is>
          <t>Armament@elite</t>
        </is>
      </c>
      <c r="L70" s="6" t="n">
        <v>10000</v>
      </c>
      <c r="M70" s="6" t="n">
        <v>54</v>
      </c>
      <c r="N70" s="6" t="n">
        <v>2</v>
      </c>
      <c r="O70" s="6" t="n">
        <v>3</v>
      </c>
      <c r="P70" s="6" t="n">
        <v>6374</v>
      </c>
      <c r="Q70" s="6" t="n">
        <v>1</v>
      </c>
      <c r="R70">
        <f>M70+IF(N70&gt;1,N(O70)*(N70-1),0)</f>
        <v/>
      </c>
      <c r="S70">
        <f>IFERROR(L70*MAX(N70,1)/R70*IF(ISBLANK(K68),1,K68),0)</f>
        <v/>
      </c>
      <c r="AB70" s="7" t="inlineStr">
        <is>
          <t>^Warhead_CannonHE_Medium</t>
        </is>
      </c>
    </row>
    <row r="71">
      <c r="B71" s="7" t="inlineStr">
        <is>
          <t xml:space="preserve">  ↳ RA2GattlingMG1</t>
        </is>
      </c>
      <c r="C71" s="7" t="inlineStr">
        <is>
          <t>Armament@machinegun</t>
        </is>
      </c>
      <c r="L71" s="6" t="n">
        <v>4000</v>
      </c>
      <c r="M71" s="6" t="n">
        <v>6</v>
      </c>
      <c r="N71" s="6" t="n">
        <v>1</v>
      </c>
      <c r="O71" s="6" t="n"/>
      <c r="P71" s="6" t="n">
        <v>5000</v>
      </c>
      <c r="Q71" s="6" t="n">
        <v>0.875</v>
      </c>
      <c r="R71">
        <f>M71+IF(N71&gt;1,N(O71)*(N71-1),0)</f>
        <v/>
      </c>
      <c r="S71">
        <f>IFERROR(L71*MAX(N71,1)/R71*IF(ISBLANK(K68),1,K68),0)</f>
        <v/>
      </c>
      <c r="AB71" s="7" t="inlineStr">
        <is>
          <t>^Warhead_Bullet_Light, ^Warhead_Bullet_Medium</t>
        </is>
      </c>
    </row>
    <row r="72">
      <c r="A72" t="inlineStr">
        <is>
          <t>shared</t>
        </is>
      </c>
      <c r="B72" t="inlineStr">
        <is>
          <t>yrrobo</t>
        </is>
      </c>
      <c r="C72" t="inlineStr">
        <is>
          <t>Robot Tank</t>
        </is>
      </c>
      <c r="D72" s="6" t="inlineStr">
        <is>
          <t>MainBattleTank</t>
        </is>
      </c>
      <c r="E72" s="6" t="n">
        <v>50000</v>
      </c>
      <c r="F72" s="6" t="n">
        <v>130</v>
      </c>
      <c r="G72" t="inlineStr">
        <is>
          <t>Medium</t>
        </is>
      </c>
      <c r="H72" s="6" t="n">
        <v>1</v>
      </c>
      <c r="I72" s="6" t="n">
        <v>1</v>
      </c>
      <c r="J72" s="6" t="n">
        <v>1</v>
      </c>
      <c r="K72" s="6" t="n"/>
      <c r="P72">
        <f>MAX(P73,P74)</f>
        <v/>
      </c>
      <c r="S72">
        <f>S73+S74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(((E72/240000)+(F72/95)+(S72/600)+((P72/5500)*J72))*800/4+(((E72/240000)*(F72/95))+(((P72/5500)*J72)*(S72/600)))*800/2+((E72/240000)*(F72/95)*((P72/5500)*J72)*(S72/600))*800)*(H72/1.0)/3</f>
        <v/>
      </c>
      <c r="X72" s="6" t="n">
        <v>1200</v>
      </c>
      <c r="Y72">
        <f>IFERROR(W72-X72,"")</f>
        <v/>
      </c>
      <c r="Z72">
        <f>IFERROR(ABS(Y72)/MAX(X72,1),"")</f>
        <v/>
      </c>
      <c r="AA72">
        <f>IFERROR(ROUND(((3*X72-(((E72/240000)+(F72/95)+(S72/600))*800/4+((E72/240000)*(F72/95))*800/2)*(H72/1.0))/(800/4+((S72/600))*800/2+((E72/240000)*(F72/95)*(S72/600))*800)*(H72/1.0)*5500)/J72,-1),"")</f>
        <v/>
      </c>
    </row>
    <row r="73">
      <c r="B73" s="7" t="inlineStr">
        <is>
          <t xml:space="preserve">  ↳ RA2Robotmm</t>
        </is>
      </c>
      <c r="C73" s="7" t="inlineStr">
        <is>
          <t>Armament</t>
        </is>
      </c>
      <c r="L73" s="6" t="n">
        <v>24000</v>
      </c>
      <c r="M73" s="6" t="n">
        <v>48</v>
      </c>
      <c r="N73" s="6" t="n">
        <v>1</v>
      </c>
      <c r="O73" s="6" t="n"/>
      <c r="P73" s="6" t="n">
        <v>5780</v>
      </c>
      <c r="Q73" s="6" t="n">
        <v>1</v>
      </c>
      <c r="R73">
        <f>M73+IF(N73&gt;1,N(O73)*(N73-1),0)</f>
        <v/>
      </c>
      <c r="S73">
        <f>IFERROR(L73*MAX(N73,1)/R73*IF(ISBLANK(K72),1,K72),0)</f>
        <v/>
      </c>
      <c r="AB73" s="7" t="inlineStr">
        <is>
          <t>^Warhead_Tesla_Heavy, ^Warhead_Laser_Heavy, ^Warhead_Railgun_Heavy</t>
        </is>
      </c>
    </row>
    <row r="74">
      <c r="B74" s="7" t="inlineStr">
        <is>
          <t xml:space="preserve">  ↳ RA2Robotmm_elite</t>
        </is>
      </c>
      <c r="C74" s="7" t="inlineStr">
        <is>
          <t>Armament@elite</t>
        </is>
      </c>
      <c r="L74" s="6" t="n">
        <v>24000</v>
      </c>
      <c r="M74" s="6" t="n">
        <v>48</v>
      </c>
      <c r="N74" s="6" t="n">
        <v>1</v>
      </c>
      <c r="O74" s="6" t="n"/>
      <c r="P74" s="6" t="n">
        <v>6780</v>
      </c>
      <c r="Q74" s="6" t="n">
        <v>1</v>
      </c>
      <c r="R74">
        <f>M74+IF(N74&gt;1,N(O74)*(N74-1),0)</f>
        <v/>
      </c>
      <c r="S74">
        <f>IFERROR(L74*MAX(N74,1)/R74*IF(ISBLANK(K72),1,K72),0)</f>
        <v/>
      </c>
      <c r="AB74" s="7" t="inlineStr">
        <is>
          <t>^Warhead_Tesla_Heavy, ^Warhead_Laser_Heavy, ^Warhead_Railgun_Heavy</t>
        </is>
      </c>
    </row>
    <row r="75">
      <c r="A75" t="inlineStr">
        <is>
          <t>redalert2</t>
        </is>
      </c>
      <c r="B75" t="inlineStr">
        <is>
          <t>ra2_allies_grizzlytank</t>
        </is>
      </c>
      <c r="C75" t="inlineStr">
        <is>
          <t>Grizzly Tank</t>
        </is>
      </c>
      <c r="D75" s="6" t="inlineStr">
        <is>
          <t>MainBattleTank</t>
        </is>
      </c>
      <c r="E75" s="6" t="n">
        <v>100000</v>
      </c>
      <c r="F75" s="6" t="n">
        <v>95</v>
      </c>
      <c r="G75" t="inlineStr">
        <is>
          <t>Heavy</t>
        </is>
      </c>
      <c r="H75" s="6" t="n">
        <v>1</v>
      </c>
      <c r="I75" s="6" t="n">
        <v>1</v>
      </c>
      <c r="J75" s="6" t="n">
        <v>1</v>
      </c>
      <c r="K75" s="6" t="n">
        <v>0.016</v>
      </c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(((E75/240000)+(F75/95)+(S75/600)+((P75/5500)*J75))*800/4+(((E75/240000)*(F75/95))+(((P75/5500)*J75)*(S75/600)))*800/2+((E75/240000)*(F75/95)*((P75/5500)*J75)*(S75/600))*800)*(H75/1.0)/3</f>
        <v/>
      </c>
      <c r="X75" s="6" t="n">
        <v>750</v>
      </c>
      <c r="Y75">
        <f>IFERROR(W75-X75,"")</f>
        <v/>
      </c>
      <c r="Z75">
        <f>IFERROR(ABS(Y75)/MAX(X75,1),"")</f>
        <v/>
      </c>
      <c r="AA75">
        <f>IFERROR(ROUND(((3*X75-(((E75/240000)+(F75/95)+(S75/600))*800/4+((E75/240000)*(F75/95))*800/2)*(H75/1.0))/(800/4+((S75/600))*800/2+((E75/240000)*(F75/95)*(S75/600))*800)*(H75/1.0)*5500)/J75,-1),"")</f>
        <v/>
      </c>
    </row>
    <row r="76">
      <c r="B76" s="7" t="inlineStr">
        <is>
          <t xml:space="preserve">  ↳ RA2105mm</t>
        </is>
      </c>
      <c r="C76" s="7" t="inlineStr">
        <is>
          <t>Armament</t>
        </is>
      </c>
      <c r="L76" s="6" t="n">
        <v>8000</v>
      </c>
      <c r="M76" s="6" t="n">
        <v>45</v>
      </c>
      <c r="N76" s="6" t="n">
        <v>1</v>
      </c>
      <c r="O76" s="6" t="n"/>
      <c r="P76" s="6" t="n">
        <v>5289</v>
      </c>
      <c r="Q76" s="6" t="n">
        <v>1</v>
      </c>
      <c r="R76">
        <f>M76+IF(N76&gt;1,N(O76)*(N76-1),0)</f>
        <v/>
      </c>
      <c r="S76">
        <f>IFERROR(L76*MAX(N76,1)/R76*IF(ISBLANK(K75),1,K75),0)</f>
        <v/>
      </c>
      <c r="AB76" s="7" t="inlineStr">
        <is>
          <t>^Warhead_CannonHE_Medium</t>
        </is>
      </c>
    </row>
    <row r="77">
      <c r="B77" s="7" t="inlineStr">
        <is>
          <t xml:space="preserve">  ↳ RA2105mm_elite</t>
        </is>
      </c>
      <c r="C77" s="7" t="inlineStr">
        <is>
          <t>Armament@elite</t>
        </is>
      </c>
      <c r="L77" s="6" t="n">
        <v>8000</v>
      </c>
      <c r="M77" s="6" t="n">
        <v>45</v>
      </c>
      <c r="N77" s="6" t="n">
        <v>2</v>
      </c>
      <c r="O77" s="6" t="n">
        <v>3</v>
      </c>
      <c r="P77" s="6" t="n">
        <v>6289</v>
      </c>
      <c r="Q77" s="6" t="n">
        <v>1</v>
      </c>
      <c r="R77">
        <f>M77+IF(N77&gt;1,N(O77)*(N77-1),0)</f>
        <v/>
      </c>
      <c r="S77">
        <f>IFERROR(L77*MAX(N77,1)/R77*IF(ISBLANK(K75),1,K75),0)</f>
        <v/>
      </c>
      <c r="AB77" s="7" t="inlineStr">
        <is>
          <t>^Warhead_CannonHE_Medium</t>
        </is>
      </c>
    </row>
    <row r="78">
      <c r="A78" t="inlineStr">
        <is>
          <t>redalert2</t>
        </is>
      </c>
      <c r="B78" t="inlineStr">
        <is>
          <t>ra2_soviets_rhinoheavytank</t>
        </is>
      </c>
      <c r="C78" t="inlineStr">
        <is>
          <t>Rhino Heavy Tank</t>
        </is>
      </c>
      <c r="D78" s="6" t="inlineStr">
        <is>
          <t>MainBattleTank</t>
        </is>
      </c>
      <c r="E78" s="6" t="n">
        <v>130000</v>
      </c>
      <c r="F78" s="6" t="n">
        <v>85</v>
      </c>
      <c r="G78" t="inlineStr">
        <is>
          <t>Heavy</t>
        </is>
      </c>
      <c r="H78" s="6" t="n">
        <v>1</v>
      </c>
      <c r="I78" s="6" t="n">
        <v>1</v>
      </c>
      <c r="J78" s="6" t="n">
        <v>1</v>
      </c>
      <c r="K78" s="6" t="n"/>
      <c r="P78">
        <f>MAX(P79,P80,P81,P82,P83,P84,P85,P86)</f>
        <v/>
      </c>
      <c r="S78">
        <f>S79+S80+S81+S82+S83+S84+S85+S86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(((E78/240000)+(F78/95)+(S78/600)+((P78/5500)*J78))*800/4+(((E78/240000)*(F78/95))+(((P78/5500)*J78)*(S78/600)))*800/2+((E78/240000)*(F78/95)*((P78/5500)*J78)*(S78/600))*800)*(H78/1.0)/3</f>
        <v/>
      </c>
      <c r="X78" s="6" t="n">
        <v>850</v>
      </c>
      <c r="Y78">
        <f>IFERROR(W78-X78,"")</f>
        <v/>
      </c>
      <c r="Z78">
        <f>IFERROR(ABS(Y78)/MAX(X78,1),"")</f>
        <v/>
      </c>
      <c r="AA78">
        <f>IFERROR(ROUND(((3*X78-(((E78/240000)+(F78/95)+(S78/600))*800/4+((E78/240000)*(F78/95))*800/2)*(H78/1.0))/(800/4+((S78/600))*800/2+((E78/240000)*(F78/95)*(S78/600))*800)*(H78/1.0)*5500)/J78,-1),"")</f>
        <v/>
      </c>
    </row>
    <row r="79">
      <c r="B79" s="7" t="inlineStr">
        <is>
          <t xml:space="preserve">  ↳ RA2120mm</t>
        </is>
      </c>
      <c r="C79" s="7" t="inlineStr">
        <is>
          <t>Armament@PRIMARY</t>
        </is>
      </c>
      <c r="L79" s="6" t="n">
        <v>10000</v>
      </c>
      <c r="M79" s="6" t="n">
        <v>54</v>
      </c>
      <c r="N79" s="6" t="n">
        <v>1</v>
      </c>
      <c r="O79" s="6" t="n"/>
      <c r="P79" s="6" t="n">
        <v>5374</v>
      </c>
      <c r="Q79" s="6" t="n">
        <v>1</v>
      </c>
      <c r="R79">
        <f>M79+IF(N79&gt;1,N(O79)*(N79-1),0)</f>
        <v/>
      </c>
      <c r="S79">
        <f>IFERROR(L79*MAX(N79,1)/R79*IF(ISBLANK(K78),1,K78),0)</f>
        <v/>
      </c>
      <c r="AB79" s="7" t="inlineStr">
        <is>
          <t>^Warhead_CannonHE_Medium</t>
        </is>
      </c>
    </row>
    <row r="80">
      <c r="B80" s="7" t="inlineStr">
        <is>
          <t xml:space="preserve">  ↳ RA2120mm_rad</t>
        </is>
      </c>
      <c r="C80" s="7" t="inlineStr">
        <is>
          <t>Armament@PRIMARYRad</t>
        </is>
      </c>
      <c r="L80" s="6" t="n">
        <v>12000</v>
      </c>
      <c r="M80" s="6" t="n">
        <v>54</v>
      </c>
      <c r="N80" s="6" t="n">
        <v>1</v>
      </c>
      <c r="O80" s="6" t="n"/>
      <c r="P80" s="6" t="n">
        <v>5374</v>
      </c>
      <c r="Q80" s="6" t="n">
        <v>1</v>
      </c>
      <c r="R80">
        <f>M80+IF(N80&gt;1,N(O80)*(N80-1),0)</f>
        <v/>
      </c>
      <c r="S80">
        <f>IFERROR(L80*MAX(N80,1)/R80*IF(ISBLANK(K78),1,K78),0)</f>
        <v/>
      </c>
      <c r="AB80" s="7" t="inlineStr">
        <is>
          <t>^Warhead_Chemical_Medium, ^Warhead_CannonHE_Medium</t>
        </is>
      </c>
    </row>
    <row r="81">
      <c r="B81" s="7" t="inlineStr">
        <is>
          <t xml:space="preserve">  ↳ RA2120mm_fire</t>
        </is>
      </c>
      <c r="C81" s="7" t="inlineStr">
        <is>
          <t>Armament@PRIMARYFire</t>
        </is>
      </c>
      <c r="L81" s="6" t="n">
        <v>10000</v>
      </c>
      <c r="M81" s="6" t="n">
        <v>54</v>
      </c>
      <c r="N81" s="6" t="n">
        <v>1</v>
      </c>
      <c r="O81" s="6" t="n"/>
      <c r="P81" s="6" t="n">
        <v>5374</v>
      </c>
      <c r="Q81" s="6" t="n">
        <v>1</v>
      </c>
      <c r="R81">
        <f>M81+IF(N81&gt;1,N(O81)*(N81-1),0)</f>
        <v/>
      </c>
      <c r="S81">
        <f>IFERROR(L81*MAX(N81,1)/R81*IF(ISBLANK(K78),1,K78),0)</f>
        <v/>
      </c>
      <c r="AB81" s="7" t="inlineStr">
        <is>
          <t>^Warhead_CannonHE_Medium</t>
        </is>
      </c>
    </row>
    <row r="82">
      <c r="B82" s="7" t="inlineStr">
        <is>
          <t xml:space="preserve">  ↳ RA2120mm_tesla</t>
        </is>
      </c>
      <c r="C82" s="7" t="inlineStr">
        <is>
          <t>Armament@PRIMARYTesla</t>
        </is>
      </c>
      <c r="L82" s="6" t="n">
        <v>10000</v>
      </c>
      <c r="M82" s="6" t="n">
        <v>54</v>
      </c>
      <c r="N82" s="6" t="n">
        <v>1</v>
      </c>
      <c r="O82" s="6" t="n"/>
      <c r="P82" s="6" t="n">
        <v>5374</v>
      </c>
      <c r="Q82" s="6" t="n">
        <v>1</v>
      </c>
      <c r="R82">
        <f>M82+IF(N82&gt;1,N(O82)*(N82-1),0)</f>
        <v/>
      </c>
      <c r="S82">
        <f>IFERROR(L82*MAX(N82,1)/R82*IF(ISBLANK(K78),1,K78),0)</f>
        <v/>
      </c>
      <c r="AB82" s="7" t="inlineStr">
        <is>
          <t>^Warhead_CannonHE_Medium</t>
        </is>
      </c>
    </row>
    <row r="83">
      <c r="B83" s="7" t="inlineStr">
        <is>
          <t xml:space="preserve">  ↳ RA2120mm_elite</t>
        </is>
      </c>
      <c r="C83" s="7" t="inlineStr">
        <is>
          <t>Armament@PRIMARYELITE</t>
        </is>
      </c>
      <c r="L83" s="6" t="n">
        <v>10000</v>
      </c>
      <c r="M83" s="6" t="n">
        <v>54</v>
      </c>
      <c r="N83" s="6" t="n">
        <v>2</v>
      </c>
      <c r="O83" s="6" t="n">
        <v>3</v>
      </c>
      <c r="P83" s="6" t="n">
        <v>6374</v>
      </c>
      <c r="Q83" s="6" t="n">
        <v>1</v>
      </c>
      <c r="R83">
        <f>M83+IF(N83&gt;1,N(O83)*(N83-1),0)</f>
        <v/>
      </c>
      <c r="S83">
        <f>IFERROR(L83*MAX(N83,1)/R83*IF(ISBLANK(K78),1,K78),0)</f>
        <v/>
      </c>
      <c r="AB83" s="7" t="inlineStr">
        <is>
          <t>^Warhead_CannonHE_Medium</t>
        </is>
      </c>
    </row>
    <row r="84">
      <c r="B84" s="7" t="inlineStr">
        <is>
          <t xml:space="preserve">  ↳ RA2120mm_rad_elite</t>
        </is>
      </c>
      <c r="C84" s="7" t="inlineStr">
        <is>
          <t>Armament@PRIMARYELITERad</t>
        </is>
      </c>
      <c r="L84" s="6" t="n">
        <v>12000</v>
      </c>
      <c r="M84" s="6" t="n">
        <v>54</v>
      </c>
      <c r="N84" s="6" t="n">
        <v>2</v>
      </c>
      <c r="O84" s="6" t="n">
        <v>3</v>
      </c>
      <c r="P84" s="6" t="n">
        <v>6374</v>
      </c>
      <c r="Q84" s="6" t="n">
        <v>1</v>
      </c>
      <c r="R84">
        <f>M84+IF(N84&gt;1,N(O84)*(N84-1),0)</f>
        <v/>
      </c>
      <c r="S84">
        <f>IFERROR(L84*MAX(N84,1)/R84*IF(ISBLANK(K78),1,K78),0)</f>
        <v/>
      </c>
      <c r="AB84" s="7" t="inlineStr">
        <is>
          <t>^Warhead_Chemical_Medium, ^Warhead_CannonHE_Medium</t>
        </is>
      </c>
    </row>
    <row r="85">
      <c r="B85" s="7" t="inlineStr">
        <is>
          <t xml:space="preserve">  ↳ RA2120mm_fire_elite</t>
        </is>
      </c>
      <c r="C85" s="7" t="inlineStr">
        <is>
          <t>Armament@PRIMARYELITEFire</t>
        </is>
      </c>
      <c r="L85" s="6" t="n">
        <v>10000</v>
      </c>
      <c r="M85" s="6" t="n">
        <v>54</v>
      </c>
      <c r="N85" s="6" t="n">
        <v>2</v>
      </c>
      <c r="O85" s="6" t="n">
        <v>3</v>
      </c>
      <c r="P85" s="6" t="n">
        <v>6374</v>
      </c>
      <c r="Q85" s="6" t="n">
        <v>1</v>
      </c>
      <c r="R85">
        <f>M85+IF(N85&gt;1,N(O85)*(N85-1),0)</f>
        <v/>
      </c>
      <c r="S85">
        <f>IFERROR(L85*MAX(N85,1)/R85*IF(ISBLANK(K78),1,K78),0)</f>
        <v/>
      </c>
      <c r="AB85" s="7" t="inlineStr">
        <is>
          <t>^Warhead_CannonHE_Medium</t>
        </is>
      </c>
    </row>
    <row r="86">
      <c r="B86" s="7" t="inlineStr">
        <is>
          <t xml:space="preserve">  ↳ RA2120mm_tesla_elite</t>
        </is>
      </c>
      <c r="C86" s="7" t="inlineStr">
        <is>
          <t>Armament@PRIMARYELITETesla</t>
        </is>
      </c>
      <c r="L86" s="6" t="n">
        <v>10000</v>
      </c>
      <c r="M86" s="6" t="n">
        <v>54</v>
      </c>
      <c r="N86" s="6" t="n">
        <v>2</v>
      </c>
      <c r="O86" s="6" t="n">
        <v>3</v>
      </c>
      <c r="P86" s="6" t="n">
        <v>6374</v>
      </c>
      <c r="Q86" s="6" t="n">
        <v>1</v>
      </c>
      <c r="R86">
        <f>M86+IF(N86&gt;1,N(O86)*(N86-1),0)</f>
        <v/>
      </c>
      <c r="S86">
        <f>IFERROR(L86*MAX(N86,1)/R86*IF(ISBLANK(K78),1,K78),0)</f>
        <v/>
      </c>
      <c r="AB86" s="7" t="inlineStr">
        <is>
          <t>^Warhead_CannonHE_Medium</t>
        </is>
      </c>
    </row>
    <row r="87">
      <c r="A87" t="inlineStr">
        <is>
          <t>redalert2mod</t>
        </is>
      </c>
      <c r="B87" t="inlineStr">
        <is>
          <t>asianalliance_lynxtank</t>
        </is>
      </c>
      <c r="C87" t="inlineStr">
        <is>
          <t>Lynx Tank</t>
        </is>
      </c>
      <c r="D87" s="6" t="inlineStr">
        <is>
          <t>MainBattleTank</t>
        </is>
      </c>
      <c r="E87" s="6" t="n">
        <v>120000</v>
      </c>
      <c r="F87" s="6" t="n">
        <v>90</v>
      </c>
      <c r="G87" t="inlineStr">
        <is>
          <t>Heavy</t>
        </is>
      </c>
      <c r="H87" s="6" t="n">
        <v>1</v>
      </c>
      <c r="I87" s="6" t="n">
        <v>1</v>
      </c>
      <c r="J87" s="6" t="n">
        <v>1</v>
      </c>
      <c r="K87" s="6" t="n"/>
      <c r="P87">
        <f>MAX(P88,P89,P90,P91)</f>
        <v/>
      </c>
      <c r="S87">
        <f>S88+S89+S90+S91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(((E87/240000)+(F87/95)+(S87/600)+((P87/5500)*J87))*800/4+(((E87/240000)*(F87/95))+(((P87/5500)*J87)*(S87/600)))*800/2+((E87/240000)*(F87/95)*((P87/5500)*J87)*(S87/600))*800)*(H87/1.0)/3</f>
        <v/>
      </c>
      <c r="X87" s="6" t="n">
        <v>850</v>
      </c>
      <c r="Y87">
        <f>IFERROR(W87-X87,"")</f>
        <v/>
      </c>
      <c r="Z87">
        <f>IFERROR(ABS(Y87)/MAX(X87,1),"")</f>
        <v/>
      </c>
      <c r="AA87">
        <f>IFERROR(ROUND(((3*X87-(((E87/240000)+(F87/95)+(S87/600))*800/4+((E87/240000)*(F87/95))*800/2)*(H87/1.0))/(800/4+((S87/600))*800/2+((E87/240000)*(F87/95)*(S87/600))*800)*(H87/1.0)*5500)/J87,-1),"")</f>
        <v/>
      </c>
    </row>
    <row r="88">
      <c r="B88" s="7" t="inlineStr">
        <is>
          <t xml:space="preserve">  ↳ AsianLynxTankCannon</t>
        </is>
      </c>
      <c r="C88" s="7" t="inlineStr">
        <is>
          <t>Armament</t>
        </is>
      </c>
      <c r="L88" s="6" t="n">
        <v>12000</v>
      </c>
      <c r="M88" s="6" t="n">
        <v>55</v>
      </c>
      <c r="N88" s="6" t="n">
        <v>1</v>
      </c>
      <c r="O88" s="6" t="n"/>
      <c r="P88" s="6" t="n">
        <v>5357</v>
      </c>
      <c r="Q88" s="6" t="n">
        <v>1</v>
      </c>
      <c r="R88">
        <f>M88+IF(N88&gt;1,N(O88)*(N88-1),0)</f>
        <v/>
      </c>
      <c r="S88">
        <f>IFERROR(L88*MAX(N88,1)/R88*IF(ISBLANK(K87),1,K87),0)</f>
        <v/>
      </c>
      <c r="AB88" s="7" t="inlineStr">
        <is>
          <t>^Warhead_CannonHE_Medium</t>
        </is>
      </c>
    </row>
    <row r="89">
      <c r="B89" s="7" t="inlineStr">
        <is>
          <t xml:space="preserve">  ↳ AsianLynxTankCannon_elite</t>
        </is>
      </c>
      <c r="C89" s="7" t="inlineStr">
        <is>
          <t>Armament@elite</t>
        </is>
      </c>
      <c r="L89" s="6" t="n">
        <v>12000</v>
      </c>
      <c r="M89" s="6" t="n">
        <v>55</v>
      </c>
      <c r="N89" s="6" t="n">
        <v>2</v>
      </c>
      <c r="O89" s="6" t="n">
        <v>3</v>
      </c>
      <c r="P89" s="6" t="n">
        <v>6357</v>
      </c>
      <c r="Q89" s="6" t="n">
        <v>1</v>
      </c>
      <c r="R89">
        <f>M89+IF(N89&gt;1,N(O89)*(N89-1),0)</f>
        <v/>
      </c>
      <c r="S89">
        <f>IFERROR(L89*MAX(N89,1)/R89*IF(ISBLANK(K87),1,K87),0)</f>
        <v/>
      </c>
      <c r="AB89" s="7" t="inlineStr">
        <is>
          <t>^Warhead_CannonHE_Medium</t>
        </is>
      </c>
    </row>
    <row r="90">
      <c r="B90" s="7" t="inlineStr">
        <is>
          <t xml:space="preserve">  ↳ AsianLynxMG</t>
        </is>
      </c>
      <c r="C90" s="7" t="inlineStr">
        <is>
          <t>Armament@MG</t>
        </is>
      </c>
      <c r="L90" s="6" t="n">
        <v>4000</v>
      </c>
      <c r="M90" s="6" t="n">
        <v>51</v>
      </c>
      <c r="N90" s="6" t="n">
        <v>3</v>
      </c>
      <c r="O90" s="6" t="n">
        <v>2</v>
      </c>
      <c r="P90" s="6" t="n">
        <v>5357</v>
      </c>
      <c r="Q90" s="6" t="n">
        <v>0.875</v>
      </c>
      <c r="R90">
        <f>M90+IF(N90&gt;1,N(O90)*(N90-1),0)</f>
        <v/>
      </c>
      <c r="S90">
        <f>IFERROR(L90*MAX(N90,1)/R90*IF(ISBLANK(K87),1,K87),0)</f>
        <v/>
      </c>
      <c r="AB90" s="7" t="inlineStr">
        <is>
          <t>^Warhead_Bullet_Light, ^Warhead_Bullet_Medium</t>
        </is>
      </c>
    </row>
    <row r="91">
      <c r="B91" s="7" t="inlineStr">
        <is>
          <t xml:space="preserve">  ↳ AsianLynxMG_elite</t>
        </is>
      </c>
      <c r="C91" s="7" t="inlineStr">
        <is>
          <t>Armament@MGelite</t>
        </is>
      </c>
      <c r="L91" s="6" t="n">
        <v>4000</v>
      </c>
      <c r="M91" s="6" t="n">
        <v>51</v>
      </c>
      <c r="N91" s="6" t="n">
        <v>6</v>
      </c>
      <c r="O91" s="6" t="n">
        <v>2</v>
      </c>
      <c r="P91" s="6" t="n">
        <v>6357</v>
      </c>
      <c r="Q91" s="6" t="n">
        <v>0.875</v>
      </c>
      <c r="R91">
        <f>M91+IF(N91&gt;1,N(O91)*(N91-1),0)</f>
        <v/>
      </c>
      <c r="S91">
        <f>IFERROR(L91*MAX(N91,1)/R91*IF(ISBLANK(K87),1,K87),0)</f>
        <v/>
      </c>
      <c r="AB91" s="7" t="inlineStr">
        <is>
          <t>^Warhead_Bullet_Light, ^Warhead_Bullet_Medium</t>
        </is>
      </c>
    </row>
    <row r="92">
      <c r="A92" t="inlineStr">
        <is>
          <t>redalert2mod</t>
        </is>
      </c>
      <c r="B92" t="inlineStr">
        <is>
          <t>ptnk.asian</t>
        </is>
      </c>
      <c r="C92" t="inlineStr">
        <is>
          <t>Plasma Tank</t>
        </is>
      </c>
      <c r="D92" s="6" t="inlineStr">
        <is>
          <t>MainBattleTank</t>
        </is>
      </c>
      <c r="E92" s="6" t="n">
        <v>130000</v>
      </c>
      <c r="F92" s="6" t="n">
        <v>50</v>
      </c>
      <c r="G92" t="inlineStr">
        <is>
          <t>Heavy</t>
        </is>
      </c>
      <c r="H92" s="6" t="n">
        <v>0.4853</v>
      </c>
      <c r="I92" s="6" t="n">
        <v>1</v>
      </c>
      <c r="J92" s="6" t="n">
        <v>1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(((E92/240000)+(F92/95)+(S92/600)+((P92/5500)*J92))*800/4+(((E92/240000)*(F92/95))+(((P92/5500)*J92)*(S92/600)))*800/2+((E92/240000)*(F92/95)*((P92/5500)*J92)*(S92/600))*800)*(H92/1.0)/3</f>
        <v/>
      </c>
      <c r="X92" s="6" t="n">
        <v>2400</v>
      </c>
      <c r="Y92">
        <f>IFERROR(W92-X92,"")</f>
        <v/>
      </c>
      <c r="Z92">
        <f>IFERROR(ABS(Y92)/MAX(X92,1),"")</f>
        <v/>
      </c>
      <c r="AA92">
        <f>IFERROR(ROUND(((3*X92-(((E92/240000)+(F92/95)+(S92/600))*800/4+((E92/240000)*(F92/95))*800/2)*(H92/1.0))/(800/4+((S92/600))*800/2+((E92/240000)*(F92/95)*(S92/600))*800)*(H92/1.0)*5500)/J92,-1),"")</f>
        <v/>
      </c>
    </row>
    <row r="93">
      <c r="B93" s="7" t="inlineStr">
        <is>
          <t xml:space="preserve">  ↳ AsianTwinPlasma</t>
        </is>
      </c>
      <c r="C93" s="7" t="inlineStr">
        <is>
          <t>Armament@PRIMARY</t>
        </is>
      </c>
      <c r="L93" s="6" t="n">
        <v>16000</v>
      </c>
      <c r="M93" s="6" t="n">
        <v>25</v>
      </c>
      <c r="N93" s="6" t="n">
        <v>2</v>
      </c>
      <c r="O93" s="6" t="n">
        <v>5</v>
      </c>
      <c r="P93" s="6" t="n">
        <v>7777</v>
      </c>
      <c r="Q93" s="6" t="n">
        <v>1.125</v>
      </c>
      <c r="R93">
        <f>M93+IF(N93&gt;1,N(O93)*(N93-1),0)</f>
        <v/>
      </c>
      <c r="S93">
        <f>IFERROR(L93*MAX(N93,1)/R93*IF(ISBLANK(K92),1,K92),0)</f>
        <v/>
      </c>
      <c r="AB93" s="7" t="inlineStr">
        <is>
          <t>^Warhead_CannonHE_Medium, ^Warhead_CannonHE_Heavy</t>
        </is>
      </c>
    </row>
    <row r="94">
      <c r="B94" s="7" t="inlineStr">
        <is>
          <t xml:space="preserve">  ↳ AsianTwinPlasma_elite</t>
        </is>
      </c>
      <c r="C94" s="7" t="inlineStr">
        <is>
          <t>Armament@ELITE</t>
        </is>
      </c>
      <c r="L94" s="6" t="n">
        <v>16000</v>
      </c>
      <c r="M94" s="6" t="n">
        <v>25</v>
      </c>
      <c r="N94" s="6" t="n">
        <v>4</v>
      </c>
      <c r="O94" s="6" t="n">
        <v>5</v>
      </c>
      <c r="P94" s="6" t="n">
        <v>8888</v>
      </c>
      <c r="Q94" s="6" t="n">
        <v>1.125</v>
      </c>
      <c r="R94">
        <f>M94+IF(N94&gt;1,N(O94)*(N94-1),0)</f>
        <v/>
      </c>
      <c r="S94">
        <f>IFERROR(L94*MAX(N94,1)/R94*IF(ISBLANK(K92),1,K92),0)</f>
        <v/>
      </c>
      <c r="AB94" s="7" t="inlineStr">
        <is>
          <t>^Warhead_CannonHE_Medium, ^Warhead_CannonHE_Heavy</t>
        </is>
      </c>
    </row>
    <row r="95">
      <c r="A95" t="inlineStr">
        <is>
          <t>redalert2mod</t>
        </is>
      </c>
      <c r="B95" t="inlineStr">
        <is>
          <t>oldqtnk.steel</t>
        </is>
      </c>
      <c r="C95" t="inlineStr">
        <is>
          <t>Beta Quantum Tank</t>
        </is>
      </c>
      <c r="D95" s="6" t="inlineStr">
        <is>
          <t>MainBattleTank</t>
        </is>
      </c>
      <c r="E95" s="6" t="n">
        <v>112500</v>
      </c>
      <c r="F95" s="6" t="n">
        <v>80</v>
      </c>
      <c r="G95" t="inlineStr">
        <is>
          <t>Heavy</t>
        </is>
      </c>
      <c r="H95" s="6" t="n">
        <v>1</v>
      </c>
      <c r="I95" s="6" t="n">
        <v>1</v>
      </c>
      <c r="J95" s="6" t="n">
        <v>1</v>
      </c>
      <c r="K95" s="6" t="n"/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(((E95/240000)+(F95/95)+(S95/600)+((P95/5500)*J95))*800/4+(((E95/240000)*(F95/95))+(((P95/5500)*J95)*(S95/600)))*800/2+((E95/240000)*(F95/95)*((P95/5500)*J95)*(S95/600))*800)*(H95/1.0)/3</f>
        <v/>
      </c>
      <c r="X95" s="6" t="n">
        <v>2400</v>
      </c>
      <c r="Y95">
        <f>IFERROR(W95-X95,"")</f>
        <v/>
      </c>
      <c r="Z95">
        <f>IFERROR(ABS(Y95)/MAX(X95,1),"")</f>
        <v/>
      </c>
      <c r="AA95">
        <f>IFERROR(ROUND(((3*X95-(((E95/240000)+(F95/95)+(S95/600))*800/4+((E95/240000)*(F95/95))*800/2)*(H95/1.0))/(800/4+((S95/600))*800/2+((E95/240000)*(F95/95)*(S95/600))*800)*(H95/1.0)*5500)/J95,-1),"")</f>
        <v/>
      </c>
    </row>
    <row r="96">
      <c r="B96" s="7" t="inlineStr">
        <is>
          <t xml:space="preserve">  ↳ SteelQuantumCannon_elite</t>
        </is>
      </c>
      <c r="C96" s="7" t="inlineStr">
        <is>
          <t>Armament</t>
        </is>
      </c>
      <c r="L96" s="6" t="n">
        <v>60000</v>
      </c>
      <c r="M96" s="6" t="n">
        <v>65</v>
      </c>
      <c r="N96" s="6" t="n">
        <v>1</v>
      </c>
      <c r="O96" s="6" t="n"/>
      <c r="P96" s="6" t="n">
        <v>7000</v>
      </c>
      <c r="Q96" s="6" t="n">
        <v>1</v>
      </c>
      <c r="R96">
        <f>M96+IF(N96&gt;1,N(O96)*(N96-1),0)</f>
        <v/>
      </c>
      <c r="S96">
        <f>IFERROR(L96*MAX(N96,1)/R96*IF(ISBLANK(K95),1,K95),0)</f>
        <v/>
      </c>
      <c r="AB96" s="7" t="inlineStr">
        <is>
          <t>^Warhead_Tesla_Heavy, ^Warhead_Laser_Heavy, ^Warhead_Railgun_Heavy</t>
        </is>
      </c>
    </row>
    <row r="97">
      <c r="A97" t="inlineStr">
        <is>
          <t>redalert2mod</t>
        </is>
      </c>
      <c r="B97" t="inlineStr">
        <is>
          <t>steelconsortium_mako</t>
        </is>
      </c>
      <c r="C97" t="inlineStr">
        <is>
          <t>Mako</t>
        </is>
      </c>
      <c r="D97" s="6" t="inlineStr">
        <is>
          <t>MainBattleTank</t>
        </is>
      </c>
      <c r="E97" s="6" t="n">
        <v>95000</v>
      </c>
      <c r="F97" s="6" t="n">
        <v>85</v>
      </c>
      <c r="G97" t="inlineStr">
        <is>
          <t>Heavy</t>
        </is>
      </c>
      <c r="H97" s="6" t="n">
        <v>1</v>
      </c>
      <c r="I97" s="6" t="n">
        <v>1</v>
      </c>
      <c r="J97" s="6" t="n">
        <v>0.75</v>
      </c>
      <c r="K97" s="6" t="n"/>
      <c r="P97">
        <f>MAX(P98,P99,P100,P101)</f>
        <v/>
      </c>
      <c r="S97">
        <f>S98+S99+S100+S101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(((E97/240000)+(F97/95)+(S97/600)+((P97/5500)*J97))*800/4+(((E97/240000)*(F97/95))+(((P97/5500)*J97)*(S97/600)))*800/2+((E97/240000)*(F97/95)*((P97/5500)*J97)*(S97/600))*800)*(H97/1.0)/3</f>
        <v/>
      </c>
      <c r="X97" s="6" t="n">
        <v>900</v>
      </c>
      <c r="Y97">
        <f>IFERROR(W97-X97,"")</f>
        <v/>
      </c>
      <c r="Z97">
        <f>IFERROR(ABS(Y97)/MAX(X97,1),"")</f>
        <v/>
      </c>
      <c r="AA97">
        <f>IFERROR(ROUND(((3*X97-(((E97/240000)+(F97/95)+(S97/600))*800/4+((E97/240000)*(F97/95))*800/2)*(H97/1.0))/(800/4+((S97/600))*800/2+((E97/240000)*(F97/95)*(S97/600))*800)*(H97/1.0)*5500)/J97,-1),"")</f>
        <v/>
      </c>
    </row>
    <row r="98">
      <c r="B98" s="7" t="inlineStr">
        <is>
          <t xml:space="preserve">  ↳ SteelMakoGun</t>
        </is>
      </c>
      <c r="C98" s="7" t="inlineStr">
        <is>
          <t>Armament@PRIMARY</t>
        </is>
      </c>
      <c r="L98" s="6" t="n">
        <v>8000</v>
      </c>
      <c r="M98" s="6" t="n">
        <v>25</v>
      </c>
      <c r="N98" s="6" t="n">
        <v>1</v>
      </c>
      <c r="O98" s="6" t="n"/>
      <c r="P98" s="6" t="n">
        <v>6050</v>
      </c>
      <c r="Q98" s="6" t="n">
        <v>1</v>
      </c>
      <c r="R98">
        <f>M98+IF(N98&gt;1,N(O98)*(N98-1),0)</f>
        <v/>
      </c>
      <c r="S98">
        <f>IFERROR(L98*MAX(N98,1)/R98*IF(ISBLANK(K97),1,K97),0)</f>
        <v/>
      </c>
      <c r="AB98" s="7" t="inlineStr">
        <is>
          <t>^Warhead_Demolition_Light, ^Warhead_Railgun_Heavy, ^Warhead_CannonHE_Medium</t>
        </is>
      </c>
    </row>
    <row r="99">
      <c r="B99" s="7" t="inlineStr">
        <is>
          <t xml:space="preserve">  ↳ SteelMakoGun_elite</t>
        </is>
      </c>
      <c r="C99" s="7" t="inlineStr">
        <is>
          <t>Armament@ELITE</t>
        </is>
      </c>
      <c r="L99" s="6" t="n">
        <v>8000</v>
      </c>
      <c r="M99" s="6" t="n">
        <v>25</v>
      </c>
      <c r="N99" s="6" t="n">
        <v>2</v>
      </c>
      <c r="O99" s="6" t="n">
        <v>3</v>
      </c>
      <c r="P99" s="6" t="n">
        <v>7050</v>
      </c>
      <c r="Q99" s="6" t="n">
        <v>1</v>
      </c>
      <c r="R99">
        <f>M99+IF(N99&gt;1,N(O99)*(N99-1),0)</f>
        <v/>
      </c>
      <c r="S99">
        <f>IFERROR(L99*MAX(N99,1)/R99*IF(ISBLANK(K97),1,K97),0)</f>
        <v/>
      </c>
      <c r="AB99" s="7" t="inlineStr">
        <is>
          <t>^Warhead_Demolition_Light, ^Warhead_Railgun_Heavy, ^Warhead_CannonHE_Medium</t>
        </is>
      </c>
    </row>
    <row r="100">
      <c r="B100" s="7" t="inlineStr">
        <is>
          <t xml:space="preserve">  ↳ SteelMakoGun_EMP</t>
        </is>
      </c>
      <c r="C100" s="7" t="inlineStr">
        <is>
          <t>Armament@UpgradePRIMARY</t>
        </is>
      </c>
      <c r="L100" s="6" t="n">
        <v>12000</v>
      </c>
      <c r="M100" s="6" t="n">
        <v>25</v>
      </c>
      <c r="N100" s="6" t="n">
        <v>1</v>
      </c>
      <c r="O100" s="6" t="n"/>
      <c r="P100" s="6" t="n">
        <v>6050</v>
      </c>
      <c r="Q100" s="6" t="n">
        <v>1</v>
      </c>
      <c r="R100">
        <f>M100+IF(N100&gt;1,N(O100)*(N100-1),0)</f>
        <v/>
      </c>
      <c r="S100">
        <f>IFERROR(L100*MAX(N100,1)/R100*IF(ISBLANK(K97),1,K97),0)</f>
        <v/>
      </c>
      <c r="AB100" s="7" t="inlineStr">
        <is>
          <t>^Warhead_Demolition_Light, ^Warhead_Railgun_Heavy, ^Warhead_CannonHE_Medium</t>
        </is>
      </c>
    </row>
    <row r="101">
      <c r="B101" s="7" t="inlineStr">
        <is>
          <t xml:space="preserve">  ↳ SteelMakoGun_EMP_elite</t>
        </is>
      </c>
      <c r="C101" s="7" t="inlineStr">
        <is>
          <t>Armament@UpgradeELITE</t>
        </is>
      </c>
      <c r="L101" s="6" t="n">
        <v>12000</v>
      </c>
      <c r="M101" s="6" t="n">
        <v>25</v>
      </c>
      <c r="N101" s="6" t="n">
        <v>2</v>
      </c>
      <c r="O101" s="6" t="n">
        <v>3</v>
      </c>
      <c r="P101" s="6" t="n">
        <v>7050</v>
      </c>
      <c r="Q101" s="6" t="n">
        <v>1</v>
      </c>
      <c r="R101">
        <f>M101+IF(N101&gt;1,N(O101)*(N101-1),0)</f>
        <v/>
      </c>
      <c r="S101">
        <f>IFERROR(L101*MAX(N101,1)/R101*IF(ISBLANK(K97),1,K97),0)</f>
        <v/>
      </c>
      <c r="AB101" s="7" t="inlineStr">
        <is>
          <t>^Warhead_Demolition_Light, ^Warhead_Railgun_Heavy, ^Warhead_CannonHE_Medium</t>
        </is>
      </c>
    </row>
    <row r="102">
      <c r="A102" t="inlineStr">
        <is>
          <t>redalert2mod</t>
        </is>
      </c>
      <c r="B102" t="inlineStr">
        <is>
          <t>steelconsortium_quantumtank</t>
        </is>
      </c>
      <c r="C102" t="inlineStr">
        <is>
          <t>Quantum Tank</t>
        </is>
      </c>
      <c r="D102" s="6" t="inlineStr">
        <is>
          <t>MainBattleTank</t>
        </is>
      </c>
      <c r="E102" s="6" t="n">
        <v>100000</v>
      </c>
      <c r="F102" s="6" t="n">
        <v>100</v>
      </c>
      <c r="G102" t="inlineStr">
        <is>
          <t>Heavy</t>
        </is>
      </c>
      <c r="H102" s="6" t="n">
        <v>0.8462</v>
      </c>
      <c r="I102" s="6" t="n">
        <v>1</v>
      </c>
      <c r="J102" s="6" t="n">
        <v>1</v>
      </c>
      <c r="K102" s="6" t="n"/>
      <c r="P102">
        <f>MAX(P103,P104,P105)</f>
        <v/>
      </c>
      <c r="S102">
        <f>S103+S104+S105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(((E102/240000)+(F102/95)+(S102/600)+((P102/5500)*J102))*800/4+(((E102/240000)*(F102/95))+(((P102/5500)*J102)*(S102/600)))*800/2+((E102/240000)*(F102/95)*((P102/5500)*J102)*(S102/600))*800)*(H102/1.0)/3</f>
        <v/>
      </c>
      <c r="X102" s="6" t="n">
        <v>1600</v>
      </c>
      <c r="Y102">
        <f>IFERROR(W102-X102,"")</f>
        <v/>
      </c>
      <c r="Z102">
        <f>IFERROR(ABS(Y102)/MAX(X102,1),"")</f>
        <v/>
      </c>
      <c r="AA102">
        <f>IFERROR(ROUND(((3*X102-(((E102/240000)+(F102/95)+(S102/600))*800/4+((E102/240000)*(F102/95))*800/2)*(H102/1.0))/(800/4+((S102/600))*800/2+((E102/240000)*(F102/95)*(S102/600))*800)*(H102/1.0)*5500)/J102,-1),"")</f>
        <v/>
      </c>
    </row>
    <row r="103">
      <c r="B103" s="7" t="inlineStr">
        <is>
          <t xml:space="preserve">  ↳ SteelQuantumCannon</t>
        </is>
      </c>
      <c r="C103" s="7" t="inlineStr">
        <is>
          <t>Armament</t>
        </is>
      </c>
      <c r="L103" s="6" t="n">
        <v>24000</v>
      </c>
      <c r="M103" s="6" t="n">
        <v>65</v>
      </c>
      <c r="N103" s="6" t="n">
        <v>1</v>
      </c>
      <c r="O103" s="6" t="n"/>
      <c r="P103" s="6" t="n">
        <v>6000</v>
      </c>
      <c r="Q103" s="6" t="n">
        <v>1.25</v>
      </c>
      <c r="R103">
        <f>M103+IF(N103&gt;1,N(O103)*(N103-1),0)</f>
        <v/>
      </c>
      <c r="S103">
        <f>IFERROR(L103*MAX(N103,1)/R103*IF(ISBLANK(K102),1,K102),0)</f>
        <v/>
      </c>
      <c r="AB103" s="7" t="inlineStr">
        <is>
          <t>^Warhead_Laser_Heavy, ^Warhead_Railgun_Heavy</t>
        </is>
      </c>
    </row>
    <row r="104">
      <c r="B104" s="7" t="inlineStr">
        <is>
          <t xml:space="preserve">  ↳ SteelQuantumCannon_EMP</t>
        </is>
      </c>
      <c r="C104" s="7" t="inlineStr">
        <is>
          <t>Armament@Upgrade</t>
        </is>
      </c>
      <c r="L104" s="6" t="n">
        <v>48000</v>
      </c>
      <c r="M104" s="6" t="n">
        <v>65</v>
      </c>
      <c r="N104" s="6" t="n">
        <v>1</v>
      </c>
      <c r="O104" s="6" t="n"/>
      <c r="P104" s="6" t="n">
        <v>6000</v>
      </c>
      <c r="Q104" s="6" t="n">
        <v>1</v>
      </c>
      <c r="R104">
        <f>M104+IF(N104&gt;1,N(O104)*(N104-1),0)</f>
        <v/>
      </c>
      <c r="S104">
        <f>IFERROR(L104*MAX(N104,1)/R104*IF(ISBLANK(K102),1,K102),0)</f>
        <v/>
      </c>
      <c r="AB104" s="7" t="inlineStr">
        <is>
          <t>^Warhead_Tesla_Heavy, ^Warhead_Laser_Heavy, ^Warhead_Railgun_Heavy</t>
        </is>
      </c>
    </row>
    <row r="105">
      <c r="B105" s="7" t="inlineStr">
        <is>
          <t xml:space="preserve">  ↳ SteelQuantumCannon_elite</t>
        </is>
      </c>
      <c r="C105" s="7" t="inlineStr">
        <is>
          <t>Armament@elite</t>
        </is>
      </c>
      <c r="L105" s="6" t="n">
        <v>60000</v>
      </c>
      <c r="M105" s="6" t="n">
        <v>65</v>
      </c>
      <c r="N105" s="6" t="n">
        <v>1</v>
      </c>
      <c r="O105" s="6" t="n"/>
      <c r="P105" s="6" t="n">
        <v>7000</v>
      </c>
      <c r="Q105" s="6" t="n">
        <v>1</v>
      </c>
      <c r="R105">
        <f>M105+IF(N105&gt;1,N(O105)*(N105-1),0)</f>
        <v/>
      </c>
      <c r="S105">
        <f>IFERROR(L105*MAX(N105,1)/R105*IF(ISBLANK(K102),1,K102),0)</f>
        <v/>
      </c>
      <c r="AB105" s="7" t="inlineStr">
        <is>
          <t>^Warhead_Tesla_Heavy, ^Warhead_Laser_Heavy, ^Warhead_Railgun_Heavy</t>
        </is>
      </c>
    </row>
    <row r="106">
      <c r="A106" t="inlineStr">
        <is>
          <t>redalert2mod</t>
        </is>
      </c>
      <c r="B106" t="inlineStr">
        <is>
          <t>latinsyndicate_smokertank</t>
        </is>
      </c>
      <c r="C106" t="inlineStr">
        <is>
          <t>Smoker Tank</t>
        </is>
      </c>
      <c r="D106" s="6" t="inlineStr">
        <is>
          <t>MainBattleTank</t>
        </is>
      </c>
      <c r="E106" s="6" t="n">
        <v>260000</v>
      </c>
      <c r="F106" s="6" t="n">
        <v>95</v>
      </c>
      <c r="G106" t="inlineStr">
        <is>
          <t>Heavy</t>
        </is>
      </c>
      <c r="H106" s="6" t="n">
        <v>1</v>
      </c>
      <c r="I106" s="6" t="n">
        <v>1</v>
      </c>
      <c r="J106" s="6" t="n">
        <v>1</v>
      </c>
      <c r="K106" s="6" t="n">
        <v>0.005</v>
      </c>
      <c r="P106">
        <f>MAX(P107,P108,P109,P110,P111,P112)</f>
        <v/>
      </c>
      <c r="S106">
        <f>S107+S108+S109+S110+S111+S112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(((E106/240000)+(F106/95)+(S106/600)+((P106/5500)*J106))*800/4+(((E106/240000)*(F106/95))+(((P106/5500)*J106)*(S106/600)))*800/2+((E106/240000)*(F106/95)*((P106/5500)*J106)*(S106/600))*800)*(H106/1.0)/3</f>
        <v/>
      </c>
      <c r="X106" s="6" t="n">
        <v>1800</v>
      </c>
      <c r="Y106">
        <f>IFERROR(W106-X106,"")</f>
        <v/>
      </c>
      <c r="Z106">
        <f>IFERROR(ABS(Y106)/MAX(X106,1),"")</f>
        <v/>
      </c>
      <c r="AA106">
        <f>IFERROR(ROUND(((3*X106-(((E106/240000)+(F106/95)+(S106/600))*800/4+((E106/240000)*(F106/95))*800/2)*(H106/1.0))/(800/4+((S106/600))*800/2+((E106/240000)*(F106/95)*(S106/600))*800)*(H106/1.0)*5500)/J106,-1),"")</f>
        <v/>
      </c>
    </row>
    <row r="107">
      <c r="B107" s="7" t="inlineStr">
        <is>
          <t xml:space="preserve">  ↳ LatinSmokerCannon</t>
        </is>
      </c>
      <c r="C107" s="7" t="inlineStr">
        <is>
          <t>Armament</t>
        </is>
      </c>
      <c r="L107" s="6" t="n">
        <v>12000</v>
      </c>
      <c r="M107" s="6" t="n">
        <v>65</v>
      </c>
      <c r="N107" s="6" t="n">
        <v>1</v>
      </c>
      <c r="O107" s="6" t="n"/>
      <c r="P107" s="6" t="n">
        <v>6550</v>
      </c>
      <c r="Q107" s="6" t="n">
        <v>1.125</v>
      </c>
      <c r="R107">
        <f>M107+IF(N107&gt;1,N(O107)*(N107-1),0)</f>
        <v/>
      </c>
      <c r="S107">
        <f>IFERROR(L107*MAX(N107,1)/R107*IF(ISBLANK(K106),1,K106),0)</f>
        <v/>
      </c>
      <c r="AB107" s="7" t="inlineStr">
        <is>
          <t>^Warhead_CannonHE_Heavy, ^Warhead_CannonHE_Medium</t>
        </is>
      </c>
    </row>
    <row r="108">
      <c r="B108" s="7" t="inlineStr">
        <is>
          <t xml:space="preserve">  ↳ LatinSmokerCannon_elite</t>
        </is>
      </c>
      <c r="C108" s="7" t="inlineStr">
        <is>
          <t>Armament@elite</t>
        </is>
      </c>
      <c r="L108" s="6" t="n">
        <v>12000</v>
      </c>
      <c r="M108" s="6" t="n">
        <v>65</v>
      </c>
      <c r="N108" s="6" t="n">
        <v>2</v>
      </c>
      <c r="O108" s="6" t="n">
        <v>3</v>
      </c>
      <c r="P108" s="6" t="n">
        <v>7550</v>
      </c>
      <c r="Q108" s="6" t="n">
        <v>1.125</v>
      </c>
      <c r="R108">
        <f>M108+IF(N108&gt;1,N(O108)*(N108-1),0)</f>
        <v/>
      </c>
      <c r="S108">
        <f>IFERROR(L108*MAX(N108,1)/R108*IF(ISBLANK(K106),1,K106),0)</f>
        <v/>
      </c>
      <c r="AB108" s="7" t="inlineStr">
        <is>
          <t>^Warhead_CannonHE_Heavy, ^Warhead_CannonHE_Medium</t>
        </is>
      </c>
    </row>
    <row r="109">
      <c r="B109" s="7" t="inlineStr">
        <is>
          <t xml:space="preserve">  ↳ RA2GrenadePack</t>
        </is>
      </c>
      <c r="C109" s="7" t="inlineStr">
        <is>
          <t>Armament@GrenadePack</t>
        </is>
      </c>
      <c r="L109" s="6" t="n">
        <v>6000</v>
      </c>
      <c r="M109" s="6" t="n">
        <v>110</v>
      </c>
      <c r="N109" s="6" t="n">
        <v>4</v>
      </c>
      <c r="O109" s="6" t="n">
        <v>2</v>
      </c>
      <c r="P109" s="6" t="n">
        <v>6550</v>
      </c>
      <c r="Q109" s="6" t="n">
        <v>1</v>
      </c>
      <c r="R109">
        <f>M109+IF(N109&gt;1,N(O109)*(N109-1),0)</f>
        <v/>
      </c>
      <c r="S109">
        <f>IFERROR(L109*MAX(N109,1)/R109*IF(ISBLANK(K106),1,K106),0)</f>
        <v/>
      </c>
      <c r="AB109" s="7" t="inlineStr">
        <is>
          <t>^Warhead_MissileAP_Heavy, ^Warhead_Concussion_Light, ^Warhead_Flak_Medium</t>
        </is>
      </c>
    </row>
    <row r="110">
      <c r="B110" s="7" t="inlineStr">
        <is>
          <t xml:space="preserve">  ↳ RA2GrenadePack_elite</t>
        </is>
      </c>
      <c r="C110" s="7" t="inlineStr">
        <is>
          <t>Armament@GrenadePackE</t>
        </is>
      </c>
      <c r="L110" s="6" t="n">
        <v>6000</v>
      </c>
      <c r="M110" s="6" t="n">
        <v>110</v>
      </c>
      <c r="N110" s="6" t="n">
        <v>8</v>
      </c>
      <c r="O110" s="6" t="n">
        <v>2</v>
      </c>
      <c r="P110" s="6" t="n">
        <v>7550</v>
      </c>
      <c r="Q110" s="6" t="n">
        <v>1</v>
      </c>
      <c r="R110">
        <f>M110+IF(N110&gt;1,N(O110)*(N110-1),0)</f>
        <v/>
      </c>
      <c r="S110">
        <f>IFERROR(L110*MAX(N110,1)/R110*IF(ISBLANK(K106),1,K106),0)</f>
        <v/>
      </c>
      <c r="AB110" s="7" t="inlineStr">
        <is>
          <t>^Warhead_MissileAP_Heavy, ^Warhead_Concussion_Light, ^Warhead_Flak_Medium</t>
        </is>
      </c>
    </row>
    <row r="111">
      <c r="B111" s="7" t="inlineStr">
        <is>
          <t xml:space="preserve">  ↳ LatinSmokerRocket</t>
        </is>
      </c>
      <c r="C111" s="7" t="inlineStr">
        <is>
          <t>Armament@AA</t>
        </is>
      </c>
      <c r="L111" s="6" t="n">
        <v>24000</v>
      </c>
      <c r="M111" s="6" t="n">
        <v>116</v>
      </c>
      <c r="N111" s="6" t="n">
        <v>1</v>
      </c>
      <c r="O111" s="6" t="n"/>
      <c r="P111" s="6" t="n">
        <v>6550</v>
      </c>
      <c r="Q111" s="6" t="n">
        <v>1</v>
      </c>
      <c r="R111">
        <f>M111+IF(N111&gt;1,N(O111)*(N111-1),0)</f>
        <v/>
      </c>
      <c r="S111">
        <f>IFERROR(L111*MAX(N111,1)/R111*IF(ISBLANK(K106),1,K106),0)</f>
        <v/>
      </c>
      <c r="AB111" s="7" t="inlineStr">
        <is>
          <t>^Warhead_MissileAP_Medium</t>
        </is>
      </c>
    </row>
    <row r="112">
      <c r="B112" s="7" t="inlineStr">
        <is>
          <t xml:space="preserve">  ↳ LatinSmokerRocket_elite</t>
        </is>
      </c>
      <c r="C112" s="7" t="inlineStr">
        <is>
          <t>Armament@AAE</t>
        </is>
      </c>
      <c r="L112" s="6" t="n">
        <v>48000</v>
      </c>
      <c r="M112" s="6" t="n">
        <v>116</v>
      </c>
      <c r="N112" s="6" t="n">
        <v>1</v>
      </c>
      <c r="O112" s="6" t="n"/>
      <c r="P112" s="6" t="n">
        <v>7550</v>
      </c>
      <c r="Q112" s="6" t="n">
        <v>1</v>
      </c>
      <c r="R112">
        <f>M112+IF(N112&gt;1,N(O112)*(N112-1),0)</f>
        <v/>
      </c>
      <c r="S112">
        <f>IFERROR(L112*MAX(N112,1)/R112*IF(ISBLANK(K106),1,K106),0)</f>
        <v/>
      </c>
      <c r="AB112" s="7" t="inlineStr">
        <is>
          <t>^Warhead_MissileAP_Medium</t>
        </is>
      </c>
    </row>
    <row r="113">
      <c r="A113" t="inlineStr">
        <is>
          <t>redalert2mod</t>
        </is>
      </c>
      <c r="B113" t="inlineStr">
        <is>
          <t>assault.nax</t>
        </is>
      </c>
      <c r="C113" t="inlineStr">
        <is>
          <t>Imperial Assault Tank</t>
        </is>
      </c>
      <c r="D113" s="6" t="inlineStr">
        <is>
          <t>MainBattleTank</t>
        </is>
      </c>
      <c r="E113" s="6" t="n">
        <v>130000</v>
      </c>
      <c r="F113" s="6" t="n">
        <v>100</v>
      </c>
      <c r="G113" t="inlineStr">
        <is>
          <t>Heavy</t>
        </is>
      </c>
      <c r="H113" s="6" t="n">
        <v>1</v>
      </c>
      <c r="I113" s="6" t="n">
        <v>1</v>
      </c>
      <c r="J113" s="6" t="n">
        <v>1</v>
      </c>
      <c r="K113" s="6" t="n">
        <v>0.012</v>
      </c>
      <c r="P113">
        <f>MAX(P114,P115,P116)</f>
        <v/>
      </c>
      <c r="S113">
        <f>S114+S115+S116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(((E113/240000)+(F113/95)+(S113/600)+((P113/5500)*J113))*800/4+(((E113/240000)*(F113/95))+(((P113/5500)*J113)*(S113/600)))*800/2+((E113/240000)*(F113/95)*((P113/5500)*J113)*(S113/600))*800)*(H113/1.0)/3</f>
        <v/>
      </c>
      <c r="X113" s="6" t="n">
        <v>900</v>
      </c>
      <c r="Y113">
        <f>IFERROR(W113-X113,"")</f>
        <v/>
      </c>
      <c r="Z113">
        <f>IFERROR(ABS(Y113)/MAX(X113,1),"")</f>
        <v/>
      </c>
      <c r="AA113">
        <f>IFERROR(ROUND(((3*X113-(((E113/240000)+(F113/95)+(S113/600))*800/4+((E113/240000)*(F113/95))*800/2)*(H113/1.0))/(800/4+((S113/600))*800/2+((E113/240000)*(F113/95)*(S113/600))*800)*(H113/1.0)*5500)/J113,-1),"")</f>
        <v/>
      </c>
    </row>
    <row r="114">
      <c r="B114" s="7" t="inlineStr">
        <is>
          <t xml:space="preserve">  ↳ Nax120mmAssault</t>
        </is>
      </c>
      <c r="C114" s="7" t="inlineStr">
        <is>
          <t>Armament</t>
        </is>
      </c>
      <c r="L114" s="6" t="n">
        <v>10000</v>
      </c>
      <c r="M114" s="6" t="n">
        <v>28</v>
      </c>
      <c r="N114" s="6" t="n">
        <v>1</v>
      </c>
      <c r="O114" s="6" t="n"/>
      <c r="P114" s="6" t="n">
        <v>5200</v>
      </c>
      <c r="Q114" s="6" t="n">
        <v>1</v>
      </c>
      <c r="R114">
        <f>M114+IF(N114&gt;1,N(O114)*(N114-1),0)</f>
        <v/>
      </c>
      <c r="S114">
        <f>IFERROR(L114*MAX(N114,1)/R114*IF(ISBLANK(K113),1,K113),0)</f>
        <v/>
      </c>
      <c r="AB114" s="7" t="inlineStr">
        <is>
          <t>^Warhead_CannonHE_Medium</t>
        </is>
      </c>
    </row>
    <row r="115">
      <c r="B115" s="7" t="inlineStr">
        <is>
          <t xml:space="preserve">  ↳ Nax120mmAssault_elite</t>
        </is>
      </c>
      <c r="C115" s="7" t="inlineStr">
        <is>
          <t>Armament@elite</t>
        </is>
      </c>
      <c r="L115" s="6" t="n">
        <v>10000</v>
      </c>
      <c r="M115" s="6" t="n">
        <v>28</v>
      </c>
      <c r="N115" s="6" t="n">
        <v>2</v>
      </c>
      <c r="O115" s="6" t="n">
        <v>3</v>
      </c>
      <c r="P115" s="6" t="n">
        <v>6200</v>
      </c>
      <c r="Q115" s="6" t="n">
        <v>1</v>
      </c>
      <c r="R115">
        <f>M115+IF(N115&gt;1,N(O115)*(N115-1),0)</f>
        <v/>
      </c>
      <c r="S115">
        <f>IFERROR(L115*MAX(N115,1)/R115*IF(ISBLANK(K113),1,K113),0)</f>
        <v/>
      </c>
      <c r="AB115" s="7" t="inlineStr">
        <is>
          <t>^Warhead_CannonHE_Medium</t>
        </is>
      </c>
    </row>
    <row r="116">
      <c r="B116" s="7" t="inlineStr">
        <is>
          <t xml:space="preserve">  ↳ SyndicateFireballLauncher</t>
        </is>
      </c>
      <c r="C116" s="7" t="inlineStr">
        <is>
          <t>Armament@Flam</t>
        </is>
      </c>
      <c r="L116" s="6" t="n">
        <v>6000</v>
      </c>
      <c r="M116" s="6" t="n">
        <v>44</v>
      </c>
      <c r="N116" s="6" t="n">
        <v>4</v>
      </c>
      <c r="O116" s="6" t="n">
        <v>4</v>
      </c>
      <c r="P116" s="6" t="n">
        <v>5555</v>
      </c>
      <c r="Q116" s="6" t="n">
        <v>1</v>
      </c>
      <c r="R116">
        <f>M116+IF(N116&gt;1,N(O116)*(N116-1),0)</f>
        <v/>
      </c>
      <c r="S116">
        <f>IFERROR(L116*MAX(N116,1)/R116*IF(ISBLANK(K113),1,K113),0)</f>
        <v/>
      </c>
      <c r="AB116" s="7" t="inlineStr">
        <is>
          <t>^Warhead_Flame_Light, ^Warhead_Flame_Medium, ^Warhead_Flame_Heavy</t>
        </is>
      </c>
    </row>
    <row r="117">
      <c r="A117" t="inlineStr">
        <is>
          <t>redalert2mod</t>
        </is>
      </c>
      <c r="B117" t="inlineStr">
        <is>
          <t>naxis_kingtigerheavytank</t>
        </is>
      </c>
      <c r="C117" t="inlineStr">
        <is>
          <t>King Tiger Heavy Tank</t>
        </is>
      </c>
      <c r="D117" s="6" t="inlineStr">
        <is>
          <t>MainBattleTank</t>
        </is>
      </c>
      <c r="E117" s="6" t="n">
        <v>200000</v>
      </c>
      <c r="F117" s="6" t="n">
        <v>100</v>
      </c>
      <c r="G117" t="inlineStr">
        <is>
          <t>Heavy</t>
        </is>
      </c>
      <c r="H117" s="6" t="n">
        <v>1</v>
      </c>
      <c r="I117" s="6" t="n">
        <v>1</v>
      </c>
      <c r="J117" s="6" t="n">
        <v>1</v>
      </c>
      <c r="K117" s="6" t="n"/>
      <c r="P117">
        <f>MAX(P118,P119)</f>
        <v/>
      </c>
      <c r="S117">
        <f>S118+S119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(((E117/240000)+(F117/95)+(S117/600)+((P117/5500)*J117))*800/4+(((E117/240000)*(F117/95))+(((P117/5500)*J117)*(S117/600)))*800/2+((E117/240000)*(F117/95)*((P117/5500)*J117)*(S117/600))*800)*(H117/1.0)/3</f>
        <v/>
      </c>
      <c r="X117" s="6" t="n">
        <v>2000</v>
      </c>
      <c r="Y117">
        <f>IFERROR(W117-X117,"")</f>
        <v/>
      </c>
      <c r="Z117">
        <f>IFERROR(ABS(Y117)/MAX(X117,1),"")</f>
        <v/>
      </c>
      <c r="AA117">
        <f>IFERROR(ROUND(((3*X117-(((E117/240000)+(F117/95)+(S117/600))*800/4+((E117/240000)*(F117/95))*800/2)*(H117/1.0))/(800/4+((S117/600))*800/2+((E117/240000)*(F117/95)*(S117/600))*800)*(H117/1.0)*5500)/J117,-1),"")</f>
        <v/>
      </c>
    </row>
    <row r="118">
      <c r="B118" s="7" t="inlineStr">
        <is>
          <t xml:space="preserve">  ↳ KingNaxTigerCannon</t>
        </is>
      </c>
      <c r="C118" s="7" t="inlineStr">
        <is>
          <t>Armament</t>
        </is>
      </c>
      <c r="L118" s="6" t="n">
        <v>20000</v>
      </c>
      <c r="M118" s="6" t="n">
        <v>50</v>
      </c>
      <c r="N118" s="6" t="n">
        <v>1</v>
      </c>
      <c r="O118" s="6" t="n"/>
      <c r="P118" s="6" t="n">
        <v>5000</v>
      </c>
      <c r="Q118" s="6" t="n">
        <v>1</v>
      </c>
      <c r="R118">
        <f>M118+IF(N118&gt;1,N(O118)*(N118-1),0)</f>
        <v/>
      </c>
      <c r="S118">
        <f>IFERROR(L118*MAX(N118,1)/R118*IF(ISBLANK(K117),1,K117),0)</f>
        <v/>
      </c>
      <c r="AB118" s="7" t="inlineStr">
        <is>
          <t>^Warhead_CannonHE_Medium</t>
        </is>
      </c>
    </row>
    <row r="119">
      <c r="B119" s="7" t="inlineStr">
        <is>
          <t xml:space="preserve">  ↳ KingNaxTigerCannon_elite</t>
        </is>
      </c>
      <c r="C119" s="7" t="inlineStr">
        <is>
          <t>Armament@elite</t>
        </is>
      </c>
      <c r="L119" s="6" t="n">
        <v>20000</v>
      </c>
      <c r="M119" s="6" t="n">
        <v>50</v>
      </c>
      <c r="N119" s="6" t="n">
        <v>2</v>
      </c>
      <c r="O119" s="6" t="n">
        <v>3</v>
      </c>
      <c r="P119" s="6" t="n">
        <v>6000</v>
      </c>
      <c r="Q119" s="6" t="n">
        <v>1</v>
      </c>
      <c r="R119">
        <f>M119+IF(N119&gt;1,N(O119)*(N119-1),0)</f>
        <v/>
      </c>
      <c r="S119">
        <f>IFERROR(L119*MAX(N119,1)/R119*IF(ISBLANK(K117),1,K117),0)</f>
        <v/>
      </c>
      <c r="AB119" s="7" t="inlineStr">
        <is>
          <t>^Warhead_CannonHE_Medium</t>
        </is>
      </c>
    </row>
    <row r="120">
      <c r="A120" t="inlineStr">
        <is>
          <t>redalert2mod</t>
        </is>
      </c>
      <c r="B120" t="inlineStr">
        <is>
          <t>tiger.nax</t>
        </is>
      </c>
      <c r="C120" t="inlineStr">
        <is>
          <t>Tiger Heavy Tank</t>
        </is>
      </c>
      <c r="D120" s="6" t="inlineStr">
        <is>
          <t>MainBattleTank</t>
        </is>
      </c>
      <c r="E120" s="6" t="n">
        <v>100000</v>
      </c>
      <c r="F120" s="6" t="n">
        <v>100</v>
      </c>
      <c r="G120" t="inlineStr">
        <is>
          <t>Heavy</t>
        </is>
      </c>
      <c r="H120" s="6" t="n">
        <v>1</v>
      </c>
      <c r="I120" s="6" t="n">
        <v>1</v>
      </c>
      <c r="J120" s="6" t="n">
        <v>1</v>
      </c>
      <c r="K120" s="6" t="n"/>
      <c r="P120">
        <f>MAX(P121,P122)</f>
        <v/>
      </c>
      <c r="S120">
        <f>S121+S122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(((E120/240000)+(F120/95)+(S120/600)+((P120/5500)*J120))*800/4+(((E120/240000)*(F120/95))+(((P120/5500)*J120)*(S120/600)))*800/2+((E120/240000)*(F120/95)*((P120/5500)*J120)*(S120/600))*800)*(H120/1.0)/3</f>
        <v/>
      </c>
      <c r="X120" s="6" t="n">
        <v>800</v>
      </c>
      <c r="Y120">
        <f>IFERROR(W120-X120,"")</f>
        <v/>
      </c>
      <c r="Z120">
        <f>IFERROR(ABS(Y120)/MAX(X120,1),"")</f>
        <v/>
      </c>
      <c r="AA120">
        <f>IFERROR(ROUND(((3*X120-(((E120/240000)+(F120/95)+(S120/600))*800/4+((E120/240000)*(F120/95))*800/2)*(H120/1.0))/(800/4+((S120/600))*800/2+((E120/240000)*(F120/95)*(S120/600))*800)*(H120/1.0)*5500)/J120,-1),"")</f>
        <v/>
      </c>
    </row>
    <row r="121">
      <c r="B121" s="7" t="inlineStr">
        <is>
          <t xml:space="preserve">  ↳ NaxTigerCannon</t>
        </is>
      </c>
      <c r="C121" s="7" t="inlineStr">
        <is>
          <t>Armament</t>
        </is>
      </c>
      <c r="L121" s="6" t="n">
        <v>10000</v>
      </c>
      <c r="M121" s="6" t="n">
        <v>50</v>
      </c>
      <c r="N121" s="6" t="n">
        <v>1</v>
      </c>
      <c r="O121" s="6" t="n"/>
      <c r="P121" s="6" t="n">
        <v>5000</v>
      </c>
      <c r="Q121" s="6" t="n">
        <v>1</v>
      </c>
      <c r="R121">
        <f>M121+IF(N121&gt;1,N(O121)*(N121-1),0)</f>
        <v/>
      </c>
      <c r="S121">
        <f>IFERROR(L121*MAX(N121,1)/R121*IF(ISBLANK(K120),1,K120),0)</f>
        <v/>
      </c>
      <c r="AB121" s="7" t="inlineStr">
        <is>
          <t>^Warhead_CannonHE_Medium</t>
        </is>
      </c>
    </row>
    <row r="122">
      <c r="B122" s="7" t="inlineStr">
        <is>
          <t xml:space="preserve">  ↳ NaxTigerCannon_elite</t>
        </is>
      </c>
      <c r="C122" s="7" t="inlineStr">
        <is>
          <t>Armament@elite</t>
        </is>
      </c>
      <c r="L122" s="6" t="n">
        <v>10000</v>
      </c>
      <c r="M122" s="6" t="n">
        <v>50</v>
      </c>
      <c r="N122" s="6" t="n">
        <v>2</v>
      </c>
      <c r="O122" s="6" t="n">
        <v>3</v>
      </c>
      <c r="P122" s="6" t="n">
        <v>6000</v>
      </c>
      <c r="Q122" s="6" t="n">
        <v>1</v>
      </c>
      <c r="R122">
        <f>M122+IF(N122&gt;1,N(O122)*(N122-1),0)</f>
        <v/>
      </c>
      <c r="S122">
        <f>IFERROR(L122*MAX(N122,1)/R122*IF(ISBLANK(K120),1,K120),0)</f>
        <v/>
      </c>
      <c r="AB122" s="7" t="inlineStr">
        <is>
          <t>^Warhead_CannonHE_Medium</t>
        </is>
      </c>
    </row>
    <row r="123">
      <c r="A123" t="inlineStr">
        <is>
          <t>redalert2mod</t>
        </is>
      </c>
      <c r="B123" t="inlineStr">
        <is>
          <t>schwarzermond_lunartiger</t>
        </is>
      </c>
      <c r="C123" t="inlineStr">
        <is>
          <t>Lunar Tiger</t>
        </is>
      </c>
      <c r="D123" s="6" t="inlineStr">
        <is>
          <t>MainBattleTank</t>
        </is>
      </c>
      <c r="E123" s="6" t="n">
        <v>160000</v>
      </c>
      <c r="F123" s="6" t="n">
        <v>80</v>
      </c>
      <c r="G123" t="inlineStr">
        <is>
          <t>Heavy</t>
        </is>
      </c>
      <c r="H123" s="6" t="n">
        <v>0.6846</v>
      </c>
      <c r="I123" s="6" t="n">
        <v>1</v>
      </c>
      <c r="J123" s="6" t="n">
        <v>1</v>
      </c>
      <c r="K123" s="6" t="n"/>
      <c r="P123">
        <f>MAX(P124,P125,P126,P127)</f>
        <v/>
      </c>
      <c r="S123">
        <f>S124+S125+S126+S127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(((E123/240000)+(F123/95)+(S123/600)+((P123/5500)*J123))*800/4+(((E123/240000)*(F123/95))+(((P123/5500)*J123)*(S123/600)))*800/2+((E123/240000)*(F123/95)*((P123/5500)*J123)*(S123/600))*800)*(H123/1.0)/3</f>
        <v/>
      </c>
      <c r="X123" s="6" t="n">
        <v>950</v>
      </c>
      <c r="Y123">
        <f>IFERROR(W123-X123,"")</f>
        <v/>
      </c>
      <c r="Z123">
        <f>IFERROR(ABS(Y123)/MAX(X123,1),"")</f>
        <v/>
      </c>
      <c r="AA123">
        <f>IFERROR(ROUND(((3*X123-(((E123/240000)+(F123/95)+(S123/600))*800/4+((E123/240000)*(F123/95))*800/2)*(H123/1.0))/(800/4+((S123/600))*800/2+((E123/240000)*(F123/95)*(S123/600))*800)*(H123/1.0)*5500)/J123,-1),"")</f>
        <v/>
      </c>
    </row>
    <row r="124">
      <c r="B124" s="7" t="inlineStr">
        <is>
          <t xml:space="preserve">  ↳ LunarTigerCannon</t>
        </is>
      </c>
      <c r="C124" s="7" t="inlineStr">
        <is>
          <t>Armament</t>
        </is>
      </c>
      <c r="L124" s="6" t="n">
        <v>16000</v>
      </c>
      <c r="M124" s="6" t="n">
        <v>80</v>
      </c>
      <c r="N124" s="6" t="n">
        <v>1</v>
      </c>
      <c r="O124" s="6" t="n"/>
      <c r="P124" s="6" t="n">
        <v>5105</v>
      </c>
      <c r="Q124" s="6" t="n">
        <v>1</v>
      </c>
      <c r="R124">
        <f>M124+IF(N124&gt;1,N(O124)*(N124-1),0)</f>
        <v/>
      </c>
      <c r="S124">
        <f>IFERROR(L124*MAX(N124,1)/R124*IF(ISBLANK(K123),1,K123),0)</f>
        <v/>
      </c>
      <c r="AB124" s="7" t="inlineStr">
        <is>
          <t>^Warhead_CannonHE_Medium</t>
        </is>
      </c>
    </row>
    <row r="125">
      <c r="B125" s="7" t="inlineStr">
        <is>
          <t xml:space="preserve">  ↳ LunarTigerCannon_elite</t>
        </is>
      </c>
      <c r="C125" s="7" t="inlineStr">
        <is>
          <t>Armament@elite</t>
        </is>
      </c>
      <c r="L125" s="6" t="n">
        <v>16000</v>
      </c>
      <c r="M125" s="6" t="n">
        <v>80</v>
      </c>
      <c r="N125" s="6" t="n">
        <v>2</v>
      </c>
      <c r="O125" s="6" t="n">
        <v>3</v>
      </c>
      <c r="P125" s="6" t="n">
        <v>6105</v>
      </c>
      <c r="Q125" s="6" t="n">
        <v>1</v>
      </c>
      <c r="R125">
        <f>M125+IF(N125&gt;1,N(O125)*(N125-1),0)</f>
        <v/>
      </c>
      <c r="S125">
        <f>IFERROR(L125*MAX(N125,1)/R125*IF(ISBLANK(K123),1,K123),0)</f>
        <v/>
      </c>
      <c r="AB125" s="7" t="inlineStr">
        <is>
          <t>^Warhead_CannonHE_Medium</t>
        </is>
      </c>
    </row>
    <row r="126">
      <c r="B126" s="7" t="inlineStr">
        <is>
          <t xml:space="preserve">  ↳ Lunar_GreenTigerCannon</t>
        </is>
      </c>
      <c r="C126" s="7" t="inlineStr">
        <is>
          <t>Armament@-upgrade</t>
        </is>
      </c>
      <c r="L126" s="6" t="n">
        <v>20000</v>
      </c>
      <c r="M126" s="6" t="n">
        <v>80</v>
      </c>
      <c r="N126" s="6" t="n">
        <v>1</v>
      </c>
      <c r="O126" s="6" t="n"/>
      <c r="P126" s="6" t="n">
        <v>5105</v>
      </c>
      <c r="Q126" s="6" t="n">
        <v>1.125</v>
      </c>
      <c r="R126">
        <f>M126+IF(N126&gt;1,N(O126)*(N126-1),0)</f>
        <v/>
      </c>
      <c r="S126">
        <f>IFERROR(L126*MAX(N126,1)/R126*IF(ISBLANK(K123),1,K123),0)</f>
        <v/>
      </c>
      <c r="AB126" s="7" t="inlineStr">
        <is>
          <t>^Warhead_Tesla_Heavy, ^Warhead_CannonHE_Medium</t>
        </is>
      </c>
    </row>
    <row r="127">
      <c r="B127" s="7" t="inlineStr">
        <is>
          <t xml:space="preserve">  ↳ Lunar_GreenTigerCannon_elite</t>
        </is>
      </c>
      <c r="C127" s="7" t="inlineStr">
        <is>
          <t>Armament@elite-upgrade</t>
        </is>
      </c>
      <c r="L127" s="6" t="n">
        <v>20000</v>
      </c>
      <c r="M127" s="6" t="n">
        <v>80</v>
      </c>
      <c r="N127" s="6" t="n">
        <v>2</v>
      </c>
      <c r="O127" s="6" t="n">
        <v>3</v>
      </c>
      <c r="P127" s="6" t="n">
        <v>6105</v>
      </c>
      <c r="Q127" s="6" t="n">
        <v>1.125</v>
      </c>
      <c r="R127">
        <f>M127+IF(N127&gt;1,N(O127)*(N127-1),0)</f>
        <v/>
      </c>
      <c r="S127">
        <f>IFERROR(L127*MAX(N127,1)/R127*IF(ISBLANK(K123),1,K123),0)</f>
        <v/>
      </c>
      <c r="AB127" s="7" t="inlineStr">
        <is>
          <t>^Warhead_Tesla_Heavy, ^Warhead_CannonHE_Medium</t>
        </is>
      </c>
    </row>
    <row r="128">
      <c r="A128" t="inlineStr">
        <is>
          <t>redalert2mod</t>
        </is>
      </c>
      <c r="B128" t="inlineStr">
        <is>
          <t>futuretech_cannondroid</t>
        </is>
      </c>
      <c r="C128" t="inlineStr">
        <is>
          <t>Cannon Droid</t>
        </is>
      </c>
      <c r="D128" s="6" t="inlineStr">
        <is>
          <t>MainBattleTank</t>
        </is>
      </c>
      <c r="E128" s="6" t="n">
        <v>80000</v>
      </c>
      <c r="F128" s="6" t="n">
        <v>35</v>
      </c>
      <c r="G128" t="inlineStr">
        <is>
          <t>Plate</t>
        </is>
      </c>
      <c r="H128" s="6" t="n">
        <v>0.5305</v>
      </c>
      <c r="I128" s="6" t="n">
        <v>1</v>
      </c>
      <c r="J128" s="6" t="n">
        <v>1</v>
      </c>
      <c r="K128" s="6" t="n"/>
      <c r="P128">
        <f>MAX(P129,P130)</f>
        <v/>
      </c>
      <c r="S128">
        <f>S129+S130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(((E128/50000)+(F128/50)+(S128/1000)+((P128/5000)*J128))*800/4+(((E128/50000)*(F128/50))+(((P128/5000)*J128)*(S128/1000)))*800/2+((E128/50000)*(F128/50)*((P128/5000)*J128)*(S128/1000))*800)*(H128/0.75)/3</f>
        <v/>
      </c>
      <c r="X128" s="6" t="n">
        <v>525</v>
      </c>
      <c r="Y128">
        <f>IFERROR(W128-X128,"")</f>
        <v/>
      </c>
      <c r="Z128">
        <f>IFERROR(ABS(Y128)/MAX(X128,1),"")</f>
        <v/>
      </c>
      <c r="AA128">
        <f>IFERROR(ROUND(((3*X128-(((E128/50000)+(F128/50)+(S128/1000))*800/4+((E128/50000)*(F128/50))*800/2)*(H128/0.75))/(800/4+((S128/1000))*800/2+((E128/50000)*(F128/50)*(S128/1000))*800)*(H128/0.75)*5000)/J128,-1),"")</f>
        <v/>
      </c>
    </row>
    <row r="129">
      <c r="B129" s="7" t="inlineStr">
        <is>
          <t xml:space="preserve">  ↳ CannonAttackRobotGun</t>
        </is>
      </c>
      <c r="C129" s="7" t="inlineStr">
        <is>
          <t>Armament@PRIMARY</t>
        </is>
      </c>
      <c r="L129" s="6" t="n">
        <v>8000</v>
      </c>
      <c r="M129" s="6" t="n">
        <v>25</v>
      </c>
      <c r="N129" s="6" t="n">
        <v>1</v>
      </c>
      <c r="O129" s="6" t="n"/>
      <c r="P129" s="6" t="n">
        <v>6000</v>
      </c>
      <c r="Q129" s="6" t="n">
        <v>1.125</v>
      </c>
      <c r="R129">
        <f>M129+IF(N129&gt;1,N(O129)*(N129-1),0)</f>
        <v/>
      </c>
      <c r="S129">
        <f>IFERROR(L129*MAX(N129,1)/R129*IF(ISBLANK(K128),1,K128),0)</f>
        <v/>
      </c>
      <c r="AB129" s="7" t="inlineStr">
        <is>
          <t>^Warhead_Railgun_Heavy, ^Warhead_CannonHE_Medium</t>
        </is>
      </c>
    </row>
    <row r="130">
      <c r="B130" s="7" t="inlineStr">
        <is>
          <t xml:space="preserve">  ↳ CannonAttackRobotGun_elite</t>
        </is>
      </c>
      <c r="C130" s="7" t="inlineStr">
        <is>
          <t>Armament@ELITE</t>
        </is>
      </c>
      <c r="L130" s="6" t="n">
        <v>8000</v>
      </c>
      <c r="M130" s="6" t="n">
        <v>25</v>
      </c>
      <c r="N130" s="6" t="n">
        <v>2</v>
      </c>
      <c r="O130" s="6" t="n">
        <v>3</v>
      </c>
      <c r="P130" s="6" t="n">
        <v>7000</v>
      </c>
      <c r="Q130" s="6" t="n">
        <v>1.125</v>
      </c>
      <c r="R130">
        <f>M130+IF(N130&gt;1,N(O130)*(N130-1),0)</f>
        <v/>
      </c>
      <c r="S130">
        <f>IFERROR(L130*MAX(N130,1)/R130*IF(ISBLANK(K128),1,K128),0)</f>
        <v/>
      </c>
      <c r="AB130" s="7" t="inlineStr">
        <is>
          <t>^Warhead_Railgun_Heavy, ^Warhead_CannonHE_Medium</t>
        </is>
      </c>
    </row>
    <row r="131">
      <c r="A131" t="inlineStr">
        <is>
          <t>redalert2mod</t>
        </is>
      </c>
      <c r="B131" t="inlineStr">
        <is>
          <t>futuretech_guardiantank</t>
        </is>
      </c>
      <c r="C131" t="inlineStr">
        <is>
          <t>Guardian Tank</t>
        </is>
      </c>
      <c r="D131" s="6" t="inlineStr">
        <is>
          <t>MainBattleTank</t>
        </is>
      </c>
      <c r="E131" s="6" t="n">
        <v>115000</v>
      </c>
      <c r="F131" s="6" t="n">
        <v>85</v>
      </c>
      <c r="G131" t="inlineStr">
        <is>
          <t>Heavy</t>
        </is>
      </c>
      <c r="H131" s="6" t="n">
        <v>0.8639</v>
      </c>
      <c r="I131" s="6" t="n">
        <v>1</v>
      </c>
      <c r="J131" s="6" t="n">
        <v>1</v>
      </c>
      <c r="K131" s="6" t="n"/>
      <c r="P131">
        <f>MAX(P132,P133)</f>
        <v/>
      </c>
      <c r="S131">
        <f>S132+S133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(((E131/240000)+(F131/95)+(S131/600)+((P131/5500)*J131))*800/4+(((E131/240000)*(F131/95))+(((P131/5500)*J131)*(S131/600)))*800/2+((E131/240000)*(F131/95)*((P131/5500)*J131)*(S131/600))*800)*(H131/1.0)/3</f>
        <v/>
      </c>
      <c r="X131" s="6" t="n">
        <v>850</v>
      </c>
      <c r="Y131">
        <f>IFERROR(W131-X131,"")</f>
        <v/>
      </c>
      <c r="Z131">
        <f>IFERROR(ABS(Y131)/MAX(X131,1),"")</f>
        <v/>
      </c>
      <c r="AA131">
        <f>IFERROR(ROUND(((3*X131-(((E131/240000)+(F131/95)+(S131/600))*800/4+((E131/240000)*(F131/95))*800/2)*(H131/1.0))/(800/4+((S131/600))*800/2+((E131/240000)*(F131/95)*(S131/600))*800)*(H131/1.0)*5500)/J131,-1),"")</f>
        <v/>
      </c>
    </row>
    <row r="132">
      <c r="B132" s="7" t="inlineStr">
        <is>
          <t xml:space="preserve">  ↳ GuardianTankCannon</t>
        </is>
      </c>
      <c r="C132" s="7" t="inlineStr">
        <is>
          <t>Armament</t>
        </is>
      </c>
      <c r="L132" s="6" t="n">
        <v>12000</v>
      </c>
      <c r="M132" s="6" t="n">
        <v>85</v>
      </c>
      <c r="N132" s="6" t="n">
        <v>1</v>
      </c>
      <c r="O132" s="6" t="n"/>
      <c r="P132" s="6" t="n">
        <v>7820</v>
      </c>
      <c r="Q132" s="6" t="n">
        <v>1</v>
      </c>
      <c r="R132">
        <f>M132+IF(N132&gt;1,N(O132)*(N132-1),0)</f>
        <v/>
      </c>
      <c r="S132">
        <f>IFERROR(L132*MAX(N132,1)/R132*IF(ISBLANK(K131),1,K131),0)</f>
        <v/>
      </c>
      <c r="AB132" s="7" t="inlineStr">
        <is>
          <t>^Warhead_CannonHE_Medium</t>
        </is>
      </c>
    </row>
    <row r="133">
      <c r="B133" s="7" t="inlineStr">
        <is>
          <t xml:space="preserve">  ↳ GuardianTankCannon_elite</t>
        </is>
      </c>
      <c r="C133" s="7" t="inlineStr">
        <is>
          <t>Armament@elite</t>
        </is>
      </c>
      <c r="L133" s="6" t="n">
        <v>12000</v>
      </c>
      <c r="M133" s="6" t="n">
        <v>85</v>
      </c>
      <c r="N133" s="6" t="n">
        <v>2</v>
      </c>
      <c r="O133" s="6" t="n">
        <v>3</v>
      </c>
      <c r="P133" s="6" t="n">
        <v>8820</v>
      </c>
      <c r="Q133" s="6" t="n">
        <v>1</v>
      </c>
      <c r="R133">
        <f>M133+IF(N133&gt;1,N(O133)*(N133-1),0)</f>
        <v/>
      </c>
      <c r="S133">
        <f>IFERROR(L133*MAX(N133,1)/R133*IF(ISBLANK(K131),1,K131),0)</f>
        <v/>
      </c>
      <c r="AB133" s="7" t="inlineStr">
        <is>
          <t>^Warhead_CannonHE_Medium</t>
        </is>
      </c>
    </row>
    <row r="134">
      <c r="B134" s="7" t="inlineStr">
        <is>
          <t xml:space="preserve">  ↳ Future_MBT_DebuffLaser</t>
        </is>
      </c>
      <c r="C134" s="7" t="inlineStr">
        <is>
          <t>Armament@debuff</t>
        </is>
      </c>
      <c r="L134" s="6" t="n"/>
      <c r="M134" s="6" t="n">
        <v>4</v>
      </c>
      <c r="N134" s="6" t="n">
        <v>1</v>
      </c>
      <c r="O134" s="6" t="n"/>
      <c r="P134" s="6" t="n">
        <v>7820</v>
      </c>
      <c r="Q134" s="6" t="n">
        <v>1</v>
      </c>
      <c r="R134">
        <f>M134+IF(N134&gt;1,N(O134)*(N134-1),0)</f>
        <v/>
      </c>
      <c r="S134">
        <f>IFERROR(L134*MAX(N134,1)/R134*IF(ISBLANK(K131),1,K131),0)</f>
        <v/>
      </c>
      <c r="AB134" s="7" t="inlineStr"/>
    </row>
    <row r="135">
      <c r="B135" s="7" t="inlineStr">
        <is>
          <t xml:space="preserve">  ↳ Future_MBT_DebuffLaser_elite</t>
        </is>
      </c>
      <c r="C135" s="7" t="inlineStr">
        <is>
          <t>Armament@debuffelite</t>
        </is>
      </c>
      <c r="L135" s="6" t="n"/>
      <c r="M135" s="6" t="n">
        <v>4</v>
      </c>
      <c r="N135" s="6" t="n">
        <v>1</v>
      </c>
      <c r="O135" s="6" t="n"/>
      <c r="P135" s="6" t="n">
        <v>8820</v>
      </c>
      <c r="Q135" s="6" t="n">
        <v>1</v>
      </c>
      <c r="R135">
        <f>M135+IF(N135&gt;1,N(O135)*(N135-1),0)</f>
        <v/>
      </c>
      <c r="S135">
        <f>IFERROR(L135*MAX(N135,1)/R135*IF(ISBLANK(K131),1,K131),0)</f>
        <v/>
      </c>
      <c r="AB135" s="7" t="inlineStr">
        <is>
          <t>Future_MBT_DebuffLaser</t>
        </is>
      </c>
    </row>
    <row r="136">
      <c r="A136" t="inlineStr">
        <is>
          <t>redalert2mod</t>
        </is>
      </c>
      <c r="B136" t="inlineStr">
        <is>
          <t>tkm_abrams</t>
        </is>
      </c>
      <c r="C136" t="inlineStr">
        <is>
          <t>Abrams</t>
        </is>
      </c>
      <c r="D136" s="6" t="inlineStr">
        <is>
          <t>MainBattleTank</t>
        </is>
      </c>
      <c r="E136" s="6" t="n">
        <v>120000</v>
      </c>
      <c r="F136" s="6" t="n">
        <v>80</v>
      </c>
      <c r="G136" t="inlineStr">
        <is>
          <t>Heavy</t>
        </is>
      </c>
      <c r="H136" s="6" t="n">
        <v>0.7082000000000001</v>
      </c>
      <c r="I136" s="6" t="n">
        <v>1</v>
      </c>
      <c r="J136" s="6" t="n">
        <v>1</v>
      </c>
      <c r="K136" s="6" t="n"/>
      <c r="P136">
        <f>MAX(P137)</f>
        <v/>
      </c>
      <c r="S136">
        <f>S137</f>
        <v/>
      </c>
      <c r="T136">
        <f>(E136/100000+F136/100+(P136/1000)*J136/5+S136/200)*200*I136*H136</f>
        <v/>
      </c>
      <c r="U136">
        <f>((E136*F136/25000)+((P136/1000)*J136*S136/2.5))*I136*H136</f>
        <v/>
      </c>
      <c r="V136">
        <f>(E136*F136*(P136/1000)*J136*S136*I136*H136)/12500000</f>
        <v/>
      </c>
      <c r="W136">
        <f>(((E136/240000)+(F136/95)+(S136/600)+((P136/5500)*J136))*800/4+(((E136/240000)*(F136/95))+(((P136/5500)*J136)*(S136/600)))*800/2+((E136/240000)*(F136/95)*((P136/5500)*J136)*(S136/600))*800)*(H136/1.0)/3</f>
        <v/>
      </c>
      <c r="X136" s="6" t="n">
        <v>1000</v>
      </c>
      <c r="Y136">
        <f>IFERROR(W136-X136,"")</f>
        <v/>
      </c>
      <c r="Z136">
        <f>IFERROR(ABS(Y136)/MAX(X136,1),"")</f>
        <v/>
      </c>
      <c r="AA136">
        <f>IFERROR(ROUND(((3*X136-(((E136/240000)+(F136/95)+(S136/600))*800/4+((E136/240000)*(F136/95))*800/2)*(H136/1.0))/(800/4+((S136/600))*800/2+((E136/240000)*(F136/95)*(S136/600))*800)*(H136/1.0)*5500)/J136,-1),"")</f>
        <v/>
      </c>
    </row>
    <row r="137">
      <c r="B137" s="7" t="inlineStr">
        <is>
          <t xml:space="preserve">  ↳ tkmrh120gun</t>
        </is>
      </c>
      <c r="C137" s="7" t="inlineStr">
        <is>
          <t>Armament@cannon</t>
        </is>
      </c>
      <c r="L137" s="6" t="n">
        <v>12000</v>
      </c>
      <c r="M137" s="6" t="n">
        <v>46</v>
      </c>
      <c r="N137" s="6" t="n">
        <v>1</v>
      </c>
      <c r="O137" s="6" t="n"/>
      <c r="P137" s="6" t="n">
        <v>5672</v>
      </c>
      <c r="Q137" s="6" t="n">
        <v>1</v>
      </c>
      <c r="R137">
        <f>M137+IF(N137&gt;1,N(O137)*(N137-1),0)</f>
        <v/>
      </c>
      <c r="S137">
        <f>IFERROR(L137*MAX(N137,1)/R137*IF(ISBLANK(K136),1,K136),0)</f>
        <v/>
      </c>
      <c r="AB137" s="7" t="inlineStr">
        <is>
          <t>^Warhead_CannonHE_Medium</t>
        </is>
      </c>
    </row>
    <row r="138">
      <c r="A138" t="inlineStr">
        <is>
          <t>redalert2mod</t>
        </is>
      </c>
      <c r="B138" t="inlineStr">
        <is>
          <t>tkm_t72m</t>
        </is>
      </c>
      <c r="C138" t="inlineStr">
        <is>
          <t>T-72M</t>
        </is>
      </c>
      <c r="D138" s="6" t="inlineStr">
        <is>
          <t>MainBattleTank</t>
        </is>
      </c>
      <c r="E138" s="6" t="n">
        <v>100000</v>
      </c>
      <c r="F138" s="6" t="n">
        <v>80</v>
      </c>
      <c r="G138" t="inlineStr">
        <is>
          <t>Heavy</t>
        </is>
      </c>
      <c r="H138" s="6" t="n">
        <v>0.7082000000000001</v>
      </c>
      <c r="I138" s="6" t="n">
        <v>1</v>
      </c>
      <c r="J138" s="6" t="n">
        <v>1</v>
      </c>
      <c r="K138" s="6" t="n"/>
      <c r="P138">
        <f>MAX(P139,P140,P141)</f>
        <v/>
      </c>
      <c r="S138">
        <f>S139+S140+S141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(((E138/240000)+(F138/95)+(S138/600)+((P138/5500)*J138))*800/4+(((E138/240000)*(F138/95))+(((P138/5500)*J138)*(S138/600)))*800/2+((E138/240000)*(F138/95)*((P138/5500)*J138)*(S138/600))*800)*(H138/1.0)/3</f>
        <v/>
      </c>
      <c r="X138" s="6" t="n">
        <v>900</v>
      </c>
      <c r="Y138">
        <f>IFERROR(W138-X138,"")</f>
        <v/>
      </c>
      <c r="Z138">
        <f>IFERROR(ABS(Y138)/MAX(X138,1),"")</f>
        <v/>
      </c>
      <c r="AA138">
        <f>IFERROR(ROUND(((3*X138-(((E138/240000)+(F138/95)+(S138/600))*800/4+((E138/240000)*(F138/95))*800/2)*(H138/1.0))/(800/4+((S138/600))*800/2+((E138/240000)*(F138/95)*(S138/600))*800)*(H138/1.0)*5500)/J138,-1),"")</f>
        <v/>
      </c>
    </row>
    <row r="139">
      <c r="B139" s="7" t="inlineStr">
        <is>
          <t xml:space="preserve">  ↳ TKMPDLaser</t>
        </is>
      </c>
      <c r="C139" s="7" t="inlineStr">
        <is>
          <t>Armament@pointdefense</t>
        </is>
      </c>
      <c r="L139" s="6" t="n">
        <v>1</v>
      </c>
      <c r="M139" s="6" t="n">
        <v>25</v>
      </c>
      <c r="N139" s="6" t="n">
        <v>1</v>
      </c>
      <c r="O139" s="6" t="n"/>
      <c r="P139" s="6" t="n">
        <v>5000</v>
      </c>
      <c r="Q139" s="6" t="n">
        <v>1</v>
      </c>
      <c r="R139">
        <f>M139+IF(N139&gt;1,N(O139)*(N139-1),0)</f>
        <v/>
      </c>
      <c r="S139">
        <f>IFERROR(L139*MAX(N139,1)/R139*IF(ISBLANK(K138),1,K138),0)</f>
        <v/>
      </c>
      <c r="AB139" s="7" t="inlineStr">
        <is>
          <t>PDLaser</t>
        </is>
      </c>
    </row>
    <row r="140">
      <c r="B140" s="7" t="inlineStr">
        <is>
          <t xml:space="preserve">  ↳ tkm2a46gun</t>
        </is>
      </c>
      <c r="C140" s="7" t="inlineStr">
        <is>
          <t>Armament</t>
        </is>
      </c>
      <c r="L140" s="6" t="n">
        <v>10000</v>
      </c>
      <c r="M140" s="6" t="n">
        <v>42</v>
      </c>
      <c r="N140" s="6" t="n">
        <v>1</v>
      </c>
      <c r="O140" s="6" t="n"/>
      <c r="P140" s="6" t="n">
        <v>6196</v>
      </c>
      <c r="Q140" s="6" t="n">
        <v>1</v>
      </c>
      <c r="R140">
        <f>M140+IF(N140&gt;1,N(O140)*(N140-1),0)</f>
        <v/>
      </c>
      <c r="S140">
        <f>IFERROR(L140*MAX(N140,1)/R140*IF(ISBLANK(K138),1,K138),0)</f>
        <v/>
      </c>
      <c r="AB140" s="7" t="inlineStr">
        <is>
          <t>^Warhead_CannonHE_Medium</t>
        </is>
      </c>
    </row>
    <row r="141">
      <c r="B141" s="7" t="inlineStr">
        <is>
          <t xml:space="preserve">  ↳ tkmkord</t>
        </is>
      </c>
      <c r="C141" s="7" t="inlineStr">
        <is>
          <t>Armament@machinegun</t>
        </is>
      </c>
      <c r="L141" s="6" t="n">
        <v>2000</v>
      </c>
      <c r="M141" s="6" t="n">
        <v>10</v>
      </c>
      <c r="N141" s="6" t="n">
        <v>1</v>
      </c>
      <c r="O141" s="6" t="n"/>
      <c r="P141" s="6" t="n">
        <v>6195</v>
      </c>
      <c r="Q141" s="6" t="n">
        <v>1</v>
      </c>
      <c r="R141">
        <f>M141+IF(N141&gt;1,N(O141)*(N141-1),0)</f>
        <v/>
      </c>
      <c r="S141">
        <f>IFERROR(L141*MAX(N141,1)/R141*IF(ISBLANK(K138),1,K138),0)</f>
        <v/>
      </c>
      <c r="AB141" s="7" t="inlineStr">
        <is>
          <t>^Warhead_Bullet_Medium</t>
        </is>
      </c>
    </row>
    <row r="142">
      <c r="A142" t="inlineStr">
        <is>
          <t>redalert2mod</t>
        </is>
      </c>
      <c r="B142" t="inlineStr">
        <is>
          <t>tkm_technicaltank</t>
        </is>
      </c>
      <c r="C142" t="inlineStr">
        <is>
          <t>Technical Tank</t>
        </is>
      </c>
      <c r="D142" s="6" t="inlineStr">
        <is>
          <t>MainBattleTank</t>
        </is>
      </c>
      <c r="E142" s="6" t="n">
        <v>70000</v>
      </c>
      <c r="F142" s="6" t="n">
        <v>110</v>
      </c>
      <c r="G142" t="inlineStr">
        <is>
          <t>Heavy</t>
        </is>
      </c>
      <c r="H142" s="6" t="n">
        <v>0.9016</v>
      </c>
      <c r="I142" s="6" t="n">
        <v>1</v>
      </c>
      <c r="J142" s="6" t="n">
        <v>1</v>
      </c>
      <c r="K142" s="6" t="n"/>
      <c r="P142">
        <f>MAX(P143,P144)</f>
        <v/>
      </c>
      <c r="S142">
        <f>S143+S144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(((E142/240000)+(F142/95)+(S142/600)+((P142/5500)*J142))*800/4+(((E142/240000)*(F142/95))+(((P142/5500)*J142)*(S142/600)))*800/2+((E142/240000)*(F142/95)*((P142/5500)*J142)*(S142/600))*800)*(H142/1.0)/3</f>
        <v/>
      </c>
      <c r="X142" s="6" t="n">
        <v>700</v>
      </c>
      <c r="Y142">
        <f>IFERROR(W142-X142,"")</f>
        <v/>
      </c>
      <c r="Z142">
        <f>IFERROR(ABS(Y142)/MAX(X142,1),"")</f>
        <v/>
      </c>
      <c r="AA142">
        <f>IFERROR(ROUND(((3*X142-(((E142/240000)+(F142/95)+(S142/600))*800/4+((E142/240000)*(F142/95))*800/2)*(H142/1.0))/(800/4+((S142/600))*800/2+((E142/240000)*(F142/95)*(S142/600))*800)*(H142/1.0)*5500)/J142,-1),"")</f>
        <v/>
      </c>
    </row>
    <row r="143">
      <c r="B143" s="7" t="inlineStr">
        <is>
          <t xml:space="preserve">  ↳ tkmltgun</t>
        </is>
      </c>
      <c r="C143" s="7" t="inlineStr">
        <is>
          <t>Armament@cannon</t>
        </is>
      </c>
      <c r="L143" s="6" t="n">
        <v>8000</v>
      </c>
      <c r="M143" s="6" t="n">
        <v>42</v>
      </c>
      <c r="N143" s="6" t="n">
        <v>1</v>
      </c>
      <c r="O143" s="6" t="n"/>
      <c r="P143" s="6" t="n">
        <v>5316</v>
      </c>
      <c r="Q143" s="6" t="n">
        <v>1</v>
      </c>
      <c r="R143">
        <f>M143+IF(N143&gt;1,N(O143)*(N143-1),0)</f>
        <v/>
      </c>
      <c r="S143">
        <f>IFERROR(L143*MAX(N143,1)/R143*IF(ISBLANK(K142),1,K142),0)</f>
        <v/>
      </c>
      <c r="AB143" s="7" t="inlineStr">
        <is>
          <t>^Warhead_CannonHE_Medium</t>
        </is>
      </c>
    </row>
    <row r="144">
      <c r="B144" s="7" t="inlineStr">
        <is>
          <t xml:space="preserve">  ↳ tkmtwinrocketstechnicaltank</t>
        </is>
      </c>
      <c r="C144" s="7" t="inlineStr">
        <is>
          <t>Armament@missiles</t>
        </is>
      </c>
      <c r="L144" s="6" t="n">
        <v>18000</v>
      </c>
      <c r="M144" s="6" t="n">
        <v>64</v>
      </c>
      <c r="N144" s="6" t="n">
        <v>2</v>
      </c>
      <c r="O144" s="6" t="n"/>
      <c r="P144" s="6" t="n">
        <v>5243</v>
      </c>
      <c r="Q144" s="6" t="n">
        <v>0.75</v>
      </c>
      <c r="R144">
        <f>M144+IF(N144&gt;1,N(O144)*(N144-1),0)</f>
        <v/>
      </c>
      <c r="S144">
        <f>IFERROR(L144*MAX(N144,1)/R144*IF(ISBLANK(K142),1,K142),0)</f>
        <v/>
      </c>
      <c r="AB144" s="7" t="inlineStr">
        <is>
          <t>^Warhead_MissileAP_Light</t>
        </is>
      </c>
    </row>
    <row r="145">
      <c r="A145" t="inlineStr">
        <is>
          <t>redalert2mod</t>
        </is>
      </c>
      <c r="B145" t="inlineStr">
        <is>
          <t>tkm_trenchtank</t>
        </is>
      </c>
      <c r="C145" t="inlineStr">
        <is>
          <t>Trench Tank</t>
        </is>
      </c>
      <c r="D145" s="6" t="inlineStr">
        <is>
          <t>MainBattleTank</t>
        </is>
      </c>
      <c r="E145" s="6" t="n">
        <v>200000</v>
      </c>
      <c r="F145" s="6" t="n">
        <v>65</v>
      </c>
      <c r="G145" t="inlineStr">
        <is>
          <t>Heavy</t>
        </is>
      </c>
      <c r="H145" s="6" t="n">
        <v>0.4955</v>
      </c>
      <c r="I145" s="6" t="n">
        <v>1</v>
      </c>
      <c r="J145" s="6" t="n">
        <v>1</v>
      </c>
      <c r="K145" s="6" t="n"/>
      <c r="P145">
        <f>MAX(P146)</f>
        <v/>
      </c>
      <c r="S145">
        <f>S146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(((E145/240000)+(F145/95)+(S145/600)+((P145/5500)*J145))*800/4+(((E145/240000)*(F145/95))+(((P145/5500)*J145)*(S145/600)))*800/2+((E145/240000)*(F145/95)*((P145/5500)*J145)*(S145/600))*800)*(H145/1.0)/3</f>
        <v/>
      </c>
      <c r="X145" s="6" t="n">
        <v>2500</v>
      </c>
      <c r="Y145">
        <f>IFERROR(W145-X145,"")</f>
        <v/>
      </c>
      <c r="Z145">
        <f>IFERROR(ABS(Y145)/MAX(X145,1),"")</f>
        <v/>
      </c>
      <c r="AA145">
        <f>IFERROR(ROUND(((3*X145-(((E145/240000)+(F145/95)+(S145/600))*800/4+((E145/240000)*(F145/95))*800/2)*(H145/1.0))/(800/4+((S145/600))*800/2+((E145/240000)*(F145/95)*(S145/600))*800)*(H145/1.0)*5500)/J145,-1),"")</f>
        <v/>
      </c>
    </row>
    <row r="146">
      <c r="B146" s="7" t="inlineStr">
        <is>
          <t xml:space="preserve">  ↳ tkmtrenchcannon</t>
        </is>
      </c>
      <c r="C146" s="7" t="inlineStr">
        <is>
          <t>Armament</t>
        </is>
      </c>
      <c r="L146" s="6" t="n">
        <v>40000</v>
      </c>
      <c r="M146" s="6" t="n">
        <v>75</v>
      </c>
      <c r="N146" s="6" t="n">
        <v>1</v>
      </c>
      <c r="O146" s="6" t="n"/>
      <c r="P146" s="6" t="n">
        <v>9237</v>
      </c>
      <c r="Q146" s="6" t="n">
        <v>1.125</v>
      </c>
      <c r="R146">
        <f>M146+IF(N146&gt;1,N(O146)*(N146-1),0)</f>
        <v/>
      </c>
      <c r="S146">
        <f>IFERROR(L146*MAX(N146,1)/R146*IF(ISBLANK(K145),1,K145),0)</f>
        <v/>
      </c>
      <c r="AB146" s="7" t="inlineStr">
        <is>
          <t>^Warhead_Concussion_Medium, ^Warhead_CannonHE_Heavy</t>
        </is>
      </c>
    </row>
    <row r="147">
      <c r="A147" t="inlineStr">
        <is>
          <t>d2k</t>
        </is>
      </c>
      <c r="B147" t="inlineStr">
        <is>
          <t>ordos_combatautoguntank</t>
        </is>
      </c>
      <c r="C147" t="inlineStr">
        <is>
          <t>Combat Autogun Tank</t>
        </is>
      </c>
      <c r="D147" s="6" t="inlineStr">
        <is>
          <t>MainBattleTank</t>
        </is>
      </c>
      <c r="E147" s="6" t="n">
        <v>95000</v>
      </c>
      <c r="F147" s="6" t="n">
        <v>80</v>
      </c>
      <c r="G147" t="inlineStr">
        <is>
          <t>Heavy</t>
        </is>
      </c>
      <c r="H147" s="6" t="n">
        <v>0.7020999999999999</v>
      </c>
      <c r="I147" s="6" t="n">
        <v>1</v>
      </c>
      <c r="J147" s="6" t="n">
        <v>1</v>
      </c>
      <c r="K147" s="6" t="n">
        <v>0.0025</v>
      </c>
      <c r="P147">
        <f>MAX(P148)</f>
        <v/>
      </c>
      <c r="S147">
        <f>S148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(((E147/240000)+(F147/95)+(S147/600)+((P147/5500)*J147))*800/4+(((E147/240000)*(F147/95))+(((P147/5500)*J147)*(S147/600)))*800/2+((E147/240000)*(F147/95)*((P147/5500)*J147)*(S147/600))*800)*(H147/1.0)/3</f>
        <v/>
      </c>
      <c r="X147" s="6" t="n">
        <v>1500</v>
      </c>
      <c r="Y147">
        <f>IFERROR(W147-X147,"")</f>
        <v/>
      </c>
      <c r="Z147">
        <f>IFERROR(ABS(Y147)/MAX(X147,1),"")</f>
        <v/>
      </c>
      <c r="AA147">
        <f>IFERROR(ROUND(((3*X147-(((E147/240000)+(F147/95)+(S147/600))*800/4+((E147/240000)*(F147/95))*800/2)*(H147/1.0))/(800/4+((S147/600))*800/2+((E147/240000)*(F147/95)*(S147/600))*800)*(H147/1.0)*5500)/J147,-1),"")</f>
        <v/>
      </c>
    </row>
    <row r="148">
      <c r="B148" s="7" t="inlineStr">
        <is>
          <t xml:space="preserve">  ↳ autogun_tank_small</t>
        </is>
      </c>
      <c r="C148" s="7" t="inlineStr">
        <is>
          <t>Armament</t>
        </is>
      </c>
      <c r="L148" s="6" t="n">
        <v>12000</v>
      </c>
      <c r="M148" s="6" t="n">
        <v>24</v>
      </c>
      <c r="N148" s="6" t="n">
        <v>4</v>
      </c>
      <c r="O148" s="6" t="n">
        <v>2</v>
      </c>
      <c r="P148" s="6" t="n">
        <v>6220</v>
      </c>
      <c r="Q148" s="6" t="n">
        <v>1.25</v>
      </c>
      <c r="R148">
        <f>M148+IF(N148&gt;1,N(O148)*(N148-1),0)</f>
        <v/>
      </c>
      <c r="S148">
        <f>IFERROR(L148*MAX(N148,1)/R148*IF(ISBLANK(K147),1,K147),0)</f>
        <v/>
      </c>
      <c r="AB148" s="7" t="inlineStr">
        <is>
          <t>^Warhead_CannonHE_Heavy, ^Warhead_MissileAP_Heavy</t>
        </is>
      </c>
    </row>
    <row r="149">
      <c r="A149" t="inlineStr">
        <is>
          <t>d2k</t>
        </is>
      </c>
      <c r="B149" t="inlineStr">
        <is>
          <t>ordos_heavycombattank</t>
        </is>
      </c>
      <c r="C149" t="inlineStr">
        <is>
          <t>Ordos Heavy Combat Tank</t>
        </is>
      </c>
      <c r="D149" s="6" t="inlineStr">
        <is>
          <t>MainBattleTank</t>
        </is>
      </c>
      <c r="E149" s="6" t="n">
        <v>115000</v>
      </c>
      <c r="F149" s="6" t="n">
        <v>75</v>
      </c>
      <c r="G149" t="inlineStr">
        <is>
          <t>Heavy</t>
        </is>
      </c>
      <c r="H149" s="6" t="n">
        <v>1</v>
      </c>
      <c r="I149" s="6" t="n">
        <v>1</v>
      </c>
      <c r="J149" s="6" t="n">
        <v>1</v>
      </c>
      <c r="K149" s="6" t="n"/>
      <c r="P149">
        <f>MAX(P150,P151)</f>
        <v/>
      </c>
      <c r="S149">
        <f>S150+S151</f>
        <v/>
      </c>
      <c r="T149">
        <f>(E149/100000+F149/100+(P149/1000)*J149/5+S149/200)*200*I149*H149</f>
        <v/>
      </c>
      <c r="U149">
        <f>((E149*F149/25000)+((P149/1000)*J149*S149/2.5))*I149*H149</f>
        <v/>
      </c>
      <c r="V149">
        <f>(E149*F149*(P149/1000)*J149*S149*I149*H149)/12500000</f>
        <v/>
      </c>
      <c r="W149">
        <f>(((E149/240000)+(F149/95)+(S149/600)+((P149/5500)*J149))*800/4+(((E149/240000)*(F149/95))+(((P149/5500)*J149)*(S149/600)))*800/2+((E149/240000)*(F149/95)*((P149/5500)*J149)*(S149/600))*800)*(H149/1.0)/3</f>
        <v/>
      </c>
      <c r="X149" s="6" t="n">
        <v>950</v>
      </c>
      <c r="Y149">
        <f>IFERROR(W149-X149,"")</f>
        <v/>
      </c>
      <c r="Z149">
        <f>IFERROR(ABS(Y149)/MAX(X149,1),"")</f>
        <v/>
      </c>
      <c r="AA149">
        <f>IFERROR(ROUND(((3*X149-(((E149/240000)+(F149/95)+(S149/600))*800/4+((E149/240000)*(F149/95))*800/2)*(H149/1.0))/(800/4+((S149/600))*800/2+((E149/240000)*(F149/95)*(S149/600))*800)*(H149/1.0)*5500)/J149,-1),"")</f>
        <v/>
      </c>
    </row>
    <row r="150">
      <c r="B150" s="7" t="inlineStr">
        <is>
          <t xml:space="preserve">  ↳ HeavyOrdosCombatTankCannon</t>
        </is>
      </c>
      <c r="C150" s="7" t="inlineStr">
        <is>
          <t>Armament</t>
        </is>
      </c>
      <c r="L150" s="6" t="n">
        <v>10000</v>
      </c>
      <c r="M150" s="6" t="n">
        <v>40</v>
      </c>
      <c r="N150" s="6" t="n">
        <v>1</v>
      </c>
      <c r="O150" s="6" t="n"/>
      <c r="P150" s="6" t="n">
        <v>6000</v>
      </c>
      <c r="Q150" s="6" t="n">
        <v>1</v>
      </c>
      <c r="R150">
        <f>M150+IF(N150&gt;1,N(O150)*(N150-1),0)</f>
        <v/>
      </c>
      <c r="S150">
        <f>IFERROR(L150*MAX(N150,1)/R150*IF(ISBLANK(K149),1,K149),0)</f>
        <v/>
      </c>
      <c r="AB150" s="7" t="inlineStr">
        <is>
          <t>^Warhead_CannonHE_Medium</t>
        </is>
      </c>
    </row>
    <row r="151">
      <c r="B151" s="7" t="inlineStr">
        <is>
          <t xml:space="preserve">  ↳ HeavyOrdosCombatTankRockets</t>
        </is>
      </c>
      <c r="C151" s="7" t="inlineStr">
        <is>
          <t>Armament@Rockets</t>
        </is>
      </c>
      <c r="L151" s="6" t="n">
        <v>10000</v>
      </c>
      <c r="M151" s="6" t="n">
        <v>70</v>
      </c>
      <c r="N151" s="6" t="n">
        <v>2</v>
      </c>
      <c r="O151" s="6" t="n">
        <v>10</v>
      </c>
      <c r="P151" s="6" t="n">
        <v>6000</v>
      </c>
      <c r="Q151" s="6" t="n">
        <v>1.25</v>
      </c>
      <c r="R151">
        <f>M151+IF(N151&gt;1,N(O151)*(N151-1),0)</f>
        <v/>
      </c>
      <c r="S151">
        <f>IFERROR(L151*MAX(N151,1)/R151*IF(ISBLANK(K149),1,K149),0)</f>
        <v/>
      </c>
      <c r="AB151" s="7" t="inlineStr">
        <is>
          <t>^Warhead_MissileAP_Heavy</t>
        </is>
      </c>
    </row>
    <row r="152">
      <c r="A152" t="inlineStr">
        <is>
          <t>d2k</t>
        </is>
      </c>
      <c r="B152" t="inlineStr">
        <is>
          <t>ixian_heavykodatank</t>
        </is>
      </c>
      <c r="C152" t="inlineStr">
        <is>
          <t>Heavy Koda Tank</t>
        </is>
      </c>
      <c r="D152" s="6" t="inlineStr">
        <is>
          <t>MainBattleTank</t>
        </is>
      </c>
      <c r="E152" s="6" t="n">
        <v>95000</v>
      </c>
      <c r="F152" s="6" t="n">
        <v>58</v>
      </c>
      <c r="G152" t="inlineStr">
        <is>
          <t>Heavy</t>
        </is>
      </c>
      <c r="H152" s="6" t="n">
        <v>0.8919</v>
      </c>
      <c r="I152" s="6" t="n">
        <v>1</v>
      </c>
      <c r="J152" s="6" t="n">
        <v>1</v>
      </c>
      <c r="K152" s="6" t="n"/>
      <c r="P152">
        <f>MAX(P153)</f>
        <v/>
      </c>
      <c r="S152">
        <f>S153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(((E152/240000)+(F152/95)+(S152/600)+((P152/5500)*J152))*800/4+(((E152/240000)*(F152/95))+(((P152/5500)*J152)*(S152/600)))*800/2+((E152/240000)*(F152/95)*((P152/5500)*J152)*(S152/600))*800)*(H152/1.0)/3</f>
        <v/>
      </c>
      <c r="X152" s="6" t="n">
        <v>1100</v>
      </c>
      <c r="Y152">
        <f>IFERROR(W152-X152,"")</f>
        <v/>
      </c>
      <c r="Z152">
        <f>IFERROR(ABS(Y152)/MAX(X152,1),"")</f>
        <v/>
      </c>
      <c r="AA152">
        <f>IFERROR(ROUND(((3*X152-(((E152/240000)+(F152/95)+(S152/600))*800/4+((E152/240000)*(F152/95))*800/2)*(H152/1.0))/(800/4+((S152/600))*800/2+((E152/240000)*(F152/95)*(S152/600))*800)*(H152/1.0)*5500)/J152,-1),"")</f>
        <v/>
      </c>
    </row>
    <row r="153">
      <c r="B153" s="7" t="inlineStr">
        <is>
          <t xml:space="preserve">  ↳ HeavyIxianCombatTankCannon</t>
        </is>
      </c>
      <c r="C153" s="7" t="inlineStr">
        <is>
          <t>Armament</t>
        </is>
      </c>
      <c r="L153" s="6" t="n">
        <v>18000</v>
      </c>
      <c r="M153" s="6" t="n">
        <v>40</v>
      </c>
      <c r="N153" s="6" t="n">
        <v>1</v>
      </c>
      <c r="O153" s="6" t="n"/>
      <c r="P153" s="6" t="n">
        <v>6000</v>
      </c>
      <c r="Q153" s="6" t="n">
        <v>1</v>
      </c>
      <c r="R153">
        <f>M153+IF(N153&gt;1,N(O153)*(N153-1),0)</f>
        <v/>
      </c>
      <c r="S153">
        <f>IFERROR(L153*MAX(N153,1)/R153*IF(ISBLANK(K152),1,K152),0)</f>
        <v/>
      </c>
      <c r="AB153" s="7" t="inlineStr">
        <is>
          <t>^Warhead_CannonHE_Heavy, ^Warhead_CannonAP_Light, ^Warhead_CannonHE_Medium</t>
        </is>
      </c>
    </row>
    <row r="154">
      <c r="A154" t="inlineStr">
        <is>
          <t>d2k</t>
        </is>
      </c>
      <c r="B154" t="inlineStr">
        <is>
          <t>ixian_kodatank</t>
        </is>
      </c>
      <c r="C154" t="inlineStr">
        <is>
          <t>Koda Tank</t>
        </is>
      </c>
      <c r="D154" s="6" t="inlineStr">
        <is>
          <t>MainBattleTank</t>
        </is>
      </c>
      <c r="E154" s="6" t="n">
        <v>65000</v>
      </c>
      <c r="F154" s="6" t="n">
        <v>65</v>
      </c>
      <c r="G154" t="inlineStr">
        <is>
          <t>Heavy</t>
        </is>
      </c>
      <c r="H154" s="6" t="n">
        <v>0.8919</v>
      </c>
      <c r="I154" s="6" t="n">
        <v>1</v>
      </c>
      <c r="J154" s="6" t="n">
        <v>1</v>
      </c>
      <c r="K154" s="6" t="n"/>
      <c r="P154">
        <f>MAX(P155)</f>
        <v/>
      </c>
      <c r="S154">
        <f>S155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(((E154/240000)+(F154/95)+(S154/600)+((P154/5500)*J154))*800/4+(((E154/240000)*(F154/95))+(((P154/5500)*J154)*(S154/600)))*800/2+((E154/240000)*(F154/95)*((P154/5500)*J154)*(S154/600))*800)*(H154/1.0)/3</f>
        <v/>
      </c>
      <c r="X154" s="6" t="n">
        <v>800</v>
      </c>
      <c r="Y154">
        <f>IFERROR(W154-X154,"")</f>
        <v/>
      </c>
      <c r="Z154">
        <f>IFERROR(ABS(Y154)/MAX(X154,1),"")</f>
        <v/>
      </c>
      <c r="AA154">
        <f>IFERROR(ROUND(((3*X154-(((E154/240000)+(F154/95)+(S154/600))*800/4+((E154/240000)*(F154/95))*800/2)*(H154/1.0))/(800/4+((S154/600))*800/2+((E154/240000)*(F154/95)*(S154/600))*800)*(H154/1.0)*5500)/J154,-1),"")</f>
        <v/>
      </c>
    </row>
    <row r="155">
      <c r="B155" s="7" t="inlineStr">
        <is>
          <t xml:space="preserve">  ↳ IxianCombatTankCannon</t>
        </is>
      </c>
      <c r="C155" s="7" t="inlineStr">
        <is>
          <t>Armament</t>
        </is>
      </c>
      <c r="L155" s="6" t="n">
        <v>12000</v>
      </c>
      <c r="M155" s="6" t="n">
        <v>35</v>
      </c>
      <c r="N155" s="6" t="n">
        <v>1</v>
      </c>
      <c r="O155" s="6" t="n"/>
      <c r="P155" s="6" t="n">
        <v>5555</v>
      </c>
      <c r="Q155" s="6" t="n">
        <v>1</v>
      </c>
      <c r="R155">
        <f>M155+IF(N155&gt;1,N(O155)*(N155-1),0)</f>
        <v/>
      </c>
      <c r="S155">
        <f>IFERROR(L155*MAX(N155,1)/R155*IF(ISBLANK(K154),1,K154),0)</f>
        <v/>
      </c>
      <c r="AB155" s="7" t="inlineStr">
        <is>
          <t>^Warhead_CannonHE_Heavy, ^Warhead_CannonAP_Light, ^Warhead_CannonHE_Medium</t>
        </is>
      </c>
    </row>
    <row r="156">
      <c r="A156" t="inlineStr">
        <is>
          <t>d2k</t>
        </is>
      </c>
      <c r="B156" t="inlineStr">
        <is>
          <t>ixian_mongoose</t>
        </is>
      </c>
      <c r="C156" t="inlineStr">
        <is>
          <t>Mongoose</t>
        </is>
      </c>
      <c r="D156" s="6" t="inlineStr">
        <is>
          <t>MainBattleTank</t>
        </is>
      </c>
      <c r="E156" s="6" t="n">
        <v>75000</v>
      </c>
      <c r="F156" s="6" t="n">
        <v>75</v>
      </c>
      <c r="G156" t="inlineStr">
        <is>
          <t>Heavy</t>
        </is>
      </c>
      <c r="H156" s="6" t="n">
        <v>1</v>
      </c>
      <c r="I156" s="6" t="n">
        <v>1</v>
      </c>
      <c r="J156" s="6" t="n">
        <v>1</v>
      </c>
      <c r="K156" s="6" t="n"/>
      <c r="P156">
        <f>MAX(P157)</f>
        <v/>
      </c>
      <c r="S156">
        <f>S157</f>
        <v/>
      </c>
      <c r="T156">
        <f>(E156/100000+F156/100+(P156/1000)*J156/5+S156/200)*200*I156*H156</f>
        <v/>
      </c>
      <c r="U156">
        <f>((E156*F156/25000)+((P156/1000)*J156*S156/2.5))*I156*H156</f>
        <v/>
      </c>
      <c r="V156">
        <f>(E156*F156*(P156/1000)*J156*S156*I156*H156)/12500000</f>
        <v/>
      </c>
      <c r="W156">
        <f>(((E156/240000)+(F156/95)+(S156/600)+((P156/5500)*J156))*800/4+(((E156/240000)*(F156/95))+(((P156/5500)*J156)*(S156/600)))*800/2+((E156/240000)*(F156/95)*((P156/5500)*J156)*(S156/600))*800)*(H156/1.0)/3</f>
        <v/>
      </c>
      <c r="X156" s="6" t="n">
        <v>1300</v>
      </c>
      <c r="Y156">
        <f>IFERROR(W156-X156,"")</f>
        <v/>
      </c>
      <c r="Z156">
        <f>IFERROR(ABS(Y156)/MAX(X156,1),"")</f>
        <v/>
      </c>
      <c r="AA156">
        <f>IFERROR(ROUND(((3*X156-(((E156/240000)+(F156/95)+(S156/600))*800/4+((E156/240000)*(F156/95))*800/2)*(H156/1.0))/(800/4+((S156/600))*800/2+((E156/240000)*(F156/95)*(S156/600))*800)*(H156/1.0)*5500)/J156,-1),"")</f>
        <v/>
      </c>
    </row>
    <row r="157">
      <c r="B157" s="7" t="inlineStr">
        <is>
          <t xml:space="preserve">  ↳ MongooseRocket</t>
        </is>
      </c>
      <c r="C157" s="7" t="inlineStr">
        <is>
          <t>Armament@primary</t>
        </is>
      </c>
      <c r="L157" s="6" t="n">
        <v>32000</v>
      </c>
      <c r="M157" s="6" t="n">
        <v>64</v>
      </c>
      <c r="N157" s="6" t="n">
        <v>1</v>
      </c>
      <c r="O157" s="6" t="n"/>
      <c r="P157" s="6" t="n">
        <v>6183</v>
      </c>
      <c r="Q157" s="6" t="n">
        <v>1.25</v>
      </c>
      <c r="R157">
        <f>M157+IF(N157&gt;1,N(O157)*(N157-1),0)</f>
        <v/>
      </c>
      <c r="S157">
        <f>IFERROR(L157*MAX(N157,1)/R157*IF(ISBLANK(K156),1,K156),0)</f>
        <v/>
      </c>
      <c r="AB157" s="7" t="inlineStr">
        <is>
          <t>^Warhead_MissileAP_Heavy</t>
        </is>
      </c>
    </row>
    <row r="158">
      <c r="A158" t="inlineStr">
        <is>
          <t>d2k</t>
        </is>
      </c>
      <c r="B158" t="inlineStr">
        <is>
          <t>combat_tank.atreides</t>
        </is>
      </c>
      <c r="C158" t="inlineStr">
        <is>
          <t>Combat Tank</t>
        </is>
      </c>
      <c r="D158" s="6" t="inlineStr">
        <is>
          <t>MainBattleTank</t>
        </is>
      </c>
      <c r="E158" s="6" t="n">
        <v>100000</v>
      </c>
      <c r="F158" s="6" t="n">
        <v>75</v>
      </c>
      <c r="G158" t="inlineStr">
        <is>
          <t>Heavy</t>
        </is>
      </c>
      <c r="H158" s="6" t="n">
        <v>0.8919</v>
      </c>
      <c r="I158" s="6" t="n">
        <v>1</v>
      </c>
      <c r="J158" s="6" t="n">
        <v>1</v>
      </c>
      <c r="K158" s="6" t="n"/>
      <c r="P158">
        <f>MAX(P159)</f>
        <v/>
      </c>
      <c r="S158">
        <f>S159</f>
        <v/>
      </c>
      <c r="T158">
        <f>(E158/100000+F158/100+(P158/1000)*J158/5+S158/200)*200*I158*H158</f>
        <v/>
      </c>
      <c r="U158">
        <f>((E158*F158/25000)+((P158/1000)*J158*S158/2.5))*I158*H158</f>
        <v/>
      </c>
      <c r="V158">
        <f>(E158*F158*(P158/1000)*J158*S158*I158*H158)/12500000</f>
        <v/>
      </c>
      <c r="W158">
        <f>(((E158/240000)+(F158/95)+(S158/600)+((P158/5500)*J158))*800/4+(((E158/240000)*(F158/95))+(((P158/5500)*J158)*(S158/600)))*800/2+((E158/240000)*(F158/95)*((P158/5500)*J158)*(S158/600))*800)*(H158/1.0)/3</f>
        <v/>
      </c>
      <c r="X158" s="6" t="n">
        <v>600</v>
      </c>
      <c r="Y158">
        <f>IFERROR(W158-X158,"")</f>
        <v/>
      </c>
      <c r="Z158">
        <f>IFERROR(ABS(Y158)/MAX(X158,1),"")</f>
        <v/>
      </c>
      <c r="AA158">
        <f>IFERROR(ROUND(((3*X158-(((E158/240000)+(F158/95)+(S158/600))*800/4+((E158/240000)*(F158/95))*800/2)*(H158/1.0))/(800/4+((S158/600))*800/2+((E158/240000)*(F158/95)*(S158/600))*800)*(H158/1.0)*5500)/J158,-1),"")</f>
        <v/>
      </c>
    </row>
    <row r="159">
      <c r="B159" s="7" t="inlineStr">
        <is>
          <t xml:space="preserve">  ↳ 80mm_A</t>
        </is>
      </c>
      <c r="C159" s="7" t="inlineStr">
        <is>
          <t>Armament</t>
        </is>
      </c>
      <c r="L159" s="6" t="n">
        <v>8000</v>
      </c>
      <c r="M159" s="6" t="n">
        <v>25</v>
      </c>
      <c r="N159" s="6" t="n">
        <v>1</v>
      </c>
      <c r="O159" s="6" t="n"/>
      <c r="P159" s="6" t="n">
        <v>5120</v>
      </c>
      <c r="Q159" s="6" t="n">
        <v>1</v>
      </c>
      <c r="R159">
        <f>M159+IF(N159&gt;1,N(O159)*(N159-1),0)</f>
        <v/>
      </c>
      <c r="S159">
        <f>IFERROR(L159*MAX(N159,1)/R159*IF(ISBLANK(K158),1,K158),0)</f>
        <v/>
      </c>
      <c r="AB159" s="7" t="inlineStr">
        <is>
          <t>^Warhead_CannonHE_Medium</t>
        </is>
      </c>
    </row>
    <row r="160">
      <c r="A160" t="inlineStr">
        <is>
          <t>d2k</t>
        </is>
      </c>
      <c r="B160" t="inlineStr">
        <is>
          <t>combat_tank.harkonnen</t>
        </is>
      </c>
      <c r="C160" t="inlineStr">
        <is>
          <t>Harkonnen Combat Tank</t>
        </is>
      </c>
      <c r="D160" s="6" t="inlineStr">
        <is>
          <t>MainBattleTank</t>
        </is>
      </c>
      <c r="E160" s="6" t="n">
        <v>70000</v>
      </c>
      <c r="F160" s="6" t="n">
        <v>65</v>
      </c>
      <c r="G160" t="inlineStr">
        <is>
          <t>Heavy</t>
        </is>
      </c>
      <c r="H160" s="6" t="n">
        <v>0.8919</v>
      </c>
      <c r="I160" s="6" t="n">
        <v>1</v>
      </c>
      <c r="J160" s="6" t="n">
        <v>1</v>
      </c>
      <c r="K160" s="6" t="n"/>
      <c r="P160">
        <f>MAX(P161)</f>
        <v/>
      </c>
      <c r="S160">
        <f>S161</f>
        <v/>
      </c>
      <c r="T160">
        <f>(E160/100000+F160/100+(P160/1000)*J160/5+S160/200)*200*I160*H160</f>
        <v/>
      </c>
      <c r="U160">
        <f>((E160*F160/25000)+((P160/1000)*J160*S160/2.5))*I160*H160</f>
        <v/>
      </c>
      <c r="V160">
        <f>(E160*F160*(P160/1000)*J160*S160*I160*H160)/12500000</f>
        <v/>
      </c>
      <c r="W160">
        <f>(((E160/240000)+(F160/95)+(S160/600)+((P160/5500)*J160))*800/4+(((E160/240000)*(F160/95))+(((P160/5500)*J160)*(S160/600)))*800/2+((E160/240000)*(F160/95)*((P160/5500)*J160)*(S160/600))*800)*(H160/1.0)/3</f>
        <v/>
      </c>
      <c r="X160" s="6" t="n">
        <v>600</v>
      </c>
      <c r="Y160">
        <f>IFERROR(W160-X160,"")</f>
        <v/>
      </c>
      <c r="Z160">
        <f>IFERROR(ABS(Y160)/MAX(X160,1),"")</f>
        <v/>
      </c>
      <c r="AA160">
        <f>IFERROR(ROUND(((3*X160-(((E160/240000)+(F160/95)+(S160/600))*800/4+((E160/240000)*(F160/95))*800/2)*(H160/1.0))/(800/4+((S160/600))*800/2+((E160/240000)*(F160/95)*(S160/600))*800)*(H160/1.0)*5500)/J160,-1),"")</f>
        <v/>
      </c>
    </row>
    <row r="161">
      <c r="B161" s="7" t="inlineStr">
        <is>
          <t xml:space="preserve">  ↳ 80mm_H</t>
        </is>
      </c>
      <c r="C161" s="7" t="inlineStr">
        <is>
          <t>Armament</t>
        </is>
      </c>
      <c r="L161" s="6" t="n">
        <v>8000</v>
      </c>
      <c r="M161" s="6" t="n">
        <v>55</v>
      </c>
      <c r="N161" s="6" t="n">
        <v>1</v>
      </c>
      <c r="O161" s="6" t="n"/>
      <c r="P161" s="6" t="n">
        <v>5120</v>
      </c>
      <c r="Q161" s="6" t="n">
        <v>1</v>
      </c>
      <c r="R161">
        <f>M161+IF(N161&gt;1,N(O161)*(N161-1),0)</f>
        <v/>
      </c>
      <c r="S161">
        <f>IFERROR(L161*MAX(N161,1)/R161*IF(ISBLANK(K160),1,K160),0)</f>
        <v/>
      </c>
      <c r="AB161" s="7" t="inlineStr">
        <is>
          <t>^Warhead_CannonHE_Medium</t>
        </is>
      </c>
    </row>
    <row r="162">
      <c r="A162" t="inlineStr">
        <is>
          <t>starcraft</t>
        </is>
      </c>
      <c r="B162" t="inlineStr">
        <is>
          <t>protoss_dragoon</t>
        </is>
      </c>
      <c r="C162" t="inlineStr">
        <is>
          <t>Dragoon</t>
        </is>
      </c>
      <c r="D162" s="6" t="inlineStr">
        <is>
          <t>MainBattleTank</t>
        </is>
      </c>
      <c r="E162" s="6" t="n">
        <v>75000</v>
      </c>
      <c r="F162" s="6" t="n">
        <v>80</v>
      </c>
      <c r="G162" t="inlineStr">
        <is>
          <t>Heavy</t>
        </is>
      </c>
      <c r="H162" s="6" t="n">
        <v>1</v>
      </c>
      <c r="I162" s="6" t="n">
        <v>1</v>
      </c>
      <c r="J162" s="6" t="n">
        <v>1</v>
      </c>
      <c r="K162" s="6" t="n">
        <v>0.005</v>
      </c>
      <c r="P162">
        <f>MAX(P163)</f>
        <v/>
      </c>
      <c r="S162">
        <f>S163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(((E162/240000)+(F162/95)+(S162/600)+((P162/5500)*J162))*800/4+(((E162/240000)*(F162/95))+(((P162/5500)*J162)*(S162/600)))*800/2+((E162/240000)*(F162/95)*((P162/5500)*J162)*(S162/600))*800)*(H162/1.0)/3</f>
        <v/>
      </c>
      <c r="X162" s="6" t="n">
        <v>1200</v>
      </c>
      <c r="Y162">
        <f>IFERROR(W162-X162,"")</f>
        <v/>
      </c>
      <c r="Z162">
        <f>IFERROR(ABS(Y162)/MAX(X162,1),"")</f>
        <v/>
      </c>
      <c r="AA162">
        <f>IFERROR(ROUND(((3*X162-(((E162/240000)+(F162/95)+(S162/600))*800/4+((E162/240000)*(F162/95))*800/2)*(H162/1.0))/(800/4+((S162/600))*800/2+((E162/240000)*(F162/95)*(S162/600))*800)*(H162/1.0)*5500)/J162,-1),"")</f>
        <v/>
      </c>
    </row>
    <row r="163">
      <c r="B163" s="7" t="inlineStr">
        <is>
          <t xml:space="preserve">  ↳ DragoonCannon</t>
        </is>
      </c>
      <c r="C163" s="7" t="inlineStr">
        <is>
          <t>Armament</t>
        </is>
      </c>
      <c r="L163" s="6" t="n">
        <v>40000</v>
      </c>
      <c r="M163" s="6" t="n">
        <v>40</v>
      </c>
      <c r="N163" s="6" t="n">
        <v>1</v>
      </c>
      <c r="O163" s="6" t="n"/>
      <c r="P163" s="6" t="n">
        <v>5000</v>
      </c>
      <c r="Q163" s="6" t="n">
        <v>1</v>
      </c>
      <c r="R163">
        <f>M163+IF(N163&gt;1,N(O163)*(N163-1),0)</f>
        <v/>
      </c>
      <c r="S163">
        <f>IFERROR(L163*MAX(N163,1)/R163*IF(ISBLANK(K162),1,K162),0)</f>
        <v/>
      </c>
      <c r="AB163" s="7" t="inlineStr">
        <is>
          <t>PhotonCannon</t>
        </is>
      </c>
    </row>
    <row r="164">
      <c r="A164" t="inlineStr">
        <is>
          <t>starcraft</t>
        </is>
      </c>
      <c r="B164" t="inlineStr">
        <is>
          <t>terran_matador</t>
        </is>
      </c>
      <c r="C164" t="inlineStr">
        <is>
          <t>Matador</t>
        </is>
      </c>
      <c r="D164" s="6" t="inlineStr">
        <is>
          <t>MainBattleTank</t>
        </is>
      </c>
      <c r="E164" s="6" t="n">
        <v>100000</v>
      </c>
      <c r="F164" s="6" t="n">
        <v>100</v>
      </c>
      <c r="G164" t="inlineStr">
        <is>
          <t>Medium</t>
        </is>
      </c>
      <c r="H164" s="6" t="n">
        <v>1</v>
      </c>
      <c r="I164" s="6" t="n">
        <v>1</v>
      </c>
      <c r="J164" s="6" t="n">
        <v>1</v>
      </c>
      <c r="K164" s="6" t="n"/>
      <c r="P164">
        <f>MAX(P165,P166)</f>
        <v/>
      </c>
      <c r="S164">
        <f>S165+S166</f>
        <v/>
      </c>
      <c r="T164">
        <f>(E164/100000+F164/100+(P164/1000)*J164/5+S164/200)*200*I164*H164</f>
        <v/>
      </c>
      <c r="U164">
        <f>((E164*F164/25000)+((P164/1000)*J164*S164/2.5))*I164*H164</f>
        <v/>
      </c>
      <c r="V164">
        <f>(E164*F164*(P164/1000)*J164*S164*I164*H164)/12500000</f>
        <v/>
      </c>
      <c r="W164">
        <f>(((E164/240000)+(F164/95)+(S164/600)+((P164/5500)*J164))*800/4+(((E164/240000)*(F164/95))+(((P164/5500)*J164)*(S164/600)))*800/2+((E164/240000)*(F164/95)*((P164/5500)*J164)*(S164/600))*800)*(H164/1.0)/3</f>
        <v/>
      </c>
      <c r="X164" s="6" t="n">
        <v>1700</v>
      </c>
      <c r="Y164">
        <f>IFERROR(W164-X164,"")</f>
        <v/>
      </c>
      <c r="Z164">
        <f>IFERROR(ABS(Y164)/MAX(X164,1),"")</f>
        <v/>
      </c>
      <c r="AA164">
        <f>IFERROR(ROUND(((3*X164-(((E164/240000)+(F164/95)+(S164/600))*800/4+((E164/240000)*(F164/95))*800/2)*(H164/1.0))/(800/4+((S164/600))*800/2+((E164/240000)*(F164/95)*(S164/600))*800)*(H164/1.0)*5500)/J164,-1),"")</f>
        <v/>
      </c>
    </row>
    <row r="165">
      <c r="B165" s="7" t="inlineStr">
        <is>
          <t xml:space="preserve">  ↳ MatadorFlamer</t>
        </is>
      </c>
      <c r="C165" s="7" t="inlineStr">
        <is>
          <t>Armament</t>
        </is>
      </c>
      <c r="L165" s="6" t="n">
        <v>6000</v>
      </c>
      <c r="M165" s="6" t="n">
        <v>18</v>
      </c>
      <c r="N165" s="6" t="n">
        <v>13</v>
      </c>
      <c r="O165" s="6" t="n">
        <v>2</v>
      </c>
      <c r="P165" s="6" t="n">
        <v>5938</v>
      </c>
      <c r="Q165" s="6" t="n">
        <v>1</v>
      </c>
      <c r="R165">
        <f>M165+IF(N165&gt;1,N(O165)*(N165-1),0)</f>
        <v/>
      </c>
      <c r="S165">
        <f>IFERROR(L165*MAX(N165,1)/R165*IF(ISBLANK(K164),1,K164),0)</f>
        <v/>
      </c>
      <c r="AB165" s="7" t="inlineStr">
        <is>
          <t>^Warhead_Flame_Light, ^Warhead_Flame_Medium, ^Warhead_Flame_Heavy</t>
        </is>
      </c>
    </row>
    <row r="166">
      <c r="B166" s="7" t="inlineStr">
        <is>
          <t xml:space="preserve">  ↳ MatadorLaser</t>
        </is>
      </c>
      <c r="C166" s="7" t="inlineStr">
        <is>
          <t>Armament@DEPLOYED</t>
        </is>
      </c>
      <c r="L166" s="6" t="n">
        <v>32000</v>
      </c>
      <c r="M166" s="6" t="n">
        <v>39</v>
      </c>
      <c r="N166" s="6" t="n">
        <v>1</v>
      </c>
      <c r="O166" s="6" t="n"/>
      <c r="P166" s="6" t="n">
        <v>6590</v>
      </c>
      <c r="Q166" s="6" t="n">
        <v>1.25</v>
      </c>
      <c r="R166">
        <f>M166+IF(N166&gt;1,N(O166)*(N166-1),0)</f>
        <v/>
      </c>
      <c r="S166">
        <f>IFERROR(L166*MAX(N166,1)/R166*IF(ISBLANK(K164),1,K164),0)</f>
        <v/>
      </c>
      <c r="AB166" s="7" t="inlineStr">
        <is>
          <t>^Warhead_Laser_Heavy</t>
        </is>
      </c>
    </row>
    <row r="167">
      <c r="A167" s="4" t="inlineStr">
        <is>
          <t>HighTechTank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>
      <c r="A168" t="inlineStr">
        <is>
          <t>tiberiandawn</t>
        </is>
      </c>
      <c r="B168" t="inlineStr">
        <is>
          <t>td_gdi_mammothtank</t>
        </is>
      </c>
      <c r="C168" t="inlineStr">
        <is>
          <t>GDI Mammoth Tank</t>
        </is>
      </c>
      <c r="D168" s="6" t="inlineStr">
        <is>
          <t>HighTechTank</t>
        </is>
      </c>
      <c r="E168" s="6" t="n">
        <v>225000</v>
      </c>
      <c r="F168" s="6" t="n">
        <v>60</v>
      </c>
      <c r="G168" t="inlineStr">
        <is>
          <t>Superheavy</t>
        </is>
      </c>
      <c r="H168" s="6" t="n">
        <v>0.75</v>
      </c>
      <c r="I168" s="6" t="n">
        <v>1</v>
      </c>
      <c r="J168" s="6" t="n">
        <v>1</v>
      </c>
      <c r="K168" s="6" t="n"/>
      <c r="P168">
        <f>MAX(P169,P170,P171,P172)</f>
        <v/>
      </c>
      <c r="S168">
        <f>S169+S170+S171+S172</f>
        <v/>
      </c>
      <c r="T168">
        <f>(E168/100000+F168/100+(P168/1000)*J168/5+S168/200)*200*I168*H168</f>
        <v/>
      </c>
      <c r="U168">
        <f>((E168*F168/25000)+((P168/1000)*J168*S168/2.5))*I168*H168</f>
        <v/>
      </c>
      <c r="V168">
        <f>(E168*F168*(P168/1000)*J168*S168*I168*H168)/12500000</f>
        <v/>
      </c>
      <c r="W168">
        <f>(((E168/700000)+(F168/65)+(S168/2000)+((P168/6500)*J168))*2000/4+(((E168/700000)*(F168/65))+(((P168/6500)*J168)*(S168/2000)))*2000/2+((E168/700000)*(F168/65)*((P168/6500)*J168)*(S168/2000))*2000)*(H168/0.75)/3</f>
        <v/>
      </c>
      <c r="X168" s="6" t="n">
        <v>1600</v>
      </c>
      <c r="Y168">
        <f>IFERROR(W168-X168,"")</f>
        <v/>
      </c>
      <c r="Z168">
        <f>IFERROR(ABS(Y168)/MAX(X168,1),"")</f>
        <v/>
      </c>
      <c r="AA168">
        <f>IFERROR(ROUND(((3*X168-(((E168/700000)+(F168/65)+(S168/2000))*2000/4+((E168/700000)*(F168/65))*2000/2)*(H168/0.75))/(2000/4+((S168/2000))*2000/2+((E168/700000)*(F168/65)*(S168/2000))*2000)*(H168/0.75)*6500)/J168,-1),"")</f>
        <v/>
      </c>
    </row>
    <row r="169">
      <c r="B169" s="7" t="inlineStr">
        <is>
          <t xml:space="preserve">  ↳ 120mmDual</t>
        </is>
      </c>
      <c r="C169" s="7" t="inlineStr">
        <is>
          <t>Armament@PRIMARY</t>
        </is>
      </c>
      <c r="L169" s="6" t="n">
        <v>8000</v>
      </c>
      <c r="M169" s="6" t="n">
        <v>72</v>
      </c>
      <c r="N169" s="6" t="n">
        <v>2</v>
      </c>
      <c r="O169" s="6" t="n">
        <v>8</v>
      </c>
      <c r="P169" s="6" t="n">
        <v>6141</v>
      </c>
      <c r="Q169" s="6" t="n">
        <v>1.25</v>
      </c>
      <c r="R169">
        <f>M169+IF(N169&gt;1,N(O169)*(N169-1),0)</f>
        <v/>
      </c>
      <c r="S169">
        <f>IFERROR(L169*MAX(N169,1)/R169*IF(ISBLANK(K168),1,K168),0)</f>
        <v/>
      </c>
      <c r="AB169" s="7" t="inlineStr">
        <is>
          <t>^Warhead_CannonHE_Heavy</t>
        </is>
      </c>
    </row>
    <row r="170">
      <c r="B170" s="7" t="inlineStr">
        <is>
          <t xml:space="preserve">  ↳ 120mmDualHV</t>
        </is>
      </c>
      <c r="C170" s="7" t="inlineStr">
        <is>
          <t>Armament@HV</t>
        </is>
      </c>
      <c r="L170" s="6" t="n">
        <v>16000</v>
      </c>
      <c r="M170" s="6" t="n">
        <v>72</v>
      </c>
      <c r="N170" s="6" t="n">
        <v>2</v>
      </c>
      <c r="O170" s="6" t="n">
        <v>8</v>
      </c>
      <c r="P170" s="6" t="n">
        <v>6141</v>
      </c>
      <c r="Q170" s="6" t="n">
        <v>1.25</v>
      </c>
      <c r="R170">
        <f>M170+IF(N170&gt;1,N(O170)*(N170-1),0)</f>
        <v/>
      </c>
      <c r="S170">
        <f>IFERROR(L170*MAX(N170,1)/R170*IF(ISBLANK(K168),1,K168),0)</f>
        <v/>
      </c>
      <c r="AB170" s="7" t="inlineStr">
        <is>
          <t>^Warhead_CannonHE_Heavy</t>
        </is>
      </c>
    </row>
    <row r="171">
      <c r="B171" s="7" t="inlineStr">
        <is>
          <t xml:space="preserve">  ↳ MammothMissiles</t>
        </is>
      </c>
      <c r="C171" s="7" t="inlineStr">
        <is>
          <t>Armament@SECONDARY</t>
        </is>
      </c>
      <c r="L171" s="6" t="n">
        <v>8000</v>
      </c>
      <c r="M171" s="6" t="n">
        <v>68</v>
      </c>
      <c r="N171" s="6" t="n">
        <v>2</v>
      </c>
      <c r="O171" s="6" t="n">
        <v>12</v>
      </c>
      <c r="P171" s="6" t="n">
        <v>6141</v>
      </c>
      <c r="Q171" s="6" t="n">
        <v>1.25</v>
      </c>
      <c r="R171">
        <f>M171+IF(N171&gt;1,N(O171)*(N171-1),0)</f>
        <v/>
      </c>
      <c r="S171">
        <f>IFERROR(L171*MAX(N171,1)/R171*IF(ISBLANK(K168),1,K168),0)</f>
        <v/>
      </c>
      <c r="AB171" s="7" t="inlineStr">
        <is>
          <t>^Warhead_MissileAP_Heavy</t>
        </is>
      </c>
    </row>
    <row r="172">
      <c r="B172" s="7" t="inlineStr">
        <is>
          <t xml:space="preserve">  ↳ MammothMissilesAMT</t>
        </is>
      </c>
      <c r="C172" s="7" t="inlineStr">
        <is>
          <t>Armament@AdvancedMissileTargeting</t>
        </is>
      </c>
      <c r="L172" s="6" t="n">
        <v>8000</v>
      </c>
      <c r="M172" s="6" t="n">
        <v>68</v>
      </c>
      <c r="N172" s="6" t="n">
        <v>2</v>
      </c>
      <c r="O172" s="6" t="n">
        <v>12</v>
      </c>
      <c r="P172" s="6" t="n">
        <v>6141</v>
      </c>
      <c r="Q172" s="6" t="n">
        <v>1.25</v>
      </c>
      <c r="R172">
        <f>M172+IF(N172&gt;1,N(O172)*(N172-1),0)</f>
        <v/>
      </c>
      <c r="S172">
        <f>IFERROR(L172*MAX(N172,1)/R172*IF(ISBLANK(K168),1,K168),0)</f>
        <v/>
      </c>
      <c r="AB172" s="7" t="inlineStr">
        <is>
          <t>^Warhead_MissileAP_Heavy</t>
        </is>
      </c>
    </row>
    <row r="173">
      <c r="A173" t="inlineStr">
        <is>
          <t>tiberiandawn</t>
        </is>
      </c>
      <c r="B173" t="inlineStr">
        <is>
          <t>td_gdi_mammothtankmkiii</t>
        </is>
      </c>
      <c r="C173" t="inlineStr">
        <is>
          <t>Mammoth Tank Mk. III</t>
        </is>
      </c>
      <c r="D173" s="6" t="inlineStr">
        <is>
          <t>HighTechTank</t>
        </is>
      </c>
      <c r="E173" s="6" t="n">
        <v>500000</v>
      </c>
      <c r="F173" s="6" t="n">
        <v>55</v>
      </c>
      <c r="G173" t="inlineStr">
        <is>
          <t>Superheavy</t>
        </is>
      </c>
      <c r="H173" s="6" t="n">
        <v>0.3793</v>
      </c>
      <c r="I173" s="6" t="n">
        <v>1</v>
      </c>
      <c r="J173" s="6" t="n">
        <v>1</v>
      </c>
      <c r="K173" s="6" t="n"/>
      <c r="P173">
        <f>MAX(P174,P175,P176,P177)</f>
        <v/>
      </c>
      <c r="S173">
        <f>S174+S175+S176+S177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(((E173/700000)+(F173/65)+(S173/2000)+((P173/6500)*J173))*2000/4+(((E173/700000)*(F173/65))+(((P173/6500)*J173)*(S173/2000)))*2000/2+((E173/700000)*(F173/65)*((P173/6500)*J173)*(S173/2000))*2000)*(H173/0.75)/3</f>
        <v/>
      </c>
      <c r="X173" s="6" t="n">
        <v>3000</v>
      </c>
      <c r="Y173">
        <f>IFERROR(W173-X173,"")</f>
        <v/>
      </c>
      <c r="Z173">
        <f>IFERROR(ABS(Y173)/MAX(X173,1),"")</f>
        <v/>
      </c>
      <c r="AA173">
        <f>IFERROR(ROUND(((3*X173-(((E173/700000)+(F173/65)+(S173/2000))*2000/4+((E173/700000)*(F173/65))*2000/2)*(H173/0.75))/(2000/4+((S173/2000))*2000/2+((E173/700000)*(F173/65)*(S173/2000))*2000)*(H173/0.75)*6500)/J173,-1),"")</f>
        <v/>
      </c>
    </row>
    <row r="174">
      <c r="B174" s="7" t="inlineStr">
        <is>
          <t xml:space="preserve">  ↳ MammothTank3Cannons</t>
        </is>
      </c>
      <c r="C174" s="7" t="inlineStr">
        <is>
          <t>Armament@PRIMARY</t>
        </is>
      </c>
      <c r="L174" s="6" t="n">
        <v>12000</v>
      </c>
      <c r="M174" s="6" t="n">
        <v>102</v>
      </c>
      <c r="N174" s="6" t="n">
        <v>2</v>
      </c>
      <c r="O174" s="6" t="n">
        <v>8</v>
      </c>
      <c r="P174" s="6" t="n">
        <v>6340</v>
      </c>
      <c r="Q174" s="6" t="n">
        <v>1.25</v>
      </c>
      <c r="R174">
        <f>M174+IF(N174&gt;1,N(O174)*(N174-1),0)</f>
        <v/>
      </c>
      <c r="S174">
        <f>IFERROR(L174*MAX(N174,1)/R174*IF(ISBLANK(K173),1,K173),0)</f>
        <v/>
      </c>
      <c r="AB174" s="7" t="inlineStr">
        <is>
          <t>^Warhead_CannonHE_Heavy</t>
        </is>
      </c>
    </row>
    <row r="175">
      <c r="B175" s="7" t="inlineStr">
        <is>
          <t xml:space="preserve">  ↳ MammothTank3CannonsHV</t>
        </is>
      </c>
      <c r="C175" s="7" t="inlineStr">
        <is>
          <t>Armament@HV</t>
        </is>
      </c>
      <c r="L175" s="6" t="n">
        <v>24000</v>
      </c>
      <c r="M175" s="6" t="n">
        <v>102</v>
      </c>
      <c r="N175" s="6" t="n">
        <v>2</v>
      </c>
      <c r="O175" s="6" t="n">
        <v>8</v>
      </c>
      <c r="P175" s="6" t="n">
        <v>6340</v>
      </c>
      <c r="Q175" s="6" t="n">
        <v>1.25</v>
      </c>
      <c r="R175">
        <f>M175+IF(N175&gt;1,N(O175)*(N175-1),0)</f>
        <v/>
      </c>
      <c r="S175">
        <f>IFERROR(L175*MAX(N175,1)/R175*IF(ISBLANK(K173),1,K173),0)</f>
        <v/>
      </c>
      <c r="AB175" s="7" t="inlineStr">
        <is>
          <t>^Warhead_CannonHE_Heavy</t>
        </is>
      </c>
    </row>
    <row r="176">
      <c r="B176" s="7" t="inlineStr">
        <is>
          <t xml:space="preserve">  ↳ MammothTank3Missiles</t>
        </is>
      </c>
      <c r="C176" s="7" t="inlineStr">
        <is>
          <t>Armament@SECONDARY</t>
        </is>
      </c>
      <c r="L176" s="6" t="n">
        <v>12000</v>
      </c>
      <c r="M176" s="6" t="n">
        <v>98</v>
      </c>
      <c r="N176" s="6" t="n">
        <v>2</v>
      </c>
      <c r="O176" s="6" t="n">
        <v>12</v>
      </c>
      <c r="P176" s="6" t="n">
        <v>6340</v>
      </c>
      <c r="Q176" s="6" t="n">
        <v>1.25</v>
      </c>
      <c r="R176">
        <f>M176+IF(N176&gt;1,N(O176)*(N176-1),0)</f>
        <v/>
      </c>
      <c r="S176">
        <f>IFERROR(L176*MAX(N176,1)/R176*IF(ISBLANK(K173),1,K173),0)</f>
        <v/>
      </c>
      <c r="AB176" s="7" t="inlineStr">
        <is>
          <t>^Warhead_MissileAP_Heavy</t>
        </is>
      </c>
    </row>
    <row r="177">
      <c r="B177" s="7" t="inlineStr">
        <is>
          <t xml:space="preserve">  ↳ MammothTank3MissilesAMT</t>
        </is>
      </c>
      <c r="C177" s="7" t="inlineStr">
        <is>
          <t>Armament@AdvancedMissileTargeting</t>
        </is>
      </c>
      <c r="L177" s="6" t="n">
        <v>12000</v>
      </c>
      <c r="M177" s="6" t="n">
        <v>98</v>
      </c>
      <c r="N177" s="6" t="n">
        <v>2</v>
      </c>
      <c r="O177" s="6" t="n">
        <v>12</v>
      </c>
      <c r="P177" s="6" t="n">
        <v>6340</v>
      </c>
      <c r="Q177" s="6" t="n">
        <v>1.25</v>
      </c>
      <c r="R177">
        <f>M177+IF(N177&gt;1,N(O177)*(N177-1),0)</f>
        <v/>
      </c>
      <c r="S177">
        <f>IFERROR(L177*MAX(N177,1)/R177*IF(ISBLANK(K173),1,K173),0)</f>
        <v/>
      </c>
      <c r="AB177" s="7" t="inlineStr">
        <is>
          <t>^Warhead_MissileAP_Heavy</t>
        </is>
      </c>
    </row>
    <row r="178">
      <c r="A178" t="inlineStr">
        <is>
          <t>tiberiandawn</t>
        </is>
      </c>
      <c r="B178" t="inlineStr">
        <is>
          <t>td_nod_chemicalstealthtank</t>
        </is>
      </c>
      <c r="C178" t="inlineStr">
        <is>
          <t>Chemical Stealth Tank</t>
        </is>
      </c>
      <c r="D178" s="6" t="inlineStr">
        <is>
          <t>HighTechTank</t>
        </is>
      </c>
      <c r="E178" s="6" t="n">
        <v>90000</v>
      </c>
      <c r="F178" s="6" t="n">
        <v>120</v>
      </c>
      <c r="G178" t="inlineStr">
        <is>
          <t>Superheavy</t>
        </is>
      </c>
      <c r="H178" s="6" t="n">
        <v>0.75</v>
      </c>
      <c r="I178" s="6" t="n">
        <v>1</v>
      </c>
      <c r="J178" s="6" t="n">
        <v>1.25</v>
      </c>
      <c r="K178" s="6" t="n"/>
      <c r="P178">
        <f>MAX(P179)</f>
        <v/>
      </c>
      <c r="S178">
        <f>S179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(((E178/700000)+(F178/65)+(S178/2000)+((P178/6500)*J178))*2000/4+(((E178/700000)*(F178/65))+(((P178/6500)*J178)*(S178/2000)))*2000/2+((E178/700000)*(F178/65)*((P178/6500)*J178)*(S178/2000))*2000)*(H178/0.75)/3</f>
        <v/>
      </c>
      <c r="X178" s="6" t="n">
        <v>1800</v>
      </c>
      <c r="Y178">
        <f>IFERROR(W178-X178,"")</f>
        <v/>
      </c>
      <c r="Z178">
        <f>IFERROR(ABS(Y178)/MAX(X178,1),"")</f>
        <v/>
      </c>
      <c r="AA178">
        <f>IFERROR(ROUND(((3*X178-(((E178/700000)+(F178/65)+(S178/2000))*2000/4+((E178/700000)*(F178/65))*2000/2)*(H178/0.75))/(2000/4+((S178/2000))*2000/2+((E178/700000)*(F178/65)*(S178/2000))*2000)*(H178/0.75)*6500)/J178,-1),"")</f>
        <v/>
      </c>
    </row>
    <row r="179">
      <c r="B179" s="7" t="inlineStr">
        <is>
          <t xml:space="preserve">  ↳ ChemicalStealthTankMissiles</t>
        </is>
      </c>
      <c r="C179" s="7" t="inlineStr">
        <is>
          <t>Armament</t>
        </is>
      </c>
      <c r="L179" s="6" t="n">
        <v>30000</v>
      </c>
      <c r="M179" s="6" t="n">
        <v>60</v>
      </c>
      <c r="N179" s="6" t="n">
        <v>1</v>
      </c>
      <c r="O179" s="6" t="n"/>
      <c r="P179" s="6" t="n">
        <v>6962</v>
      </c>
      <c r="Q179" s="6" t="n">
        <v>1</v>
      </c>
      <c r="R179">
        <f>M179+IF(N179&gt;1,N(O179)*(N179-1),0)</f>
        <v/>
      </c>
      <c r="S179">
        <f>IFERROR(L179*MAX(N179,1)/R179*IF(ISBLANK(K178),1,K178),0)</f>
        <v/>
      </c>
      <c r="AB179" s="7" t="inlineStr">
        <is>
          <t>^ShrapnelWeapon, ^MediumChemicalWeapon, ^MediumMissile</t>
        </is>
      </c>
    </row>
    <row r="180">
      <c r="A180" t="inlineStr">
        <is>
          <t>redalert</t>
        </is>
      </c>
      <c r="B180" t="inlineStr">
        <is>
          <t>japan_hovercraftflametank</t>
        </is>
      </c>
      <c r="C180" t="inlineStr">
        <is>
          <t>Hovercraft Flametank</t>
        </is>
      </c>
      <c r="D180" s="6" t="inlineStr">
        <is>
          <t>HighTechTank</t>
        </is>
      </c>
      <c r="E180" s="6" t="n">
        <v>120000</v>
      </c>
      <c r="F180" s="6" t="n">
        <v>90</v>
      </c>
      <c r="G180" t="inlineStr">
        <is>
          <t>Superheavy</t>
        </is>
      </c>
      <c r="H180" s="6" t="n">
        <v>0.75</v>
      </c>
      <c r="I180" s="6" t="n">
        <v>1</v>
      </c>
      <c r="J180" s="6" t="n">
        <v>1</v>
      </c>
      <c r="K180" s="6" t="n"/>
      <c r="P180">
        <f>MAX(P181,P182)</f>
        <v/>
      </c>
      <c r="S180">
        <f>S181+S182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(((E180/700000)+(F180/65)+(S180/2000)+((P180/6500)*J180))*2000/4+(((E180/700000)*(F180/65))+(((P180/6500)*J180)*(S180/2000)))*2000/2+((E180/700000)*(F180/65)*((P180/6500)*J180)*(S180/2000))*2000)*(H180/0.75)/3</f>
        <v/>
      </c>
      <c r="X180" s="6" t="n">
        <v>1700</v>
      </c>
      <c r="Y180">
        <f>IFERROR(W180-X180,"")</f>
        <v/>
      </c>
      <c r="Z180">
        <f>IFERROR(ABS(Y180)/MAX(X180,1),"")</f>
        <v/>
      </c>
      <c r="AA180">
        <f>IFERROR(ROUND(((3*X180-(((E180/700000)+(F180/65)+(S180/2000))*2000/4+((E180/700000)*(F180/65))*2000/2)*(H180/0.75))/(2000/4+((S180/2000))*2000/2+((E180/700000)*(F180/65)*(S180/2000))*2000)*(H180/0.75)*6500)/J180,-1),"")</f>
        <v/>
      </c>
    </row>
    <row r="181">
      <c r="B181" s="7" t="inlineStr">
        <is>
          <t xml:space="preserve">  ↳ HeavyFlamer</t>
        </is>
      </c>
      <c r="C181" s="7" t="inlineStr">
        <is>
          <t>Armament</t>
        </is>
      </c>
      <c r="L181" s="6" t="n">
        <v>2000</v>
      </c>
      <c r="M181" s="6" t="n">
        <v>60</v>
      </c>
      <c r="N181" s="6" t="n">
        <v>30</v>
      </c>
      <c r="O181" s="6" t="n">
        <v>1</v>
      </c>
      <c r="P181" s="6" t="n">
        <v>6000</v>
      </c>
      <c r="Q181" s="6" t="n">
        <v>1</v>
      </c>
      <c r="R181">
        <f>M181+IF(N181&gt;1,N(O181)*(N181-1),0)</f>
        <v/>
      </c>
      <c r="S181">
        <f>IFERROR(L181*MAX(N181,1)/R181*IF(ISBLANK(K180),1,K180),0)</f>
        <v/>
      </c>
      <c r="AB181" s="7" t="inlineStr">
        <is>
          <t>^Warhead_Flame_Medium</t>
        </is>
      </c>
    </row>
    <row r="182">
      <c r="B182" s="7" t="inlineStr">
        <is>
          <t xml:space="preserve">  ↳ HeavyPlasmaFlamer</t>
        </is>
      </c>
      <c r="C182" s="7" t="inlineStr">
        <is>
          <t>Armament@Upgrade</t>
        </is>
      </c>
      <c r="L182" s="6" t="n">
        <v>4000</v>
      </c>
      <c r="M182" s="6" t="n">
        <v>60</v>
      </c>
      <c r="N182" s="6" t="n">
        <v>30</v>
      </c>
      <c r="O182" s="6" t="n">
        <v>1</v>
      </c>
      <c r="P182" s="6" t="n">
        <v>6000</v>
      </c>
      <c r="Q182" s="6" t="n">
        <v>1.25</v>
      </c>
      <c r="R182">
        <f>M182+IF(N182&gt;1,N(O182)*(N182-1),0)</f>
        <v/>
      </c>
      <c r="S182">
        <f>IFERROR(L182*MAX(N182,1)/R182*IF(ISBLANK(K180),1,K180),0)</f>
        <v/>
      </c>
      <c r="AB182" s="7" t="inlineStr">
        <is>
          <t>^Warhead_Chemical_Heavy, ^Warhead_Flame_Heavy</t>
        </is>
      </c>
    </row>
    <row r="183">
      <c r="A183" t="inlineStr">
        <is>
          <t>redalert</t>
        </is>
      </c>
      <c r="B183" t="inlineStr">
        <is>
          <t>japan_oitank</t>
        </is>
      </c>
      <c r="C183" t="inlineStr">
        <is>
          <t>O-I Tank</t>
        </is>
      </c>
      <c r="D183" s="6" t="inlineStr">
        <is>
          <t>HighTechTank</t>
        </is>
      </c>
      <c r="E183" s="6" t="n">
        <v>650000</v>
      </c>
      <c r="F183" s="6" t="n">
        <v>50</v>
      </c>
      <c r="G183" t="inlineStr">
        <is>
          <t>Superheavy</t>
        </is>
      </c>
      <c r="H183" s="6" t="n">
        <v>0.75</v>
      </c>
      <c r="I183" s="6" t="n">
        <v>1</v>
      </c>
      <c r="J183" s="6" t="n">
        <v>1</v>
      </c>
      <c r="K183" s="6" t="n"/>
      <c r="P183">
        <f>MAX(P184,P185,P186,P187,P188,P189,P190,P191,P192,P193,P194,P195)</f>
        <v/>
      </c>
      <c r="S183">
        <f>S184+S185+S186+S187+S188+S189+S190+S191+S192+S193+S194+S195</f>
        <v/>
      </c>
      <c r="T183">
        <f>(E183/100000+F183/100+(P183/1000)*J183/5+S183/200)*200*I183*H183</f>
        <v/>
      </c>
      <c r="U183">
        <f>((E183*F183/25000)+((P183/1000)*J183*S183/2.5))*I183*H183</f>
        <v/>
      </c>
      <c r="V183">
        <f>(E183*F183*(P183/1000)*J183*S183*I183*H183)/12500000</f>
        <v/>
      </c>
      <c r="W183">
        <f>(((E183/700000)+(F183/65)+(S183/2000)+((P183/6500)*J183))*2000/4+(((E183/700000)*(F183/65))+(((P183/6500)*J183)*(S183/2000)))*2000/2+((E183/700000)*(F183/65)*((P183/6500)*J183)*(S183/2000))*2000)*(H183/0.75)/3</f>
        <v/>
      </c>
      <c r="X183" s="6" t="n">
        <v>7000</v>
      </c>
      <c r="Y183">
        <f>IFERROR(W183-X183,"")</f>
        <v/>
      </c>
      <c r="Z183">
        <f>IFERROR(ABS(Y183)/MAX(X183,1),"")</f>
        <v/>
      </c>
      <c r="AA183">
        <f>IFERROR(ROUND(((3*X183-(((E183/700000)+(F183/65)+(S183/2000))*2000/4+((E183/700000)*(F183/65))*2000/2)*(H183/0.75))/(2000/4+((S183/2000))*2000/2+((E183/700000)*(F183/65)*(S183/2000))*2000)*(H183/0.75)*6500)/J183,-1),"")</f>
        <v/>
      </c>
    </row>
    <row r="184">
      <c r="B184" s="7" t="inlineStr">
        <is>
          <t xml:space="preserve">  ↳ OIBigCannon</t>
        </is>
      </c>
      <c r="C184" s="7" t="inlineStr">
        <is>
          <t>Armament@MAIN</t>
        </is>
      </c>
      <c r="L184" s="6" t="n">
        <v>24000</v>
      </c>
      <c r="M184" s="6" t="n">
        <v>55</v>
      </c>
      <c r="N184" s="6" t="n">
        <v>1</v>
      </c>
      <c r="O184" s="6" t="n"/>
      <c r="P184" s="6" t="n">
        <v>5394</v>
      </c>
      <c r="Q184" s="6" t="n">
        <v>1.25</v>
      </c>
      <c r="R184">
        <f>M184+IF(N184&gt;1,N(O184)*(N184-1),0)</f>
        <v/>
      </c>
      <c r="S184">
        <f>IFERROR(L184*MAX(N184,1)/R184*IF(ISBLANK(K183),1,K183),0)</f>
        <v/>
      </c>
      <c r="AB184" s="7" t="inlineStr">
        <is>
          <t>^Warhead_CannonHE_Heavy</t>
        </is>
      </c>
    </row>
    <row r="185">
      <c r="B185" s="7" t="inlineStr">
        <is>
          <t xml:space="preserve">  ↳ OIBigPlasmaCannon</t>
        </is>
      </c>
      <c r="C185" s="7" t="inlineStr">
        <is>
          <t>Armament@Upgrade</t>
        </is>
      </c>
      <c r="L185" s="6" t="n">
        <v>24000</v>
      </c>
      <c r="M185" s="6" t="n">
        <v>55</v>
      </c>
      <c r="N185" s="6" t="n">
        <v>1</v>
      </c>
      <c r="O185" s="6" t="n"/>
      <c r="P185" s="6" t="n">
        <v>5394</v>
      </c>
      <c r="Q185" s="6" t="n">
        <v>1</v>
      </c>
      <c r="R185">
        <f>M185+IF(N185&gt;1,N(O185)*(N185-1),0)</f>
        <v/>
      </c>
      <c r="S185">
        <f>IFERROR(L185*MAX(N185,1)/R185*IF(ISBLANK(K183),1,K183),0)</f>
        <v/>
      </c>
      <c r="AB185" s="7" t="inlineStr">
        <is>
          <t>^Warhead_Tesla_Heavy, ^Warhead_Railgun_Heavy, ^Warhead_CannonHE_Heavy</t>
        </is>
      </c>
    </row>
    <row r="186">
      <c r="B186" s="7" t="inlineStr">
        <is>
          <t xml:space="preserve">  ↳ OISmallCannon</t>
        </is>
      </c>
      <c r="C186" s="7" t="inlineStr">
        <is>
          <t>Armament@PRIMARY</t>
        </is>
      </c>
      <c r="L186" s="6" t="n">
        <v>8000</v>
      </c>
      <c r="M186" s="6" t="n">
        <v>45</v>
      </c>
      <c r="N186" s="6" t="n">
        <v>1</v>
      </c>
      <c r="O186" s="6" t="n"/>
      <c r="P186" s="6" t="n">
        <v>5394</v>
      </c>
      <c r="Q186" s="6" t="n">
        <v>1</v>
      </c>
      <c r="R186">
        <f>M186+IF(N186&gt;1,N(O186)*(N186-1),0)</f>
        <v/>
      </c>
      <c r="S186">
        <f>IFERROR(L186*MAX(N186,1)/R186*IF(ISBLANK(K183),1,K183),0)</f>
        <v/>
      </c>
      <c r="AB186" s="7" t="inlineStr">
        <is>
          <t>^Warhead_CannonHE_Medium</t>
        </is>
      </c>
    </row>
    <row r="187">
      <c r="B187" s="7" t="inlineStr">
        <is>
          <t xml:space="preserve">  ↳ OISmallCannon</t>
        </is>
      </c>
      <c r="C187" s="7" t="inlineStr">
        <is>
          <t>Armament@SECONDARY</t>
        </is>
      </c>
      <c r="L187" s="6" t="n">
        <v>8000</v>
      </c>
      <c r="M187" s="6" t="n">
        <v>45</v>
      </c>
      <c r="N187" s="6" t="n">
        <v>1</v>
      </c>
      <c r="O187" s="6" t="n"/>
      <c r="P187" s="6" t="n">
        <v>5394</v>
      </c>
      <c r="Q187" s="6" t="n">
        <v>1</v>
      </c>
      <c r="R187">
        <f>M187+IF(N187&gt;1,N(O187)*(N187-1),0)</f>
        <v/>
      </c>
      <c r="S187">
        <f>IFERROR(L187*MAX(N187,1)/R187*IF(ISBLANK(K183),1,K183),0)</f>
        <v/>
      </c>
      <c r="AB187" s="7" t="inlineStr">
        <is>
          <t>^Warhead_CannonHE_Medium</t>
        </is>
      </c>
    </row>
    <row r="188">
      <c r="B188" s="7" t="inlineStr">
        <is>
          <t xml:space="preserve">  ↳ OISmallCannon</t>
        </is>
      </c>
      <c r="C188" s="7" t="inlineStr">
        <is>
          <t>Armament@Back</t>
        </is>
      </c>
      <c r="L188" s="6" t="n">
        <v>8000</v>
      </c>
      <c r="M188" s="6" t="n">
        <v>45</v>
      </c>
      <c r="N188" s="6" t="n">
        <v>1</v>
      </c>
      <c r="O188" s="6" t="n"/>
      <c r="P188" s="6" t="n">
        <v>5394</v>
      </c>
      <c r="Q188" s="6" t="n">
        <v>1</v>
      </c>
      <c r="R188">
        <f>M188+IF(N188&gt;1,N(O188)*(N188-1),0)</f>
        <v/>
      </c>
      <c r="S188">
        <f>IFERROR(L188*MAX(N188,1)/R188*IF(ISBLANK(K183),1,K183),0)</f>
        <v/>
      </c>
      <c r="AB188" s="7" t="inlineStr">
        <is>
          <t>^Warhead_CannonHE_Medium</t>
        </is>
      </c>
    </row>
    <row r="189">
      <c r="B189" s="7" t="inlineStr">
        <is>
          <t xml:space="preserve">  ↳ OISmallPlasmaCannon</t>
        </is>
      </c>
      <c r="C189" s="7" t="inlineStr">
        <is>
          <t>Armament@UpgradePRIMARY</t>
        </is>
      </c>
      <c r="L189" s="6" t="n">
        <v>8000</v>
      </c>
      <c r="M189" s="6" t="n">
        <v>45</v>
      </c>
      <c r="N189" s="6" t="n">
        <v>1</v>
      </c>
      <c r="O189" s="6" t="n"/>
      <c r="P189" s="6" t="n">
        <v>5394</v>
      </c>
      <c r="Q189" s="6" t="n">
        <v>1</v>
      </c>
      <c r="R189">
        <f>M189+IF(N189&gt;1,N(O189)*(N189-1),0)</f>
        <v/>
      </c>
      <c r="S189">
        <f>IFERROR(L189*MAX(N189,1)/R189*IF(ISBLANK(K183),1,K183),0)</f>
        <v/>
      </c>
      <c r="AB189" s="7" t="inlineStr">
        <is>
          <t>^HeavyChemicalWeapon, ^TeslaWeapon, ^RailgunWeapon, ^HeavyCannon</t>
        </is>
      </c>
    </row>
    <row r="190">
      <c r="B190" s="7" t="inlineStr">
        <is>
          <t xml:space="preserve">  ↳ OISmallPlasmaCannon</t>
        </is>
      </c>
      <c r="C190" s="7" t="inlineStr">
        <is>
          <t>Armament@UpgradeSECONDARY</t>
        </is>
      </c>
      <c r="L190" s="6" t="n">
        <v>8000</v>
      </c>
      <c r="M190" s="6" t="n">
        <v>45</v>
      </c>
      <c r="N190" s="6" t="n">
        <v>1</v>
      </c>
      <c r="O190" s="6" t="n"/>
      <c r="P190" s="6" t="n">
        <v>5394</v>
      </c>
      <c r="Q190" s="6" t="n">
        <v>1</v>
      </c>
      <c r="R190">
        <f>M190+IF(N190&gt;1,N(O190)*(N190-1),0)</f>
        <v/>
      </c>
      <c r="S190">
        <f>IFERROR(L190*MAX(N190,1)/R190*IF(ISBLANK(K183),1,K183),0)</f>
        <v/>
      </c>
      <c r="AB190" s="7" t="inlineStr">
        <is>
          <t>^HeavyChemicalWeapon, ^TeslaWeapon, ^RailgunWeapon, ^HeavyCannon</t>
        </is>
      </c>
    </row>
    <row r="191">
      <c r="B191" s="7" t="inlineStr">
        <is>
          <t xml:space="preserve">  ↳ OISmallPlasmaCannon</t>
        </is>
      </c>
      <c r="C191" s="7" t="inlineStr">
        <is>
          <t>Armament@UpgradeBack</t>
        </is>
      </c>
      <c r="L191" s="6" t="n">
        <v>8000</v>
      </c>
      <c r="M191" s="6" t="n">
        <v>45</v>
      </c>
      <c r="N191" s="6" t="n">
        <v>1</v>
      </c>
      <c r="O191" s="6" t="n"/>
      <c r="P191" s="6" t="n">
        <v>5394</v>
      </c>
      <c r="Q191" s="6" t="n">
        <v>1</v>
      </c>
      <c r="R191">
        <f>M191+IF(N191&gt;1,N(O191)*(N191-1),0)</f>
        <v/>
      </c>
      <c r="S191">
        <f>IFERROR(L191*MAX(N191,1)/R191*IF(ISBLANK(K183),1,K183),0)</f>
        <v/>
      </c>
      <c r="AB191" s="7" t="inlineStr">
        <is>
          <t>^HeavyChemicalWeapon, ^TeslaWeapon, ^RailgunWeapon, ^HeavyCannon</t>
        </is>
      </c>
    </row>
    <row r="192">
      <c r="B192" s="7" t="inlineStr">
        <is>
          <t xml:space="preserve">  ↳ OIFlamer</t>
        </is>
      </c>
      <c r="C192" s="7" t="inlineStr">
        <is>
          <t>Armament@PRIMARYFlame</t>
        </is>
      </c>
      <c r="L192" s="6" t="n">
        <v>2000</v>
      </c>
      <c r="M192" s="6" t="n">
        <v>60</v>
      </c>
      <c r="N192" s="6" t="n">
        <v>20</v>
      </c>
      <c r="O192" s="6" t="n">
        <v>1</v>
      </c>
      <c r="P192" s="6" t="n">
        <v>5394</v>
      </c>
      <c r="Q192" s="6" t="n">
        <v>1</v>
      </c>
      <c r="R192">
        <f>M192+IF(N192&gt;1,N(O192)*(N192-1),0)</f>
        <v/>
      </c>
      <c r="S192">
        <f>IFERROR(L192*MAX(N192,1)/R192*IF(ISBLANK(K183),1,K183),0)</f>
        <v/>
      </c>
      <c r="AB192" s="7" t="inlineStr">
        <is>
          <t>^Warhead_Flame_Medium</t>
        </is>
      </c>
    </row>
    <row r="193">
      <c r="B193" s="7" t="inlineStr">
        <is>
          <t xml:space="preserve">  ↳ OIFlamer</t>
        </is>
      </c>
      <c r="C193" s="7" t="inlineStr">
        <is>
          <t>Armament@SECONDARYFlame</t>
        </is>
      </c>
      <c r="L193" s="6" t="n">
        <v>2000</v>
      </c>
      <c r="M193" s="6" t="n">
        <v>60</v>
      </c>
      <c r="N193" s="6" t="n">
        <v>20</v>
      </c>
      <c r="O193" s="6" t="n">
        <v>1</v>
      </c>
      <c r="P193" s="6" t="n">
        <v>5394</v>
      </c>
      <c r="Q193" s="6" t="n">
        <v>1</v>
      </c>
      <c r="R193">
        <f>M193+IF(N193&gt;1,N(O193)*(N193-1),0)</f>
        <v/>
      </c>
      <c r="S193">
        <f>IFERROR(L193*MAX(N193,1)/R193*IF(ISBLANK(K183),1,K183),0)</f>
        <v/>
      </c>
      <c r="AB193" s="7" t="inlineStr">
        <is>
          <t>^Warhead_Flame_Medium</t>
        </is>
      </c>
    </row>
    <row r="194">
      <c r="B194" s="7" t="inlineStr">
        <is>
          <t xml:space="preserve">  ↳ OIPlasmaFlamer</t>
        </is>
      </c>
      <c r="C194" s="7" t="inlineStr">
        <is>
          <t>Armament@UpgradePRIMARYFlame</t>
        </is>
      </c>
      <c r="L194" s="6" t="n">
        <v>4000</v>
      </c>
      <c r="M194" s="6" t="n">
        <v>60</v>
      </c>
      <c r="N194" s="6" t="n">
        <v>20</v>
      </c>
      <c r="O194" s="6" t="n">
        <v>1</v>
      </c>
      <c r="P194" s="6" t="n">
        <v>5394</v>
      </c>
      <c r="Q194" s="6" t="n">
        <v>1.25</v>
      </c>
      <c r="R194">
        <f>M194+IF(N194&gt;1,N(O194)*(N194-1),0)</f>
        <v/>
      </c>
      <c r="S194">
        <f>IFERROR(L194*MAX(N194,1)/R194*IF(ISBLANK(K183),1,K183),0)</f>
        <v/>
      </c>
      <c r="AB194" s="7" t="inlineStr">
        <is>
          <t>^Warhead_Chemical_Heavy, ^Warhead_Flame_Heavy</t>
        </is>
      </c>
    </row>
    <row r="195">
      <c r="B195" s="7" t="inlineStr">
        <is>
          <t xml:space="preserve">  ↳ OIPlasmaFlamer</t>
        </is>
      </c>
      <c r="C195" s="7" t="inlineStr">
        <is>
          <t>Armament@UpgradeSECONDARYFlame</t>
        </is>
      </c>
      <c r="L195" s="6" t="n">
        <v>4000</v>
      </c>
      <c r="M195" s="6" t="n">
        <v>60</v>
      </c>
      <c r="N195" s="6" t="n">
        <v>20</v>
      </c>
      <c r="O195" s="6" t="n">
        <v>1</v>
      </c>
      <c r="P195" s="6" t="n">
        <v>5394</v>
      </c>
      <c r="Q195" s="6" t="n">
        <v>1.25</v>
      </c>
      <c r="R195">
        <f>M195+IF(N195&gt;1,N(O195)*(N195-1),0)</f>
        <v/>
      </c>
      <c r="S195">
        <f>IFERROR(L195*MAX(N195,1)/R195*IF(ISBLANK(K183),1,K183),0)</f>
        <v/>
      </c>
      <c r="AB195" s="7" t="inlineStr">
        <is>
          <t>^Warhead_Chemical_Heavy, ^Warhead_Flame_Heavy</t>
        </is>
      </c>
    </row>
    <row r="196">
      <c r="A196" t="inlineStr">
        <is>
          <t>redalert</t>
        </is>
      </c>
      <c r="B196" t="inlineStr">
        <is>
          <t>ra1_soviets_heavyteslatank</t>
        </is>
      </c>
      <c r="C196" t="inlineStr">
        <is>
          <t>Heavy Tesla Tank</t>
        </is>
      </c>
      <c r="D196" s="6" t="inlineStr">
        <is>
          <t>HighTechTank</t>
        </is>
      </c>
      <c r="E196" s="6" t="n">
        <v>150000</v>
      </c>
      <c r="F196" s="6" t="n">
        <v>60</v>
      </c>
      <c r="G196" t="inlineStr">
        <is>
          <t>Superheavy</t>
        </is>
      </c>
      <c r="H196" s="6" t="n">
        <v>0.75</v>
      </c>
      <c r="I196" s="6" t="n">
        <v>1</v>
      </c>
      <c r="J196" s="6" t="n">
        <v>1.25</v>
      </c>
      <c r="K196" s="6" t="n"/>
      <c r="P196">
        <f>MAX(P197,P198,P199)</f>
        <v/>
      </c>
      <c r="S196">
        <f>S197+S198+S199</f>
        <v/>
      </c>
      <c r="T196">
        <f>(E196/100000+F196/100+(P196/1000)*J196/5+S196/200)*200*I196*H196</f>
        <v/>
      </c>
      <c r="U196">
        <f>((E196*F196/25000)+((P196/1000)*J196*S196/2.5))*I196*H196</f>
        <v/>
      </c>
      <c r="V196">
        <f>(E196*F196*(P196/1000)*J196*S196*I196*H196)/12500000</f>
        <v/>
      </c>
      <c r="W196">
        <f>(((E196/700000)+(F196/65)+(S196/2000)+((P196/6500)*J196))*2000/4+(((E196/700000)*(F196/65))+(((P196/6500)*J196)*(S196/2000)))*2000/2+((E196/700000)*(F196/65)*((P196/6500)*J196)*(S196/2000))*2000)*(H196/0.75)/3</f>
        <v/>
      </c>
      <c r="X196" s="6" t="n">
        <v>3500</v>
      </c>
      <c r="Y196">
        <f>IFERROR(W196-X196,"")</f>
        <v/>
      </c>
      <c r="Z196">
        <f>IFERROR(ABS(Y196)/MAX(X196,1),"")</f>
        <v/>
      </c>
      <c r="AA196">
        <f>IFERROR(ROUND(((3*X196-(((E196/700000)+(F196/65)+(S196/2000))*2000/4+((E196/700000)*(F196/65))*2000/2)*(H196/0.75))/(2000/4+((S196/2000))*2000/2+((E196/700000)*(F196/65)*(S196/2000))*2000)*(H196/0.75)*6500)/J196,-1),"")</f>
        <v/>
      </c>
    </row>
    <row r="197">
      <c r="B197" s="7" t="inlineStr">
        <is>
          <t xml:space="preserve">  ↳ PointDefenseTesla</t>
        </is>
      </c>
      <c r="C197" s="7" t="inlineStr">
        <is>
          <t>Armament@pointdefense</t>
        </is>
      </c>
      <c r="L197" s="6" t="n">
        <v>10000</v>
      </c>
      <c r="M197" s="6" t="n">
        <v>10</v>
      </c>
      <c r="N197" s="6" t="n">
        <v>1</v>
      </c>
      <c r="O197" s="6" t="n"/>
      <c r="P197" s="6" t="n">
        <v>6650</v>
      </c>
      <c r="Q197" s="6" t="n">
        <v>1.25</v>
      </c>
      <c r="R197">
        <f>M197+IF(N197&gt;1,N(O197)*(N197-1),0)</f>
        <v/>
      </c>
      <c r="S197">
        <f>IFERROR(L197*MAX(N197,1)/R197*IF(ISBLANK(K196),1,K196),0)</f>
        <v/>
      </c>
      <c r="AB197" s="7" t="inlineStr">
        <is>
          <t>^Warhead_Tesla_Heavy</t>
        </is>
      </c>
    </row>
    <row r="198">
      <c r="B198" s="7" t="inlineStr">
        <is>
          <t xml:space="preserve">  ↳ TTankZap2_EMP</t>
        </is>
      </c>
      <c r="C198" s="7" t="inlineStr">
        <is>
          <t>Armament</t>
        </is>
      </c>
      <c r="L198" s="6" t="n">
        <v>40000</v>
      </c>
      <c r="M198" s="6" t="n">
        <v>80</v>
      </c>
      <c r="N198" s="6" t="n">
        <v>1</v>
      </c>
      <c r="O198" s="6" t="n"/>
      <c r="P198" s="6" t="n">
        <v>6650</v>
      </c>
      <c r="Q198" s="6" t="n">
        <v>1</v>
      </c>
      <c r="R198">
        <f>M198+IF(N198&gt;1,N(O198)*(N198-1),0)</f>
        <v/>
      </c>
      <c r="S198">
        <f>IFERROR(L198*MAX(N198,1)/R198*IF(ISBLANK(K196),1,K196),0)</f>
        <v/>
      </c>
      <c r="AB198" s="7" t="inlineStr">
        <is>
          <t>^Warhead_Tesla_Super</t>
        </is>
      </c>
    </row>
    <row r="199">
      <c r="B199" s="7" t="inlineStr">
        <is>
          <t xml:space="preserve">  ↳ TTankZap2Arc_EMP</t>
        </is>
      </c>
      <c r="C199" s="7" t="inlineStr">
        <is>
          <t>Armament@Arcing</t>
        </is>
      </c>
      <c r="L199" s="6" t="n">
        <v>40000</v>
      </c>
      <c r="M199" s="6" t="n">
        <v>80</v>
      </c>
      <c r="N199" s="6" t="n">
        <v>1</v>
      </c>
      <c r="O199" s="6" t="n"/>
      <c r="P199" s="6" t="n">
        <v>6650</v>
      </c>
      <c r="Q199" s="6" t="n">
        <v>1</v>
      </c>
      <c r="R199">
        <f>M199+IF(N199&gt;1,N(O199)*(N199-1),0)</f>
        <v/>
      </c>
      <c r="S199">
        <f>IFERROR(L199*MAX(N199,1)/R199*IF(ISBLANK(K196),1,K196),0)</f>
        <v/>
      </c>
      <c r="AB199" s="7" t="inlineStr">
        <is>
          <t>^Warhead_Tesla_Super</t>
        </is>
      </c>
    </row>
    <row r="200">
      <c r="A200" t="inlineStr">
        <is>
          <t>redalert</t>
        </is>
      </c>
      <c r="B200" t="inlineStr">
        <is>
          <t>ra1_soviets_mammothtank</t>
        </is>
      </c>
      <c r="C200" t="inlineStr">
        <is>
          <t>Soviet Mammoth Tank</t>
        </is>
      </c>
      <c r="D200" s="6" t="inlineStr">
        <is>
          <t>HighTechTank</t>
        </is>
      </c>
      <c r="E200" s="6" t="n">
        <v>375000</v>
      </c>
      <c r="F200" s="6" t="n">
        <v>50</v>
      </c>
      <c r="G200" t="inlineStr">
        <is>
          <t>Superheavy</t>
        </is>
      </c>
      <c r="H200" s="6" t="n">
        <v>0.75</v>
      </c>
      <c r="I200" s="6" t="n">
        <v>1</v>
      </c>
      <c r="J200" s="6" t="n">
        <v>1</v>
      </c>
      <c r="K200" s="6" t="n"/>
      <c r="P200">
        <f>MAX(P201,P202,P203,P204,P205,P206,P207,P208,P209,P210)</f>
        <v/>
      </c>
      <c r="S200">
        <f>S201+S202+S203+S204+S205+S206+S207+S208+S209+S210</f>
        <v/>
      </c>
      <c r="T200">
        <f>(E200/100000+F200/100+(P200/1000)*J200/5+S200/200)*200*I200*H200</f>
        <v/>
      </c>
      <c r="U200">
        <f>((E200*F200/25000)+((P200/1000)*J200*S200/2.5))*I200*H200</f>
        <v/>
      </c>
      <c r="V200">
        <f>(E200*F200*(P200/1000)*J200*S200*I200*H200)/12500000</f>
        <v/>
      </c>
      <c r="W200">
        <f>(((E200/700000)+(F200/65)+(S200/2000)+((P200/6500)*J200))*2000/4+(((E200/700000)*(F200/65))+(((P200/6500)*J200)*(S200/2000)))*2000/2+((E200/700000)*(F200/65)*((P200/6500)*J200)*(S200/2000))*2000)*(H200/0.75)/3</f>
        <v/>
      </c>
      <c r="X200" s="6" t="n">
        <v>2000</v>
      </c>
      <c r="Y200">
        <f>IFERROR(W200-X200,"")</f>
        <v/>
      </c>
      <c r="Z200">
        <f>IFERROR(ABS(Y200)/MAX(X200,1),"")</f>
        <v/>
      </c>
      <c r="AA200">
        <f>IFERROR(ROUND(((3*X200-(((E200/700000)+(F200/65)+(S200/2000))*2000/4+((E200/700000)*(F200/65))*2000/2)*(H200/0.75))/(2000/4+((S200/2000))*2000/2+((E200/700000)*(F200/65)*(S200/2000))*2000)*(H200/0.75)*6500)/J200,-1),"")</f>
        <v/>
      </c>
    </row>
    <row r="201">
      <c r="B201" s="7" t="inlineStr">
        <is>
          <t xml:space="preserve">  ↳ ra120mm</t>
        </is>
      </c>
      <c r="C201" s="7" t="inlineStr">
        <is>
          <t>Armament@PRIMARY</t>
        </is>
      </c>
      <c r="L201" s="6" t="n">
        <v>24000</v>
      </c>
      <c r="M201" s="6" t="n">
        <v>95</v>
      </c>
      <c r="N201" s="6" t="n">
        <v>2</v>
      </c>
      <c r="O201" s="6" t="n">
        <v>8</v>
      </c>
      <c r="P201" s="6" t="n">
        <v>6412</v>
      </c>
      <c r="Q201" s="6" t="n">
        <v>1</v>
      </c>
      <c r="R201">
        <f>M201+IF(N201&gt;1,N(O201)*(N201-1),0)</f>
        <v/>
      </c>
      <c r="S201">
        <f>IFERROR(L201*MAX(N201,1)/R201*IF(ISBLANK(K200),1,K200),0)</f>
        <v/>
      </c>
      <c r="AB201" s="7" t="inlineStr">
        <is>
          <t>^HeavyCannon, ^MediumCannon, ^ShrapnelWeapon, ^TankDestroyerCannon</t>
        </is>
      </c>
    </row>
    <row r="202">
      <c r="B202" s="7" t="inlineStr">
        <is>
          <t xml:space="preserve">  ↳ ra120mmTargetingComputer</t>
        </is>
      </c>
      <c r="C202" s="7" t="inlineStr">
        <is>
          <t>Armament@PRIMARYTargetingComputer</t>
        </is>
      </c>
      <c r="L202" s="6" t="n">
        <v>24000</v>
      </c>
      <c r="M202" s="6" t="n">
        <v>95</v>
      </c>
      <c r="N202" s="6" t="n">
        <v>2</v>
      </c>
      <c r="O202" s="6" t="n">
        <v>8</v>
      </c>
      <c r="P202" s="6" t="n">
        <v>6412</v>
      </c>
      <c r="Q202" s="6" t="n">
        <v>1</v>
      </c>
      <c r="R202">
        <f>M202+IF(N202&gt;1,N(O202)*(N202-1),0)</f>
        <v/>
      </c>
      <c r="S202">
        <f>IFERROR(L202*MAX(N202,1)/R202*IF(ISBLANK(K200),1,K200),0)</f>
        <v/>
      </c>
      <c r="AB202" s="7" t="inlineStr">
        <is>
          <t>ra120mm</t>
        </is>
      </c>
    </row>
    <row r="203">
      <c r="B203" s="7" t="inlineStr">
        <is>
          <t xml:space="preserve">  ↳ ra120mmThermobaric</t>
        </is>
      </c>
      <c r="C203" s="7" t="inlineStr">
        <is>
          <t>Armament@Upgrade</t>
        </is>
      </c>
      <c r="L203" s="6" t="n">
        <v>24000</v>
      </c>
      <c r="M203" s="6" t="n">
        <v>95</v>
      </c>
      <c r="N203" s="6" t="n">
        <v>2</v>
      </c>
      <c r="O203" s="6" t="n">
        <v>8</v>
      </c>
      <c r="P203" s="6" t="n">
        <v>6412</v>
      </c>
      <c r="Q203" s="6" t="n">
        <v>1</v>
      </c>
      <c r="R203">
        <f>M203+IF(N203&gt;1,N(O203)*(N203-1),0)</f>
        <v/>
      </c>
      <c r="S203">
        <f>IFERROR(L203*MAX(N203,1)/R203*IF(ISBLANK(K200),1,K200),0)</f>
        <v/>
      </c>
      <c r="AB203" s="7" t="inlineStr">
        <is>
          <t>^Warhead_CannonHE_Heavy, ^Warhead_Flame_Heavy, ^Warhead_Demolition_Heavy</t>
        </is>
      </c>
    </row>
    <row r="204">
      <c r="B204" s="7" t="inlineStr">
        <is>
          <t xml:space="preserve">  ↳ ra120mmThermobaricTargetingComputer</t>
        </is>
      </c>
      <c r="C204" s="7" t="inlineStr">
        <is>
          <t>Armament@UpgradeTargetingComputer</t>
        </is>
      </c>
      <c r="L204" s="6" t="n">
        <v>24000</v>
      </c>
      <c r="M204" s="6" t="n">
        <v>95</v>
      </c>
      <c r="N204" s="6" t="n">
        <v>2</v>
      </c>
      <c r="O204" s="6" t="n">
        <v>8</v>
      </c>
      <c r="P204" s="6" t="n">
        <v>6412</v>
      </c>
      <c r="Q204" s="6" t="n">
        <v>1</v>
      </c>
      <c r="R204">
        <f>M204+IF(N204&gt;1,N(O204)*(N204-1),0)</f>
        <v/>
      </c>
      <c r="S204">
        <f>IFERROR(L204*MAX(N204,1)/R204*IF(ISBLANK(K200),1,K200),0)</f>
        <v/>
      </c>
      <c r="AB204" s="7" t="inlineStr">
        <is>
          <t>^Warhead_CannonHE_Heavy, ^Warhead_Flame_Heavy, ^Warhead_Demolition_Heavy</t>
        </is>
      </c>
    </row>
    <row r="205">
      <c r="B205" s="7" t="inlineStr">
        <is>
          <t xml:space="preserve">  ↳ MammothTusk</t>
        </is>
      </c>
      <c r="C205" s="7" t="inlineStr">
        <is>
          <t>Armament@SECONDARY</t>
        </is>
      </c>
      <c r="L205" s="6" t="n">
        <v>24000</v>
      </c>
      <c r="M205" s="6" t="n">
        <v>91</v>
      </c>
      <c r="N205" s="6" t="n">
        <v>2</v>
      </c>
      <c r="O205" s="6" t="n">
        <v>12</v>
      </c>
      <c r="P205" s="6" t="n">
        <v>6412</v>
      </c>
      <c r="Q205" s="6" t="n">
        <v>1</v>
      </c>
      <c r="R205">
        <f>M205+IF(N205&gt;1,N(O205)*(N205-1),0)</f>
        <v/>
      </c>
      <c r="S205">
        <f>IFERROR(L205*MAX(N205,1)/R205*IF(ISBLANK(K200),1,K200),0)</f>
        <v/>
      </c>
      <c r="AB205" s="7" t="inlineStr">
        <is>
          <t>^Grenade, ^FlakWeapon, ^MediumMissile, ^HeavyMissile, ^ImpactGlow</t>
        </is>
      </c>
    </row>
    <row r="206">
      <c r="B206" s="7" t="inlineStr">
        <is>
          <t xml:space="preserve">  ↳ MammothTuskTargetingComputer</t>
        </is>
      </c>
      <c r="C206" s="7" t="inlineStr">
        <is>
          <t>Armament@SECONDARYTargetingComputer</t>
        </is>
      </c>
      <c r="L206" s="6" t="n">
        <v>24000</v>
      </c>
      <c r="M206" s="6" t="n">
        <v>91</v>
      </c>
      <c r="N206" s="6" t="n">
        <v>2</v>
      </c>
      <c r="O206" s="6" t="n">
        <v>12</v>
      </c>
      <c r="P206" s="6" t="n">
        <v>6412</v>
      </c>
      <c r="Q206" s="6" t="n">
        <v>1</v>
      </c>
      <c r="R206">
        <f>M206+IF(N206&gt;1,N(O206)*(N206-1),0)</f>
        <v/>
      </c>
      <c r="S206">
        <f>IFERROR(L206*MAX(N206,1)/R206*IF(ISBLANK(K200),1,K200),0)</f>
        <v/>
      </c>
      <c r="AB206" s="7" t="inlineStr">
        <is>
          <t>MammothTusk</t>
        </is>
      </c>
    </row>
    <row r="207">
      <c r="B207" s="7" t="inlineStr">
        <is>
          <t xml:space="preserve">  ↳ MammothTuskTesla</t>
        </is>
      </c>
      <c r="C207" s="7" t="inlineStr">
        <is>
          <t>Armament@TeslaSECONDARY</t>
        </is>
      </c>
      <c r="L207" s="6" t="n">
        <v>32000</v>
      </c>
      <c r="M207" s="6" t="n">
        <v>91</v>
      </c>
      <c r="N207" s="6" t="n">
        <v>2</v>
      </c>
      <c r="O207" s="6" t="n">
        <v>12</v>
      </c>
      <c r="P207" s="6" t="n">
        <v>6412</v>
      </c>
      <c r="Q207" s="6" t="n">
        <v>1</v>
      </c>
      <c r="R207">
        <f>M207+IF(N207&gt;1,N(O207)*(N207-1),0)</f>
        <v/>
      </c>
      <c r="S207">
        <f>IFERROR(L207*MAX(N207,1)/R207*IF(ISBLANK(K200),1,K200),0)</f>
        <v/>
      </c>
      <c r="AB207" s="7" t="inlineStr">
        <is>
          <t>^Grenade, ^LightFlameWeapon, ^TeslaWeapon, ^HeavyMissile, ^Effect_Tesla_Impact_RA2</t>
        </is>
      </c>
    </row>
    <row r="208">
      <c r="B208" s="7" t="inlineStr">
        <is>
          <t xml:space="preserve">  ↳ MammothTuskTeslaTargetingComputer</t>
        </is>
      </c>
      <c r="C208" s="7" t="inlineStr">
        <is>
          <t>Armament@TeslaSECONDARYTargetingComputer</t>
        </is>
      </c>
      <c r="L208" s="6" t="n">
        <v>32000</v>
      </c>
      <c r="M208" s="6" t="n">
        <v>91</v>
      </c>
      <c r="N208" s="6" t="n">
        <v>2</v>
      </c>
      <c r="O208" s="6" t="n">
        <v>12</v>
      </c>
      <c r="P208" s="6" t="n">
        <v>6412</v>
      </c>
      <c r="Q208" s="6" t="n">
        <v>1</v>
      </c>
      <c r="R208">
        <f>M208+IF(N208&gt;1,N(O208)*(N208-1),0)</f>
        <v/>
      </c>
      <c r="S208">
        <f>IFERROR(L208*MAX(N208,1)/R208*IF(ISBLANK(K200),1,K200),0)</f>
        <v/>
      </c>
      <c r="AB208" s="7" t="inlineStr">
        <is>
          <t>MammothTuskTesla</t>
        </is>
      </c>
    </row>
    <row r="209">
      <c r="B209" s="7" t="inlineStr">
        <is>
          <t xml:space="preserve">  ↳ MammothTuskThermobaric</t>
        </is>
      </c>
      <c r="C209" s="7" t="inlineStr">
        <is>
          <t>Armament@NukeSECONDARY</t>
        </is>
      </c>
      <c r="L209" s="6" t="n">
        <v>32000</v>
      </c>
      <c r="M209" s="6" t="n">
        <v>91</v>
      </c>
      <c r="N209" s="6" t="n">
        <v>2</v>
      </c>
      <c r="O209" s="6" t="n">
        <v>12</v>
      </c>
      <c r="P209" s="6" t="n">
        <v>6412</v>
      </c>
      <c r="Q209" s="6" t="n">
        <v>1</v>
      </c>
      <c r="R209">
        <f>M209+IF(N209&gt;1,N(O209)*(N209-1),0)</f>
        <v/>
      </c>
      <c r="S209">
        <f>IFERROR(L209*MAX(N209,1)/R209*IF(ISBLANK(K200),1,K200),0)</f>
        <v/>
      </c>
      <c r="AB209" s="7" t="inlineStr">
        <is>
          <t>^LightFlameWeapon, ^MediumFlameWeapon, ^HeavyFlameWeapon, ^Grenade, ^FlakWeapon, ^ShrapnelWeapon, ^MediumMissile, ^HeavyMissile</t>
        </is>
      </c>
    </row>
    <row r="210">
      <c r="B210" s="7" t="inlineStr">
        <is>
          <t xml:space="preserve">  ↳ MammothTuskThermobaricTargetingComputer</t>
        </is>
      </c>
      <c r="C210" s="7" t="inlineStr">
        <is>
          <t>Armament@NukeSECONDARYTargetingComputer</t>
        </is>
      </c>
      <c r="L210" s="6" t="n">
        <v>32000</v>
      </c>
      <c r="M210" s="6" t="n">
        <v>91</v>
      </c>
      <c r="N210" s="6" t="n">
        <v>2</v>
      </c>
      <c r="O210" s="6" t="n">
        <v>12</v>
      </c>
      <c r="P210" s="6" t="n">
        <v>6412</v>
      </c>
      <c r="Q210" s="6" t="n">
        <v>1</v>
      </c>
      <c r="R210">
        <f>M210+IF(N210&gt;1,N(O210)*(N210-1),0)</f>
        <v/>
      </c>
      <c r="S210">
        <f>IFERROR(L210*MAX(N210,1)/R210*IF(ISBLANK(K200),1,K200),0)</f>
        <v/>
      </c>
      <c r="AB210" s="7" t="inlineStr">
        <is>
          <t>MammothTuskThermobaric</t>
        </is>
      </c>
    </row>
    <row r="211">
      <c r="A211" t="inlineStr">
        <is>
          <t>redalert</t>
        </is>
      </c>
      <c r="B211" t="inlineStr">
        <is>
          <t>ra1_soviets_siegemammothtank</t>
        </is>
      </c>
      <c r="C211" t="inlineStr">
        <is>
          <t>Siege Mammoth Tank</t>
        </is>
      </c>
      <c r="D211" s="6" t="inlineStr">
        <is>
          <t>HighTechTank</t>
        </is>
      </c>
      <c r="E211" s="6" t="n">
        <v>625000</v>
      </c>
      <c r="F211" s="6" t="n">
        <v>45</v>
      </c>
      <c r="G211" t="inlineStr">
        <is>
          <t>Superheavy</t>
        </is>
      </c>
      <c r="H211" s="6" t="n">
        <v>0.4925</v>
      </c>
      <c r="I211" s="6" t="n">
        <v>1</v>
      </c>
      <c r="J211" s="6" t="n">
        <v>1</v>
      </c>
      <c r="K211" s="6" t="n"/>
      <c r="P211">
        <f>MAX(P212,P213,P214,P215,P216,P217,P218,P219)</f>
        <v/>
      </c>
      <c r="S211">
        <f>S212+S213+S214+S215+S216+S217+S218+S219</f>
        <v/>
      </c>
      <c r="T211">
        <f>(E211/100000+F211/100+(P211/1000)*J211/5+S211/200)*200*I211*H211</f>
        <v/>
      </c>
      <c r="U211">
        <f>((E211*F211/25000)+((P211/1000)*J211*S211/2.5))*I211*H211</f>
        <v/>
      </c>
      <c r="V211">
        <f>(E211*F211*(P211/1000)*J211*S211*I211*H211)/12500000</f>
        <v/>
      </c>
      <c r="W211">
        <f>(((E211/700000)+(F211/65)+(S211/2000)+((P211/6500)*J211))*2000/4+(((E211/700000)*(F211/65))+(((P211/6500)*J211)*(S211/2000)))*2000/2+((E211/700000)*(F211/65)*((P211/6500)*J211)*(S211/2000))*2000)*(H211/0.75)/3</f>
        <v/>
      </c>
      <c r="X211" s="6" t="n">
        <v>4000</v>
      </c>
      <c r="Y211">
        <f>IFERROR(W211-X211,"")</f>
        <v/>
      </c>
      <c r="Z211">
        <f>IFERROR(ABS(Y211)/MAX(X211,1),"")</f>
        <v/>
      </c>
      <c r="AA211">
        <f>IFERROR(ROUND(((3*X211-(((E211/700000)+(F211/65)+(S211/2000))*2000/4+((E211/700000)*(F211/65))*2000/2)*(H211/0.75))/(2000/4+((S211/2000))*2000/2+((E211/700000)*(F211/65)*(S211/2000))*2000)*(H211/0.75)*6500)/J211,-1),"")</f>
        <v/>
      </c>
    </row>
    <row r="212">
      <c r="B212" s="7" t="inlineStr">
        <is>
          <t xml:space="preserve">  ↳ ra120mm2</t>
        </is>
      </c>
      <c r="C212" s="7" t="inlineStr">
        <is>
          <t>Armament@PRIMARY</t>
        </is>
      </c>
      <c r="L212" s="6" t="n">
        <v>48000</v>
      </c>
      <c r="M212" s="6" t="n">
        <v>125</v>
      </c>
      <c r="N212" s="6" t="n">
        <v>2</v>
      </c>
      <c r="O212" s="6" t="n">
        <v>10</v>
      </c>
      <c r="P212" s="6" t="n">
        <v>6666</v>
      </c>
      <c r="Q212" s="6" t="n">
        <v>1.25</v>
      </c>
      <c r="R212">
        <f>M212+IF(N212&gt;1,N(O212)*(N212-1),0)</f>
        <v/>
      </c>
      <c r="S212">
        <f>IFERROR(L212*MAX(N212,1)/R212*IF(ISBLANK(K211),1,K211),0)</f>
        <v/>
      </c>
      <c r="AB212" s="7" t="inlineStr">
        <is>
          <t>^Warhead_CannonHE_Heavy</t>
        </is>
      </c>
    </row>
    <row r="213">
      <c r="B213" s="7" t="inlineStr">
        <is>
          <t xml:space="preserve">  ↳ ra120mm2TargetingComputer</t>
        </is>
      </c>
      <c r="C213" s="7" t="inlineStr">
        <is>
          <t>Armament@PRIMARYTargetingComputer</t>
        </is>
      </c>
      <c r="L213" s="6" t="n">
        <v>48000</v>
      </c>
      <c r="M213" s="6" t="n">
        <v>105</v>
      </c>
      <c r="N213" s="6" t="n">
        <v>2</v>
      </c>
      <c r="O213" s="6" t="n">
        <v>10</v>
      </c>
      <c r="P213" s="6" t="n">
        <v>6666</v>
      </c>
      <c r="Q213" s="6" t="n">
        <v>1.25</v>
      </c>
      <c r="R213">
        <f>M213+IF(N213&gt;1,N(O213)*(N213-1),0)</f>
        <v/>
      </c>
      <c r="S213">
        <f>IFERROR(L213*MAX(N213,1)/R213*IF(ISBLANK(K211),1,K211),0)</f>
        <v/>
      </c>
      <c r="AB213" s="7" t="inlineStr">
        <is>
          <t>^Warhead_CannonHE_Heavy</t>
        </is>
      </c>
    </row>
    <row r="214">
      <c r="B214" s="7" t="inlineStr">
        <is>
          <t xml:space="preserve">  ↳ ra120mm2Thermobaric</t>
        </is>
      </c>
      <c r="C214" s="7" t="inlineStr">
        <is>
          <t>Armament@Upgrade</t>
        </is>
      </c>
      <c r="L214" s="6" t="n">
        <v>48000</v>
      </c>
      <c r="M214" s="6" t="n">
        <v>125</v>
      </c>
      <c r="N214" s="6" t="n">
        <v>2</v>
      </c>
      <c r="O214" s="6" t="n">
        <v>10</v>
      </c>
      <c r="P214" s="6" t="n">
        <v>6666</v>
      </c>
      <c r="Q214" s="6" t="n">
        <v>1</v>
      </c>
      <c r="R214">
        <f>M214+IF(N214&gt;1,N(O214)*(N214-1),0)</f>
        <v/>
      </c>
      <c r="S214">
        <f>IFERROR(L214*MAX(N214,1)/R214*IF(ISBLANK(K211),1,K211),0)</f>
        <v/>
      </c>
      <c r="AB214" s="7" t="inlineStr">
        <is>
          <t>^Warhead_CannonHE_Heavy, ^Warhead_Flame_Heavy, ^Warhead_Demolition_Heavy</t>
        </is>
      </c>
    </row>
    <row r="215">
      <c r="B215" s="7" t="inlineStr">
        <is>
          <t xml:space="preserve">  ↳ ra120mm2ThermobaricTargetingComputer</t>
        </is>
      </c>
      <c r="C215" s="7" t="inlineStr">
        <is>
          <t>Armament@UpgradeTargetingComputer</t>
        </is>
      </c>
      <c r="L215" s="6" t="n">
        <v>48000</v>
      </c>
      <c r="M215" s="6" t="n">
        <v>105</v>
      </c>
      <c r="N215" s="6" t="n">
        <v>2</v>
      </c>
      <c r="O215" s="6" t="n">
        <v>10</v>
      </c>
      <c r="P215" s="6" t="n">
        <v>6666</v>
      </c>
      <c r="Q215" s="6" t="n">
        <v>1</v>
      </c>
      <c r="R215">
        <f>M215+IF(N215&gt;1,N(O215)*(N215-1),0)</f>
        <v/>
      </c>
      <c r="S215">
        <f>IFERROR(L215*MAX(N215,1)/R215*IF(ISBLANK(K211),1,K211),0)</f>
        <v/>
      </c>
      <c r="AB215" s="7" t="inlineStr">
        <is>
          <t>^Warhead_CannonHE_Heavy, ^Warhead_Flame_Heavy, ^Warhead_Demolition_Heavy</t>
        </is>
      </c>
    </row>
    <row r="216">
      <c r="B216" s="7" t="inlineStr">
        <is>
          <t xml:space="preserve">  ↳ MammothTusk2</t>
        </is>
      </c>
      <c r="C216" s="7" t="inlineStr">
        <is>
          <t>Armament@SECONDARY</t>
        </is>
      </c>
      <c r="L216" s="6" t="n">
        <v>48000</v>
      </c>
      <c r="M216" s="6" t="n">
        <v>125</v>
      </c>
      <c r="N216" s="6" t="n">
        <v>2</v>
      </c>
      <c r="O216" s="6" t="n">
        <v>10</v>
      </c>
      <c r="P216" s="6" t="n">
        <v>6666</v>
      </c>
      <c r="Q216" s="6" t="n">
        <v>1</v>
      </c>
      <c r="R216">
        <f>M216+IF(N216&gt;1,N(O216)*(N216-1),0)</f>
        <v/>
      </c>
      <c r="S216">
        <f>IFERROR(L216*MAX(N216,1)/R216*IF(ISBLANK(K211),1,K211),0)</f>
        <v/>
      </c>
      <c r="AB216" s="7" t="inlineStr">
        <is>
          <t>^LightFlameWeapon, ^MediumChemicalWeapon, ^HeavyMissile, ^ImpactGlow</t>
        </is>
      </c>
    </row>
    <row r="217">
      <c r="B217" s="7" t="inlineStr">
        <is>
          <t xml:space="preserve">  ↳ MammothTusk2TargetingComputer</t>
        </is>
      </c>
      <c r="C217" s="7" t="inlineStr">
        <is>
          <t>Armament@SECONDARYTargetingComputer</t>
        </is>
      </c>
      <c r="L217" s="6" t="n">
        <v>48000</v>
      </c>
      <c r="M217" s="6" t="n">
        <v>105</v>
      </c>
      <c r="N217" s="6" t="n">
        <v>2</v>
      </c>
      <c r="O217" s="6" t="n">
        <v>10</v>
      </c>
      <c r="P217" s="6" t="n">
        <v>6666</v>
      </c>
      <c r="Q217" s="6" t="n">
        <v>1</v>
      </c>
      <c r="R217">
        <f>M217+IF(N217&gt;1,N(O217)*(N217-1),0)</f>
        <v/>
      </c>
      <c r="S217">
        <f>IFERROR(L217*MAX(N217,1)/R217*IF(ISBLANK(K211),1,K211),0)</f>
        <v/>
      </c>
      <c r="AB217" s="7" t="inlineStr">
        <is>
          <t>MammothTusk2</t>
        </is>
      </c>
    </row>
    <row r="218">
      <c r="B218" s="7" t="inlineStr">
        <is>
          <t xml:space="preserve">  ↳ MammothTusk2Thermobaric</t>
        </is>
      </c>
      <c r="C218" s="7" t="inlineStr">
        <is>
          <t>Armament@UpgradeSECONDARY</t>
        </is>
      </c>
      <c r="L218" s="6" t="n">
        <v>48000</v>
      </c>
      <c r="M218" s="6" t="n">
        <v>125</v>
      </c>
      <c r="N218" s="6" t="n">
        <v>2</v>
      </c>
      <c r="O218" s="6" t="n">
        <v>10</v>
      </c>
      <c r="P218" s="6" t="n">
        <v>6666</v>
      </c>
      <c r="Q218" s="6" t="n">
        <v>1</v>
      </c>
      <c r="R218">
        <f>M218+IF(N218&gt;1,N(O218)*(N218-1),0)</f>
        <v/>
      </c>
      <c r="S218">
        <f>IFERROR(L218*MAX(N218,1)/R218*IF(ISBLANK(K211),1,K211),0)</f>
        <v/>
      </c>
      <c r="AB218" s="7" t="inlineStr">
        <is>
          <t>^HeavyFlameWeapon, ^HeavyBomb, ^HeavyMissile</t>
        </is>
      </c>
    </row>
    <row r="219">
      <c r="B219" s="7" t="inlineStr">
        <is>
          <t xml:space="preserve">  ↳ MammothTusk2ThermobaricTargetingComputer</t>
        </is>
      </c>
      <c r="C219" s="7" t="inlineStr">
        <is>
          <t>Armament@UpgradeSECONDARYTargetingComputer</t>
        </is>
      </c>
      <c r="L219" s="6" t="n">
        <v>48000</v>
      </c>
      <c r="M219" s="6" t="n">
        <v>105</v>
      </c>
      <c r="N219" s="6" t="n">
        <v>2</v>
      </c>
      <c r="O219" s="6" t="n">
        <v>10</v>
      </c>
      <c r="P219" s="6" t="n">
        <v>6666</v>
      </c>
      <c r="Q219" s="6" t="n">
        <v>1</v>
      </c>
      <c r="R219">
        <f>M219+IF(N219&gt;1,N(O219)*(N219-1),0)</f>
        <v/>
      </c>
      <c r="S219">
        <f>IFERROR(L219*MAX(N219,1)/R219*IF(ISBLANK(K211),1,K211),0)</f>
        <v/>
      </c>
      <c r="AB219" s="7" t="inlineStr">
        <is>
          <t>MammothTusk2Thermobaric</t>
        </is>
      </c>
    </row>
    <row r="220">
      <c r="A220" t="inlineStr">
        <is>
          <t>tiberiansun</t>
        </is>
      </c>
      <c r="B220" t="inlineStr">
        <is>
          <t>cabal_avatar</t>
        </is>
      </c>
      <c r="C220" t="inlineStr">
        <is>
          <t>Avatar</t>
        </is>
      </c>
      <c r="D220" s="6" t="inlineStr">
        <is>
          <t>HighTechTank</t>
        </is>
      </c>
      <c r="E220" s="6" t="n">
        <v>1000000</v>
      </c>
      <c r="F220" s="6" t="n">
        <v>25</v>
      </c>
      <c r="G220" t="inlineStr">
        <is>
          <t>Superheavy</t>
        </is>
      </c>
      <c r="H220" s="6" t="n">
        <v>0.75</v>
      </c>
      <c r="I220" s="6" t="n">
        <v>1</v>
      </c>
      <c r="J220" s="6" t="n">
        <v>1</v>
      </c>
      <c r="K220" s="6" t="n"/>
      <c r="P220">
        <f>MAX(P221,P222)</f>
        <v/>
      </c>
      <c r="S220">
        <f>S221+S222</f>
        <v/>
      </c>
      <c r="T220">
        <f>(E220/100000+F220/100+(P220/1000)*J220/5+S220/200)*200*I220*H220</f>
        <v/>
      </c>
      <c r="U220">
        <f>((E220*F220/25000)+((P220/1000)*J220*S220/2.5))*I220*H220</f>
        <v/>
      </c>
      <c r="V220">
        <f>(E220*F220*(P220/1000)*J220*S220*I220*H220)/12500000</f>
        <v/>
      </c>
      <c r="W220">
        <f>(((E220/700000)+(F220/65)+(S220/2000)+((P220/6500)*J220))*2000/4+(((E220/700000)*(F220/65))+(((P220/6500)*J220)*(S220/2000)))*2000/2+((E220/700000)*(F220/65)*((P220/6500)*J220)*(S220/2000))*2000)*(H220/0.75)/3</f>
        <v/>
      </c>
      <c r="X220" s="6" t="n">
        <v>7500</v>
      </c>
      <c r="Y220">
        <f>IFERROR(W220-X220,"")</f>
        <v/>
      </c>
      <c r="Z220">
        <f>IFERROR(ABS(Y220)/MAX(X220,1),"")</f>
        <v/>
      </c>
      <c r="AA220">
        <f>IFERROR(ROUND(((3*X220-(((E220/700000)+(F220/65)+(S220/2000))*2000/4+((E220/700000)*(F220/65))*2000/2)*(H220/0.75))/(2000/4+((S220/2000))*2000/2+((E220/700000)*(F220/65)*(S220/2000))*2000)*(H220/0.75)*6500)/J220,-1),"")</f>
        <v/>
      </c>
    </row>
    <row r="221">
      <c r="B221" s="7" t="inlineStr">
        <is>
          <t xml:space="preserve">  ↳ CabalAvatarLaser</t>
        </is>
      </c>
      <c r="C221" s="7" t="inlineStr">
        <is>
          <t>Armament@PRIMARY</t>
        </is>
      </c>
      <c r="L221" s="6" t="n">
        <v>80000</v>
      </c>
      <c r="M221" s="6" t="n">
        <v>70</v>
      </c>
      <c r="N221" s="6" t="n">
        <v>1</v>
      </c>
      <c r="O221" s="6" t="n"/>
      <c r="P221" s="6" t="n">
        <v>6332</v>
      </c>
      <c r="Q221" s="6" t="n">
        <v>1.25</v>
      </c>
      <c r="R221">
        <f>M221+IF(N221&gt;1,N(O221)*(N221-1),0)</f>
        <v/>
      </c>
      <c r="S221">
        <f>IFERROR(L221*MAX(N221,1)/R221*IF(ISBLANK(K220),1,K220),0)</f>
        <v/>
      </c>
      <c r="AB221" s="7" t="inlineStr">
        <is>
          <t>^Warhead_Laser_Heavy</t>
        </is>
      </c>
    </row>
    <row r="222">
      <c r="B222" s="7" t="inlineStr">
        <is>
          <t xml:space="preserve">  ↳ CabalAvatarLaser</t>
        </is>
      </c>
      <c r="C222" s="7" t="inlineStr">
        <is>
          <t>Armament@RIGHT</t>
        </is>
      </c>
      <c r="L222" s="6" t="n">
        <v>80000</v>
      </c>
      <c r="M222" s="6" t="n">
        <v>70</v>
      </c>
      <c r="N222" s="6" t="n">
        <v>1</v>
      </c>
      <c r="O222" s="6" t="n"/>
      <c r="P222" s="6" t="n">
        <v>6332</v>
      </c>
      <c r="Q222" s="6" t="n">
        <v>1.25</v>
      </c>
      <c r="R222">
        <f>M222+IF(N222&gt;1,N(O222)*(N222-1),0)</f>
        <v/>
      </c>
      <c r="S222">
        <f>IFERROR(L222*MAX(N222,1)/R222*IF(ISBLANK(K220),1,K220),0)</f>
        <v/>
      </c>
      <c r="AB222" s="7" t="inlineStr">
        <is>
          <t>^Warhead_Laser_Heavy</t>
        </is>
      </c>
    </row>
    <row r="223">
      <c r="A223" t="inlineStr">
        <is>
          <t>tiberiansun</t>
        </is>
      </c>
      <c r="B223" t="inlineStr">
        <is>
          <t>ts_nod_stealthtank</t>
        </is>
      </c>
      <c r="C223" t="inlineStr">
        <is>
          <t>Stealth Tank</t>
        </is>
      </c>
      <c r="D223" s="6" t="inlineStr">
        <is>
          <t>HighTechTank</t>
        </is>
      </c>
      <c r="E223" s="6" t="n">
        <v>80000</v>
      </c>
      <c r="F223" s="6" t="n">
        <v>100</v>
      </c>
      <c r="G223" t="inlineStr">
        <is>
          <t>Superheavy</t>
        </is>
      </c>
      <c r="H223" s="6" t="n">
        <v>0.642</v>
      </c>
      <c r="I223" s="6" t="n">
        <v>1</v>
      </c>
      <c r="J223" s="6" t="n">
        <v>1</v>
      </c>
      <c r="K223" s="6" t="n"/>
      <c r="P223">
        <f>MAX(P224,P225)</f>
        <v/>
      </c>
      <c r="S223">
        <f>S224+S225</f>
        <v/>
      </c>
      <c r="T223">
        <f>(E223/100000+F223/100+(P223/1000)*J223/5+S223/200)*200*I223*H223</f>
        <v/>
      </c>
      <c r="U223">
        <f>((E223*F223/25000)+((P223/1000)*J223*S223/2.5))*I223*H223</f>
        <v/>
      </c>
      <c r="V223">
        <f>(E223*F223*(P223/1000)*J223*S223*I223*H223)/12500000</f>
        <v/>
      </c>
      <c r="W223">
        <f>(((E223/700000)+(F223/65)+(S223/2000)+((P223/6500)*J223))*2000/4+(((E223/700000)*(F223/65))+(((P223/6500)*J223)*(S223/2000)))*2000/2+((E223/700000)*(F223/65)*((P223/6500)*J223)*(S223/2000))*2000)*(H223/0.75)/3</f>
        <v/>
      </c>
      <c r="X223" s="6" t="n">
        <v>1750</v>
      </c>
      <c r="Y223">
        <f>IFERROR(W223-X223,"")</f>
        <v/>
      </c>
      <c r="Z223">
        <f>IFERROR(ABS(Y223)/MAX(X223,1),"")</f>
        <v/>
      </c>
      <c r="AA223">
        <f>IFERROR(ROUND(((3*X223-(((E223/700000)+(F223/65)+(S223/2000))*2000/4+((E223/700000)*(F223/65))*2000/2)*(H223/0.75))/(2000/4+((S223/2000))*2000/2+((E223/700000)*(F223/65)*(S223/2000))*2000)*(H223/0.75)*6500)/J223,-1),"")</f>
        <v/>
      </c>
    </row>
    <row r="224">
      <c r="B224" s="7" t="inlineStr">
        <is>
          <t xml:space="preserve">  ↳ TSStankTusk</t>
        </is>
      </c>
      <c r="C224" s="7" t="inlineStr">
        <is>
          <t>Armament@PRIMARY</t>
        </is>
      </c>
      <c r="L224" s="6" t="n">
        <v>20000</v>
      </c>
      <c r="M224" s="6" t="n">
        <v>60</v>
      </c>
      <c r="N224" s="6" t="n">
        <v>2</v>
      </c>
      <c r="O224" s="6" t="n">
        <v>2</v>
      </c>
      <c r="P224" s="6" t="n">
        <v>6385</v>
      </c>
      <c r="Q224" s="6" t="n">
        <v>1</v>
      </c>
      <c r="R224">
        <f>M224+IF(N224&gt;1,N(O224)*(N224-1),0)</f>
        <v/>
      </c>
      <c r="S224">
        <f>IFERROR(L224*MAX(N224,1)/R224*IF(ISBLANK(K223),1,K223),0)</f>
        <v/>
      </c>
      <c r="AB224" s="7" t="inlineStr">
        <is>
          <t>^Warhead_CannonHE_Medium, ^Warhead_MissileHE_Medium</t>
        </is>
      </c>
    </row>
    <row r="225">
      <c r="B225" s="7" t="inlineStr">
        <is>
          <t xml:space="preserve">  ↳ TSStankTibTusk</t>
        </is>
      </c>
      <c r="C225" s="7" t="inlineStr">
        <is>
          <t>Armament@UPGRADE</t>
        </is>
      </c>
      <c r="L225" s="6" t="n">
        <v>30000</v>
      </c>
      <c r="M225" s="6" t="n">
        <v>60</v>
      </c>
      <c r="N225" s="6" t="n">
        <v>2</v>
      </c>
      <c r="O225" s="6" t="n">
        <v>2</v>
      </c>
      <c r="P225" s="6" t="n">
        <v>6385</v>
      </c>
      <c r="Q225" s="6" t="n">
        <v>1</v>
      </c>
      <c r="R225">
        <f>M225+IF(N225&gt;1,N(O225)*(N225-1),0)</f>
        <v/>
      </c>
      <c r="S225">
        <f>IFERROR(L225*MAX(N225,1)/R225*IF(ISBLANK(K223),1,K223),0)</f>
        <v/>
      </c>
      <c r="AB225" s="7" t="inlineStr">
        <is>
          <t>^Warhead_CannonHE_Medium</t>
        </is>
      </c>
    </row>
    <row r="226">
      <c r="A226" t="inlineStr">
        <is>
          <t>tiberiansun</t>
        </is>
      </c>
      <c r="B226" t="inlineStr">
        <is>
          <t>forgotten_scoopertank</t>
        </is>
      </c>
      <c r="C226" t="inlineStr">
        <is>
          <t>actor_forgotten_scoopertank.name</t>
        </is>
      </c>
      <c r="D226" s="6" t="inlineStr">
        <is>
          <t>HighTechTank</t>
        </is>
      </c>
      <c r="E226" s="6" t="n">
        <v>250000</v>
      </c>
      <c r="F226" s="6" t="n">
        <v>65</v>
      </c>
      <c r="G226" t="inlineStr">
        <is>
          <t>Superheavy</t>
        </is>
      </c>
      <c r="H226" s="6" t="n">
        <v>0.7269</v>
      </c>
      <c r="I226" s="6" t="n">
        <v>1</v>
      </c>
      <c r="J226" s="6" t="n">
        <v>1</v>
      </c>
      <c r="K226" s="6" t="n"/>
      <c r="P226">
        <f>MAX(P227,P228)</f>
        <v/>
      </c>
      <c r="S226">
        <f>S227+S228</f>
        <v/>
      </c>
      <c r="T226">
        <f>(E226/100000+F226/100+(P226/1000)*J226/5+S226/200)*200*I226*H226</f>
        <v/>
      </c>
      <c r="U226">
        <f>((E226*F226/25000)+((P226/1000)*J226*S226/2.5))*I226*H226</f>
        <v/>
      </c>
      <c r="V226">
        <f>(E226*F226*(P226/1000)*J226*S226*I226*H226)/12500000</f>
        <v/>
      </c>
      <c r="W226">
        <f>(((E226/700000)+(F226/65)+(S226/2000)+((P226/6500)*J226))*2000/4+(((E226/700000)*(F226/65))+(((P226/6500)*J226)*(S226/2000)))*2000/2+((E226/700000)*(F226/65)*((P226/6500)*J226)*(S226/2000))*2000)*(H226/0.75)/3</f>
        <v/>
      </c>
      <c r="X226" s="6" t="n">
        <v>2250</v>
      </c>
      <c r="Y226">
        <f>IFERROR(W226-X226,"")</f>
        <v/>
      </c>
      <c r="Z226">
        <f>IFERROR(ABS(Y226)/MAX(X226,1),"")</f>
        <v/>
      </c>
      <c r="AA226">
        <f>IFERROR(ROUND(((3*X226-(((E226/700000)+(F226/65)+(S226/2000))*2000/4+((E226/700000)*(F226/65))*2000/2)*(H226/0.75))/(2000/4+((S226/2000))*2000/2+((E226/700000)*(F226/65)*(S226/2000))*2000)*(H226/0.75)*6500)/J226,-1),"")</f>
        <v/>
      </c>
    </row>
    <row r="227">
      <c r="B227" s="7" t="inlineStr">
        <is>
          <t xml:space="preserve">  ↳ TSScoopDual</t>
        </is>
      </c>
      <c r="C227" s="7" t="inlineStr">
        <is>
          <t>Armament@PRIMARY</t>
        </is>
      </c>
      <c r="L227" s="6" t="n">
        <v>20000</v>
      </c>
      <c r="M227" s="6" t="n">
        <v>60</v>
      </c>
      <c r="N227" s="6" t="n">
        <v>2</v>
      </c>
      <c r="O227" s="6" t="n">
        <v>2</v>
      </c>
      <c r="P227" s="6" t="n">
        <v>6224</v>
      </c>
      <c r="Q227" s="6" t="n">
        <v>1</v>
      </c>
      <c r="R227">
        <f>M227+IF(N227&gt;1,N(O227)*(N227-1),0)</f>
        <v/>
      </c>
      <c r="S227">
        <f>IFERROR(L227*MAX(N227,1)/R227*IF(ISBLANK(K226),1,K226),0)</f>
        <v/>
      </c>
      <c r="AB227" s="7" t="inlineStr">
        <is>
          <t>^Warhead_CannonHE_Medium</t>
        </is>
      </c>
    </row>
    <row r="228">
      <c r="B228" s="7" t="inlineStr">
        <is>
          <t xml:space="preserve">  ↳ TSScoopDualChem</t>
        </is>
      </c>
      <c r="C228" s="7" t="inlineStr">
        <is>
          <t>Armament@UPGRADE</t>
        </is>
      </c>
      <c r="L228" s="6" t="n">
        <v>30000</v>
      </c>
      <c r="M228" s="6" t="n">
        <v>60</v>
      </c>
      <c r="N228" s="6" t="n">
        <v>2</v>
      </c>
      <c r="O228" s="6" t="n">
        <v>2</v>
      </c>
      <c r="P228" s="6" t="n">
        <v>6224</v>
      </c>
      <c r="Q228" s="6" t="n">
        <v>1</v>
      </c>
      <c r="R228">
        <f>M228+IF(N228&gt;1,N(O228)*(N228-1),0)</f>
        <v/>
      </c>
      <c r="S228">
        <f>IFERROR(L228*MAX(N228,1)/R228*IF(ISBLANK(K226),1,K226),0)</f>
        <v/>
      </c>
      <c r="AB228" s="7" t="inlineStr">
        <is>
          <t>^Warhead_CannonHE_Medium</t>
        </is>
      </c>
    </row>
    <row r="229">
      <c r="A229" t="inlineStr">
        <is>
          <t>redalert2</t>
        </is>
      </c>
      <c r="B229" t="inlineStr">
        <is>
          <t>ra2_allies_heavymiragetank</t>
        </is>
      </c>
      <c r="C229" t="inlineStr">
        <is>
          <t>Heavy Mirage Tank</t>
        </is>
      </c>
      <c r="D229" s="6" t="inlineStr">
        <is>
          <t>HighTechTank</t>
        </is>
      </c>
      <c r="E229" s="6" t="n">
        <v>240000</v>
      </c>
      <c r="F229" s="6" t="n">
        <v>60</v>
      </c>
      <c r="G229" t="inlineStr">
        <is>
          <t>Superheavy</t>
        </is>
      </c>
      <c r="H229" s="6" t="n">
        <v>0.75</v>
      </c>
      <c r="I229" s="6" t="n">
        <v>1</v>
      </c>
      <c r="J229" s="6" t="n">
        <v>1</v>
      </c>
      <c r="K229" s="6" t="n"/>
      <c r="P229">
        <f>MAX(P230,P231)</f>
        <v/>
      </c>
      <c r="S229">
        <f>S230+S231</f>
        <v/>
      </c>
      <c r="T229">
        <f>(E229/100000+F229/100+(P229/1000)*J229/5+S229/200)*200*I229*H229</f>
        <v/>
      </c>
      <c r="U229">
        <f>((E229*F229/25000)+((P229/1000)*J229*S229/2.5))*I229*H229</f>
        <v/>
      </c>
      <c r="V229">
        <f>(E229*F229*(P229/1000)*J229*S229*I229*H229)/12500000</f>
        <v/>
      </c>
      <c r="W229">
        <f>(((E229/700000)+(F229/65)+(S229/2000)+((P229/6500)*J229))*2000/4+(((E229/700000)*(F229/65))+(((P229/6500)*J229)*(S229/2000)))*2000/2+((E229/700000)*(F229/65)*((P229/6500)*J229)*(S229/2000))*2000)*(H229/0.75)/3</f>
        <v/>
      </c>
      <c r="X229" s="6" t="n">
        <v>2000</v>
      </c>
      <c r="Y229">
        <f>IFERROR(W229-X229,"")</f>
        <v/>
      </c>
      <c r="Z229">
        <f>IFERROR(ABS(Y229)/MAX(X229,1),"")</f>
        <v/>
      </c>
      <c r="AA229">
        <f>IFERROR(ROUND(((3*X229-(((E229/700000)+(F229/65)+(S229/2000))*2000/4+((E229/700000)*(F229/65))*2000/2)*(H229/0.75))/(2000/4+((S229/2000))*2000/2+((E229/700000)*(F229/65)*(S229/2000))*2000)*(H229/0.75)*6500)/J229,-1),"")</f>
        <v/>
      </c>
    </row>
    <row r="230">
      <c r="B230" s="7" t="inlineStr">
        <is>
          <t xml:space="preserve">  ↳ RA2HeavyMirageGun</t>
        </is>
      </c>
      <c r="C230" s="7" t="inlineStr">
        <is>
          <t>Armament</t>
        </is>
      </c>
      <c r="L230" s="6" t="n">
        <v>32000</v>
      </c>
      <c r="M230" s="6" t="n">
        <v>51</v>
      </c>
      <c r="N230" s="6" t="n">
        <v>1</v>
      </c>
      <c r="O230" s="6" t="n"/>
      <c r="P230" s="6" t="n">
        <v>6112</v>
      </c>
      <c r="Q230" s="6" t="n">
        <v>0.75</v>
      </c>
      <c r="R230">
        <f>M230+IF(N230&gt;1,N(O230)*(N230-1),0)</f>
        <v/>
      </c>
      <c r="S230">
        <f>IFERROR(L230*MAX(N230,1)/R230*IF(ISBLANK(K229),1,K229),0)</f>
        <v/>
      </c>
      <c r="AB230" s="7" t="inlineStr">
        <is>
          <t>^Warhead_CannonAP_Light</t>
        </is>
      </c>
    </row>
    <row r="231">
      <c r="B231" s="7" t="inlineStr">
        <is>
          <t xml:space="preserve">  ↳ RA2HeavyMirageGun_elite</t>
        </is>
      </c>
      <c r="C231" s="7" t="inlineStr">
        <is>
          <t>Armament@elite</t>
        </is>
      </c>
      <c r="L231" s="6" t="n">
        <v>32000</v>
      </c>
      <c r="M231" s="6" t="n">
        <v>51</v>
      </c>
      <c r="N231" s="6" t="n">
        <v>2</v>
      </c>
      <c r="O231" s="6" t="n">
        <v>3</v>
      </c>
      <c r="P231" s="6" t="n">
        <v>7112</v>
      </c>
      <c r="Q231" s="6" t="n">
        <v>0.75</v>
      </c>
      <c r="R231">
        <f>M231+IF(N231&gt;1,N(O231)*(N231-1),0)</f>
        <v/>
      </c>
      <c r="S231">
        <f>IFERROR(L231*MAX(N231,1)/R231*IF(ISBLANK(K229),1,K229),0)</f>
        <v/>
      </c>
      <c r="AB231" s="7" t="inlineStr">
        <is>
          <t>^Warhead_CannonAP_Light</t>
        </is>
      </c>
    </row>
    <row r="232">
      <c r="A232" t="inlineStr">
        <is>
          <t>redalert2</t>
        </is>
      </c>
      <c r="B232" t="inlineStr">
        <is>
          <t>ra2_allies_miragetank</t>
        </is>
      </c>
      <c r="C232" t="inlineStr">
        <is>
          <t>Mirage Tank</t>
        </is>
      </c>
      <c r="D232" s="6" t="inlineStr">
        <is>
          <t>HighTechTank</t>
        </is>
      </c>
      <c r="E232" s="6" t="n">
        <v>120000</v>
      </c>
      <c r="F232" s="6" t="n">
        <v>90</v>
      </c>
      <c r="G232" t="inlineStr">
        <is>
          <t>Superheavy</t>
        </is>
      </c>
      <c r="H232" s="6" t="n">
        <v>0.75</v>
      </c>
      <c r="I232" s="6" t="n">
        <v>1</v>
      </c>
      <c r="J232" s="6" t="n">
        <v>1</v>
      </c>
      <c r="K232" s="6" t="n"/>
      <c r="P232">
        <f>MAX(P233,P234)</f>
        <v/>
      </c>
      <c r="S232">
        <f>S233+S234</f>
        <v/>
      </c>
      <c r="T232">
        <f>(E232/100000+F232/100+(P232/1000)*J232/5+S232/200)*200*I232*H232</f>
        <v/>
      </c>
      <c r="U232">
        <f>((E232*F232/25000)+((P232/1000)*J232*S232/2.5))*I232*H232</f>
        <v/>
      </c>
      <c r="V232">
        <f>(E232*F232*(P232/1000)*J232*S232*I232*H232)/12500000</f>
        <v/>
      </c>
      <c r="W232">
        <f>(((E232/700000)+(F232/65)+(S232/2000)+((P232/6500)*J232))*2000/4+(((E232/700000)*(F232/65))+(((P232/6500)*J232)*(S232/2000)))*2000/2+((E232/700000)*(F232/65)*((P232/6500)*J232)*(S232/2000))*2000)*(H232/0.75)/3</f>
        <v/>
      </c>
      <c r="X232" s="6" t="n">
        <v>1600</v>
      </c>
      <c r="Y232">
        <f>IFERROR(W232-X232,"")</f>
        <v/>
      </c>
      <c r="Z232">
        <f>IFERROR(ABS(Y232)/MAX(X232,1),"")</f>
        <v/>
      </c>
      <c r="AA232">
        <f>IFERROR(ROUND(((3*X232-(((E232/700000)+(F232/65)+(S232/2000))*2000/4+((E232/700000)*(F232/65))*2000/2)*(H232/0.75))/(2000/4+((S232/2000))*2000/2+((E232/700000)*(F232/65)*(S232/2000))*2000)*(H232/0.75)*6500)/J232,-1),"")</f>
        <v/>
      </c>
    </row>
    <row r="233">
      <c r="B233" s="7" t="inlineStr">
        <is>
          <t xml:space="preserve">  ↳ RA2MirageGun</t>
        </is>
      </c>
      <c r="C233" s="7" t="inlineStr">
        <is>
          <t>Armament</t>
        </is>
      </c>
      <c r="L233" s="6" t="n">
        <v>24000</v>
      </c>
      <c r="M233" s="6" t="n">
        <v>39</v>
      </c>
      <c r="N233" s="6" t="n">
        <v>1</v>
      </c>
      <c r="O233" s="6" t="n"/>
      <c r="P233" s="6" t="n">
        <v>6031</v>
      </c>
      <c r="Q233" s="6" t="n">
        <v>0.75</v>
      </c>
      <c r="R233">
        <f>M233+IF(N233&gt;1,N(O233)*(N233-1),0)</f>
        <v/>
      </c>
      <c r="S233">
        <f>IFERROR(L233*MAX(N233,1)/R233*IF(ISBLANK(K232),1,K232),0)</f>
        <v/>
      </c>
      <c r="AB233" s="7" t="inlineStr">
        <is>
          <t>^Warhead_CannonAP_Light</t>
        </is>
      </c>
    </row>
    <row r="234">
      <c r="B234" s="7" t="inlineStr">
        <is>
          <t xml:space="preserve">  ↳ RA2MirageGun_elite</t>
        </is>
      </c>
      <c r="C234" s="7" t="inlineStr">
        <is>
          <t>Armament@elite</t>
        </is>
      </c>
      <c r="L234" s="6" t="n">
        <v>24000</v>
      </c>
      <c r="M234" s="6" t="n">
        <v>39</v>
      </c>
      <c r="N234" s="6" t="n">
        <v>2</v>
      </c>
      <c r="O234" s="6" t="n">
        <v>3</v>
      </c>
      <c r="P234" s="6" t="n">
        <v>7031</v>
      </c>
      <c r="Q234" s="6" t="n">
        <v>0.75</v>
      </c>
      <c r="R234">
        <f>M234+IF(N234&gt;1,N(O234)*(N234-1),0)</f>
        <v/>
      </c>
      <c r="S234">
        <f>IFERROR(L234*MAX(N234,1)/R234*IF(ISBLANK(K232),1,K232),0)</f>
        <v/>
      </c>
      <c r="AB234" s="7" t="inlineStr">
        <is>
          <t>^Warhead_CannonAP_Light</t>
        </is>
      </c>
    </row>
    <row r="235">
      <c r="A235" t="inlineStr">
        <is>
          <t>redalert2</t>
        </is>
      </c>
      <c r="B235" t="inlineStr">
        <is>
          <t>ra2_soviets_apocalypsetank</t>
        </is>
      </c>
      <c r="C235" t="inlineStr">
        <is>
          <t>Apocalypse Tank</t>
        </is>
      </c>
      <c r="D235" s="6" t="inlineStr">
        <is>
          <t>HighTechTank</t>
        </is>
      </c>
      <c r="E235" s="6" t="n">
        <v>350000</v>
      </c>
      <c r="F235" s="6" t="n">
        <v>55</v>
      </c>
      <c r="G235" t="inlineStr">
        <is>
          <t>Superheavy</t>
        </is>
      </c>
      <c r="H235" s="6" t="n">
        <v>0.75</v>
      </c>
      <c r="I235" s="6" t="n">
        <v>1</v>
      </c>
      <c r="J235" s="6" t="n">
        <v>1</v>
      </c>
      <c r="K235" s="6" t="n">
        <v>0.0125</v>
      </c>
      <c r="P235">
        <f>MAX(P236,P237,P238,P239,P240,P241,P242,P243,P244,P245)</f>
        <v/>
      </c>
      <c r="S235">
        <f>S236+S237+S238+S239+S240+S241+S242+S243+S244+S245</f>
        <v/>
      </c>
      <c r="T235">
        <f>(E235/100000+F235/100+(P235/1000)*J235/5+S235/200)*200*I235*H235</f>
        <v/>
      </c>
      <c r="U235">
        <f>((E235*F235/25000)+((P235/1000)*J235*S235/2.5))*I235*H235</f>
        <v/>
      </c>
      <c r="V235">
        <f>(E235*F235*(P235/1000)*J235*S235*I235*H235)/12500000</f>
        <v/>
      </c>
      <c r="W235">
        <f>(((E235/700000)+(F235/65)+(S235/2000)+((P235/6500)*J235))*2000/4+(((E235/700000)*(F235/65))+(((P235/6500)*J235)*(S235/2000)))*2000/2+((E235/700000)*(F235/65)*((P235/6500)*J235)*(S235/2000))*2000)*(H235/0.75)/3</f>
        <v/>
      </c>
      <c r="X235" s="6" t="n">
        <v>1750</v>
      </c>
      <c r="Y235">
        <f>IFERROR(W235-X235,"")</f>
        <v/>
      </c>
      <c r="Z235">
        <f>IFERROR(ABS(Y235)/MAX(X235,1),"")</f>
        <v/>
      </c>
      <c r="AA235">
        <f>IFERROR(ROUND(((3*X235-(((E235/700000)+(F235/65)+(S235/2000))*2000/4+((E235/700000)*(F235/65))*2000/2)*(H235/0.75))/(2000/4+((S235/2000))*2000/2+((E235/700000)*(F235/65)*(S235/2000))*2000)*(H235/0.75)*6500)/J235,-1),"")</f>
        <v/>
      </c>
    </row>
    <row r="236">
      <c r="B236" s="7" t="inlineStr">
        <is>
          <t xml:space="preserve">  ↳ RA2120xmm</t>
        </is>
      </c>
      <c r="C236" s="7" t="inlineStr">
        <is>
          <t>Armament@PRIMARY</t>
        </is>
      </c>
      <c r="L236" s="6" t="n">
        <v>12000</v>
      </c>
      <c r="M236" s="6" t="n">
        <v>63</v>
      </c>
      <c r="N236" s="6" t="n">
        <v>2</v>
      </c>
      <c r="O236" s="6" t="n">
        <v>5</v>
      </c>
      <c r="P236" s="6" t="n">
        <v>6992</v>
      </c>
      <c r="Q236" s="6" t="n">
        <v>1.25</v>
      </c>
      <c r="R236">
        <f>M236+IF(N236&gt;1,N(O236)*(N236-1),0)</f>
        <v/>
      </c>
      <c r="S236">
        <f>IFERROR(L236*MAX(N236,1)/R236*IF(ISBLANK(K235),1,K235),0)</f>
        <v/>
      </c>
      <c r="AB236" s="7" t="inlineStr">
        <is>
          <t>^Warhead_CannonHE_Heavy</t>
        </is>
      </c>
    </row>
    <row r="237">
      <c r="B237" s="7" t="inlineStr">
        <is>
          <t xml:space="preserve">  ↳ RA2120xmm_rad</t>
        </is>
      </c>
      <c r="C237" s="7" t="inlineStr">
        <is>
          <t>Armament@PRIMARYRad</t>
        </is>
      </c>
      <c r="L237" s="6" t="n">
        <v>16000</v>
      </c>
      <c r="M237" s="6" t="n">
        <v>63</v>
      </c>
      <c r="N237" s="6" t="n">
        <v>2</v>
      </c>
      <c r="O237" s="6" t="n">
        <v>5</v>
      </c>
      <c r="P237" s="6" t="n">
        <v>6992</v>
      </c>
      <c r="Q237" s="6" t="n">
        <v>1.25</v>
      </c>
      <c r="R237">
        <f>M237+IF(N237&gt;1,N(O237)*(N237-1),0)</f>
        <v/>
      </c>
      <c r="S237">
        <f>IFERROR(L237*MAX(N237,1)/R237*IF(ISBLANK(K235),1,K235),0)</f>
        <v/>
      </c>
      <c r="AB237" s="7" t="inlineStr">
        <is>
          <t>^Warhead_CannonHE_Heavy</t>
        </is>
      </c>
    </row>
    <row r="238">
      <c r="B238" s="7" t="inlineStr">
        <is>
          <t xml:space="preserve">  ↳ RA2120xmm_fire</t>
        </is>
      </c>
      <c r="C238" s="7" t="inlineStr">
        <is>
          <t>Armament@PRIMARYFire</t>
        </is>
      </c>
      <c r="L238" s="6" t="n">
        <v>12000</v>
      </c>
      <c r="M238" s="6" t="n">
        <v>63</v>
      </c>
      <c r="N238" s="6" t="n">
        <v>2</v>
      </c>
      <c r="O238" s="6" t="n">
        <v>5</v>
      </c>
      <c r="P238" s="6" t="n">
        <v>6992</v>
      </c>
      <c r="Q238" s="6" t="n">
        <v>1.25</v>
      </c>
      <c r="R238">
        <f>M238+IF(N238&gt;1,N(O238)*(N238-1),0)</f>
        <v/>
      </c>
      <c r="S238">
        <f>IFERROR(L238*MAX(N238,1)/R238*IF(ISBLANK(K235),1,K235),0)</f>
        <v/>
      </c>
      <c r="AB238" s="7" t="inlineStr">
        <is>
          <t>^Warhead_CannonHE_Heavy</t>
        </is>
      </c>
    </row>
    <row r="239">
      <c r="B239" s="7" t="inlineStr">
        <is>
          <t xml:space="preserve">  ↳ RA2120xmm_tesla</t>
        </is>
      </c>
      <c r="C239" s="7" t="inlineStr">
        <is>
          <t>Armament@PRIMARYTesla</t>
        </is>
      </c>
      <c r="L239" s="6" t="n">
        <v>12000</v>
      </c>
      <c r="M239" s="6" t="n">
        <v>63</v>
      </c>
      <c r="N239" s="6" t="n">
        <v>2</v>
      </c>
      <c r="O239" s="6" t="n">
        <v>5</v>
      </c>
      <c r="P239" s="6" t="n">
        <v>6992</v>
      </c>
      <c r="Q239" s="6" t="n">
        <v>1.25</v>
      </c>
      <c r="R239">
        <f>M239+IF(N239&gt;1,N(O239)*(N239-1),0)</f>
        <v/>
      </c>
      <c r="S239">
        <f>IFERROR(L239*MAX(N239,1)/R239*IF(ISBLANK(K235),1,K235),0)</f>
        <v/>
      </c>
      <c r="AB239" s="7" t="inlineStr">
        <is>
          <t>^Warhead_CannonHE_Heavy</t>
        </is>
      </c>
    </row>
    <row r="240">
      <c r="B240" s="7" t="inlineStr">
        <is>
          <t xml:space="preserve">  ↳ RA2MammothTusk_AA</t>
        </is>
      </c>
      <c r="C240" s="7" t="inlineStr">
        <is>
          <t>Armament@SECONDARY</t>
        </is>
      </c>
      <c r="L240" s="6" t="n">
        <v>16000</v>
      </c>
      <c r="M240" s="6" t="n">
        <v>68</v>
      </c>
      <c r="N240" s="6" t="n">
        <v>2</v>
      </c>
      <c r="O240" s="6" t="n"/>
      <c r="P240" s="6" t="n">
        <v>6100</v>
      </c>
      <c r="Q240" s="6" t="n">
        <v>1</v>
      </c>
      <c r="R240">
        <f>M240+IF(N240&gt;1,N(O240)*(N240-1),0)</f>
        <v/>
      </c>
      <c r="S240">
        <f>IFERROR(L240*MAX(N240,1)/R240*IF(ISBLANK(K235),1,K235),0)</f>
        <v/>
      </c>
      <c r="AB240" s="7" t="inlineStr">
        <is>
          <t>^Warhead_MissileAP_Medium</t>
        </is>
      </c>
    </row>
    <row r="241">
      <c r="B241" s="7" t="inlineStr">
        <is>
          <t xml:space="preserve">  ↳ RA2120xmm_elite</t>
        </is>
      </c>
      <c r="C241" s="7" t="inlineStr">
        <is>
          <t>Armament@PRIMARYELITE</t>
        </is>
      </c>
      <c r="L241" s="6" t="n">
        <v>12000</v>
      </c>
      <c r="M241" s="6" t="n">
        <v>63</v>
      </c>
      <c r="N241" s="6" t="n">
        <v>4</v>
      </c>
      <c r="O241" s="6" t="n">
        <v>3</v>
      </c>
      <c r="P241" s="6" t="n">
        <v>7992</v>
      </c>
      <c r="Q241" s="6" t="n">
        <v>1.25</v>
      </c>
      <c r="R241">
        <f>M241+IF(N241&gt;1,N(O241)*(N241-1),0)</f>
        <v/>
      </c>
      <c r="S241">
        <f>IFERROR(L241*MAX(N241,1)/R241*IF(ISBLANK(K235),1,K235),0)</f>
        <v/>
      </c>
      <c r="AB241" s="7" t="inlineStr">
        <is>
          <t>^Warhead_CannonHE_Heavy</t>
        </is>
      </c>
    </row>
    <row r="242">
      <c r="B242" s="7" t="inlineStr">
        <is>
          <t xml:space="preserve">  ↳ RA2120xmm_rad_elite</t>
        </is>
      </c>
      <c r="C242" s="7" t="inlineStr">
        <is>
          <t>Armament@PRIMARYELITERad</t>
        </is>
      </c>
      <c r="L242" s="6" t="n">
        <v>16000</v>
      </c>
      <c r="M242" s="6" t="n">
        <v>63</v>
      </c>
      <c r="N242" s="6" t="n">
        <v>4</v>
      </c>
      <c r="O242" s="6" t="n">
        <v>3</v>
      </c>
      <c r="P242" s="6" t="n">
        <v>7992</v>
      </c>
      <c r="Q242" s="6" t="n">
        <v>1.25</v>
      </c>
      <c r="R242">
        <f>M242+IF(N242&gt;1,N(O242)*(N242-1),0)</f>
        <v/>
      </c>
      <c r="S242">
        <f>IFERROR(L242*MAX(N242,1)/R242*IF(ISBLANK(K235),1,K235),0)</f>
        <v/>
      </c>
      <c r="AB242" s="7" t="inlineStr">
        <is>
          <t>^Warhead_CannonHE_Heavy</t>
        </is>
      </c>
    </row>
    <row r="243">
      <c r="B243" s="7" t="inlineStr">
        <is>
          <t xml:space="preserve">  ↳ RA2120xmm_fire_elite</t>
        </is>
      </c>
      <c r="C243" s="7" t="inlineStr">
        <is>
          <t>Armament@PRIMARYELITEFire</t>
        </is>
      </c>
      <c r="L243" s="6" t="n">
        <v>12000</v>
      </c>
      <c r="M243" s="6" t="n">
        <v>63</v>
      </c>
      <c r="N243" s="6" t="n">
        <v>4</v>
      </c>
      <c r="O243" s="6" t="n">
        <v>3</v>
      </c>
      <c r="P243" s="6" t="n">
        <v>7992</v>
      </c>
      <c r="Q243" s="6" t="n">
        <v>1.25</v>
      </c>
      <c r="R243">
        <f>M243+IF(N243&gt;1,N(O243)*(N243-1),0)</f>
        <v/>
      </c>
      <c r="S243">
        <f>IFERROR(L243*MAX(N243,1)/R243*IF(ISBLANK(K235),1,K235),0)</f>
        <v/>
      </c>
      <c r="AB243" s="7" t="inlineStr">
        <is>
          <t>^Warhead_CannonHE_Heavy</t>
        </is>
      </c>
    </row>
    <row r="244">
      <c r="B244" s="7" t="inlineStr">
        <is>
          <t xml:space="preserve">  ↳ RA2120xmm_tesla_elite</t>
        </is>
      </c>
      <c r="C244" s="7" t="inlineStr">
        <is>
          <t>Armament@PRIMARYELITETesla</t>
        </is>
      </c>
      <c r="L244" s="6" t="n">
        <v>12000</v>
      </c>
      <c r="M244" s="6" t="n">
        <v>63</v>
      </c>
      <c r="N244" s="6" t="n">
        <v>4</v>
      </c>
      <c r="O244" s="6" t="n">
        <v>3</v>
      </c>
      <c r="P244" s="6" t="n">
        <v>7992</v>
      </c>
      <c r="Q244" s="6" t="n">
        <v>1.25</v>
      </c>
      <c r="R244">
        <f>M244+IF(N244&gt;1,N(O244)*(N244-1),0)</f>
        <v/>
      </c>
      <c r="S244">
        <f>IFERROR(L244*MAX(N244,1)/R244*IF(ISBLANK(K235),1,K235),0)</f>
        <v/>
      </c>
      <c r="AB244" s="7" t="inlineStr">
        <is>
          <t>^Warhead_CannonHE_Heavy</t>
        </is>
      </c>
    </row>
    <row r="245">
      <c r="B245" s="7" t="inlineStr">
        <is>
          <t xml:space="preserve">  ↳ RA2MammothTusk_AA_elite</t>
        </is>
      </c>
      <c r="C245" s="7" t="inlineStr">
        <is>
          <t>Armament@SECONDARYELITE</t>
        </is>
      </c>
      <c r="L245" s="6" t="n">
        <v>16000</v>
      </c>
      <c r="M245" s="6" t="n">
        <v>68</v>
      </c>
      <c r="N245" s="6" t="n">
        <v>4</v>
      </c>
      <c r="O245" s="6" t="n"/>
      <c r="P245" s="6" t="n">
        <v>7100</v>
      </c>
      <c r="Q245" s="6" t="n">
        <v>1</v>
      </c>
      <c r="R245">
        <f>M245+IF(N245&gt;1,N(O245)*(N245-1),0)</f>
        <v/>
      </c>
      <c r="S245">
        <f>IFERROR(L245*MAX(N245,1)/R245*IF(ISBLANK(K235),1,K235),0)</f>
        <v/>
      </c>
      <c r="AB245" s="7" t="inlineStr">
        <is>
          <t>^Warhead_MissileAP_Medium</t>
        </is>
      </c>
    </row>
    <row r="246">
      <c r="A246" t="inlineStr">
        <is>
          <t>redalert2</t>
        </is>
      </c>
      <c r="B246" t="inlineStr">
        <is>
          <t>yuri_mastermind</t>
        </is>
      </c>
      <c r="C246" t="inlineStr">
        <is>
          <t>Master Mind</t>
        </is>
      </c>
      <c r="D246" s="6" t="inlineStr">
        <is>
          <t>HighTechTank</t>
        </is>
      </c>
      <c r="E246" s="6" t="n">
        <v>100000</v>
      </c>
      <c r="F246" s="6" t="n">
        <v>120</v>
      </c>
      <c r="G246" t="inlineStr">
        <is>
          <t>Superheavy</t>
        </is>
      </c>
      <c r="H246" s="6" t="n">
        <v>0.5046</v>
      </c>
      <c r="I246" s="6" t="n">
        <v>1</v>
      </c>
      <c r="J246" s="6" t="n">
        <v>1</v>
      </c>
      <c r="K246" s="6" t="n"/>
      <c r="P246">
        <f>MAX(P247)</f>
        <v/>
      </c>
      <c r="S246">
        <f>S247</f>
        <v/>
      </c>
      <c r="T246">
        <f>(E246/100000+F246/100+(P246/1000)*J246/5+S246/200)*200*I246*H246</f>
        <v/>
      </c>
      <c r="U246">
        <f>((E246*F246/25000)+((P246/1000)*J246*S246/2.5))*I246*H246</f>
        <v/>
      </c>
      <c r="V246">
        <f>(E246*F246*(P246/1000)*J246*S246*I246*H246)/12500000</f>
        <v/>
      </c>
      <c r="W246">
        <f>(((E246/700000)+(F246/65)+(S246/2000)+((P246/6500)*J246))*2000/4+(((E246/700000)*(F246/65))+(((P246/6500)*J246)*(S246/2000)))*2000/2+((E246/700000)*(F246/65)*((P246/6500)*J246)*(S246/2000))*2000)*(H246/0.75)/3</f>
        <v/>
      </c>
      <c r="X246" s="6" t="n">
        <v>1500</v>
      </c>
      <c r="Y246">
        <f>IFERROR(W246-X246,"")</f>
        <v/>
      </c>
      <c r="Z246">
        <f>IFERROR(ABS(Y246)/MAX(X246,1),"")</f>
        <v/>
      </c>
      <c r="AA246">
        <f>IFERROR(ROUND(((3*X246-(((E246/700000)+(F246/65)+(S246/2000))*2000/4+((E246/700000)*(F246/65))*2000/2)*(H246/0.75))/(2000/4+((S246/2000))*2000/2+((E246/700000)*(F246/65)*(S246/2000))*2000)*(H246/0.75)*6500)/J246,-1),"")</f>
        <v/>
      </c>
    </row>
    <row r="247">
      <c r="B247" s="7" t="inlineStr">
        <is>
          <t xml:space="preserve">  ↳ RA2SMindControl</t>
        </is>
      </c>
      <c r="C247" s="7" t="inlineStr">
        <is>
          <t>Armament@PRIMARY</t>
        </is>
      </c>
      <c r="L247" s="6" t="n">
        <v>0</v>
      </c>
      <c r="M247" s="6" t="n">
        <v>75</v>
      </c>
      <c r="N247" s="6" t="n">
        <v>1</v>
      </c>
      <c r="O247" s="6" t="n"/>
      <c r="P247" s="6" t="n">
        <v>7000</v>
      </c>
      <c r="Q247" s="6" t="n">
        <v>1</v>
      </c>
      <c r="R247">
        <f>M247+IF(N247&gt;1,N(O247)*(N247-1),0)</f>
        <v/>
      </c>
      <c r="S247">
        <f>IFERROR(L247*MAX(N247,1)/R247*IF(ISBLANK(K246),1,K246),0)</f>
        <v/>
      </c>
      <c r="AB247" s="7" t="inlineStr">
        <is>
          <t>RA2MindControl</t>
        </is>
      </c>
    </row>
    <row r="248">
      <c r="A248" t="inlineStr">
        <is>
          <t>redalert2mod</t>
        </is>
      </c>
      <c r="B248" t="inlineStr">
        <is>
          <t>steelconsortium_katytank</t>
        </is>
      </c>
      <c r="C248" t="inlineStr">
        <is>
          <t>Katy Tank</t>
        </is>
      </c>
      <c r="D248" s="6" t="inlineStr">
        <is>
          <t>HighTechTank</t>
        </is>
      </c>
      <c r="E248" s="6" t="n">
        <v>275000</v>
      </c>
      <c r="F248" s="6" t="n">
        <v>45</v>
      </c>
      <c r="G248" t="inlineStr">
        <is>
          <t>Superheavy</t>
        </is>
      </c>
      <c r="H248" s="6" t="n">
        <v>0.4783</v>
      </c>
      <c r="I248" s="6" t="n">
        <v>1</v>
      </c>
      <c r="J248" s="6" t="n">
        <v>1</v>
      </c>
      <c r="K248" s="6" t="n"/>
      <c r="P248">
        <f>MAX(P249,P250,P251,P252)</f>
        <v/>
      </c>
      <c r="S248">
        <f>S249+S250+S251+S252</f>
        <v/>
      </c>
      <c r="T248">
        <f>(E248/100000+F248/100+(P248/1000)*J248/5+S248/200)*200*I248*H248</f>
        <v/>
      </c>
      <c r="U248">
        <f>((E248*F248/25000)+((P248/1000)*J248*S248/2.5))*I248*H248</f>
        <v/>
      </c>
      <c r="V248">
        <f>(E248*F248*(P248/1000)*J248*S248*I248*H248)/12500000</f>
        <v/>
      </c>
      <c r="W248">
        <f>(((E248/700000)+(F248/65)+(S248/2000)+((P248/6500)*J248))*2000/4+(((E248/700000)*(F248/65))+(((P248/6500)*J248)*(S248/2000)))*2000/2+((E248/700000)*(F248/65)*((P248/6500)*J248)*(S248/2000))*2000)*(H248/0.75)/3</f>
        <v/>
      </c>
      <c r="X248" s="6" t="n">
        <v>3800</v>
      </c>
      <c r="Y248">
        <f>IFERROR(W248-X248,"")</f>
        <v/>
      </c>
      <c r="Z248">
        <f>IFERROR(ABS(Y248)/MAX(X248,1),"")</f>
        <v/>
      </c>
      <c r="AA248">
        <f>IFERROR(ROUND(((3*X248-(((E248/700000)+(F248/65)+(S248/2000))*2000/4+((E248/700000)*(F248/65))*2000/2)*(H248/0.75))/(2000/4+((S248/2000))*2000/2+((E248/700000)*(F248/65)*(S248/2000))*2000)*(H248/0.75)*6500)/J248,-1),"")</f>
        <v/>
      </c>
    </row>
    <row r="249">
      <c r="B249" s="7" t="inlineStr">
        <is>
          <t xml:space="preserve">  ↳ SteelKatyCannons</t>
        </is>
      </c>
      <c r="C249" s="7" t="inlineStr">
        <is>
          <t>Armament</t>
        </is>
      </c>
      <c r="L249" s="6" t="n">
        <v>30000</v>
      </c>
      <c r="M249" s="6" t="n">
        <v>50</v>
      </c>
      <c r="N249" s="6" t="n">
        <v>2</v>
      </c>
      <c r="O249" s="6" t="n">
        <v>10</v>
      </c>
      <c r="P249" s="6" t="n">
        <v>7250</v>
      </c>
      <c r="Q249" s="6" t="n">
        <v>1.25</v>
      </c>
      <c r="R249">
        <f>M249+IF(N249&gt;1,N(O249)*(N249-1),0)</f>
        <v/>
      </c>
      <c r="S249">
        <f>IFERROR(L249*MAX(N249,1)/R249*IF(ISBLANK(K248),1,K248),0)</f>
        <v/>
      </c>
      <c r="AB249" s="7" t="inlineStr">
        <is>
          <t>^Warhead_CannonHE_Heavy, ^Warhead_Flame_Heavy</t>
        </is>
      </c>
    </row>
    <row r="250">
      <c r="B250" s="7" t="inlineStr">
        <is>
          <t xml:space="preserve">  ↳ SteelKatyCannons_elite</t>
        </is>
      </c>
      <c r="C250" s="7" t="inlineStr">
        <is>
          <t>Armament@ELITE</t>
        </is>
      </c>
      <c r="L250" s="6" t="n">
        <v>30000</v>
      </c>
      <c r="M250" s="6" t="n">
        <v>50</v>
      </c>
      <c r="N250" s="6" t="n">
        <v>4</v>
      </c>
      <c r="O250" s="6" t="n">
        <v>5</v>
      </c>
      <c r="P250" s="6" t="n">
        <v>8250</v>
      </c>
      <c r="Q250" s="6" t="n">
        <v>1.25</v>
      </c>
      <c r="R250">
        <f>M250+IF(N250&gt;1,N(O250)*(N250-1),0)</f>
        <v/>
      </c>
      <c r="S250">
        <f>IFERROR(L250*MAX(N250,1)/R250*IF(ISBLANK(K248),1,K248),0)</f>
        <v/>
      </c>
      <c r="AB250" s="7" t="inlineStr">
        <is>
          <t>^Warhead_CannonHE_Heavy, ^Warhead_Flame_Heavy</t>
        </is>
      </c>
    </row>
    <row r="251">
      <c r="B251" s="7" t="inlineStr">
        <is>
          <t xml:space="preserve">  ↳ SteelKatyCannons_EMP</t>
        </is>
      </c>
      <c r="C251" s="7" t="inlineStr">
        <is>
          <t>Armament@Upgrade</t>
        </is>
      </c>
      <c r="L251" s="6" t="n">
        <v>70000</v>
      </c>
      <c r="M251" s="6" t="n">
        <v>50</v>
      </c>
      <c r="N251" s="6" t="n">
        <v>2</v>
      </c>
      <c r="O251" s="6" t="n">
        <v>10</v>
      </c>
      <c r="P251" s="6" t="n">
        <v>7250</v>
      </c>
      <c r="Q251" s="6" t="n">
        <v>1.25</v>
      </c>
      <c r="R251">
        <f>M251+IF(N251&gt;1,N(O251)*(N251-1),0)</f>
        <v/>
      </c>
      <c r="S251">
        <f>IFERROR(L251*MAX(N251,1)/R251*IF(ISBLANK(K248),1,K248),0)</f>
        <v/>
      </c>
      <c r="AB251" s="7" t="inlineStr">
        <is>
          <t>^Warhead_CannonHE_Heavy, ^Warhead_Flame_Heavy</t>
        </is>
      </c>
    </row>
    <row r="252">
      <c r="B252" s="7" t="inlineStr">
        <is>
          <t xml:space="preserve">  ↳ SteelKatyCannons_EMP_elite</t>
        </is>
      </c>
      <c r="C252" s="7" t="inlineStr">
        <is>
          <t>Armament@UpgradeELITE</t>
        </is>
      </c>
      <c r="L252" s="6" t="n">
        <v>70000</v>
      </c>
      <c r="M252" s="6" t="n">
        <v>50</v>
      </c>
      <c r="N252" s="6" t="n">
        <v>4</v>
      </c>
      <c r="O252" s="6" t="n">
        <v>5</v>
      </c>
      <c r="P252" s="6" t="n">
        <v>8250</v>
      </c>
      <c r="Q252" s="6" t="n">
        <v>1.25</v>
      </c>
      <c r="R252">
        <f>M252+IF(N252&gt;1,N(O252)*(N252-1),0)</f>
        <v/>
      </c>
      <c r="S252">
        <f>IFERROR(L252*MAX(N252,1)/R252*IF(ISBLANK(K248),1,K248),0)</f>
        <v/>
      </c>
      <c r="AB252" s="7" t="inlineStr">
        <is>
          <t>^Warhead_CannonHE_Heavy, ^Warhead_Flame_Heavy</t>
        </is>
      </c>
    </row>
    <row r="253">
      <c r="A253" t="inlineStr">
        <is>
          <t>redalert2mod</t>
        </is>
      </c>
      <c r="B253" t="inlineStr">
        <is>
          <t>naxis_maus</t>
        </is>
      </c>
      <c r="C253" t="inlineStr">
        <is>
          <t>Maus</t>
        </is>
      </c>
      <c r="D253" s="6" t="inlineStr">
        <is>
          <t>HighTechTank</t>
        </is>
      </c>
      <c r="E253" s="6" t="n">
        <v>600000</v>
      </c>
      <c r="F253" s="6" t="n">
        <v>60</v>
      </c>
      <c r="G253" t="inlineStr">
        <is>
          <t>Superheavy</t>
        </is>
      </c>
      <c r="H253" s="6" t="n">
        <v>0.75</v>
      </c>
      <c r="I253" s="6" t="n">
        <v>1</v>
      </c>
      <c r="J253" s="6" t="n">
        <v>1</v>
      </c>
      <c r="K253" s="6" t="n"/>
      <c r="P253">
        <f>MAX(P254,P255)</f>
        <v/>
      </c>
      <c r="S253">
        <f>S254+S255</f>
        <v/>
      </c>
      <c r="T253">
        <f>(E253/100000+F253/100+(P253/1000)*J253/5+S253/200)*200*I253*H253</f>
        <v/>
      </c>
      <c r="U253">
        <f>((E253*F253/25000)+((P253/1000)*J253*S253/2.5))*I253*H253</f>
        <v/>
      </c>
      <c r="V253">
        <f>(E253*F253*(P253/1000)*J253*S253*I253*H253)/12500000</f>
        <v/>
      </c>
      <c r="W253">
        <f>(((E253/700000)+(F253/65)+(S253/2000)+((P253/6500)*J253))*2000/4+(((E253/700000)*(F253/65))+(((P253/6500)*J253)*(S253/2000)))*2000/2+((E253/700000)*(F253/65)*((P253/6500)*J253)*(S253/2000))*2000)*(H253/0.75)/3</f>
        <v/>
      </c>
      <c r="X253" s="6" t="n">
        <v>4200</v>
      </c>
      <c r="Y253">
        <f>IFERROR(W253-X253,"")</f>
        <v/>
      </c>
      <c r="Z253">
        <f>IFERROR(ABS(Y253)/MAX(X253,1),"")</f>
        <v/>
      </c>
      <c r="AA253">
        <f>IFERROR(ROUND(((3*X253-(((E253/700000)+(F253/65)+(S253/2000))*2000/4+((E253/700000)*(F253/65))*2000/2)*(H253/0.75))/(2000/4+((S253/2000))*2000/2+((E253/700000)*(F253/65)*(S253/2000))*2000)*(H253/0.75)*6500)/J253,-1),"")</f>
        <v/>
      </c>
    </row>
    <row r="254">
      <c r="B254" s="7" t="inlineStr">
        <is>
          <t xml:space="preserve">  ↳ NaxMausCannon</t>
        </is>
      </c>
      <c r="C254" s="7" t="inlineStr">
        <is>
          <t>Armament</t>
        </is>
      </c>
      <c r="L254" s="6" t="n">
        <v>60000</v>
      </c>
      <c r="M254" s="6" t="n">
        <v>99</v>
      </c>
      <c r="N254" s="6" t="n">
        <v>1</v>
      </c>
      <c r="O254" s="6" t="n"/>
      <c r="P254" s="6" t="n">
        <v>6666</v>
      </c>
      <c r="Q254" s="6" t="n">
        <v>1</v>
      </c>
      <c r="R254">
        <f>M254+IF(N254&gt;1,N(O254)*(N254-1),0)</f>
        <v/>
      </c>
      <c r="S254">
        <f>IFERROR(L254*MAX(N254,1)/R254*IF(ISBLANK(K253),1,K253),0)</f>
        <v/>
      </c>
      <c r="AB254" s="7" t="inlineStr">
        <is>
          <t>^Warhead_CannonHE_Medium</t>
        </is>
      </c>
    </row>
    <row r="255">
      <c r="B255" s="7" t="inlineStr">
        <is>
          <t xml:space="preserve">  ↳ NaxMausCannon_elite</t>
        </is>
      </c>
      <c r="C255" s="7" t="inlineStr">
        <is>
          <t>Armament@elite</t>
        </is>
      </c>
      <c r="L255" s="6" t="n">
        <v>60000</v>
      </c>
      <c r="M255" s="6" t="n">
        <v>99</v>
      </c>
      <c r="N255" s="6" t="n">
        <v>2</v>
      </c>
      <c r="O255" s="6" t="n">
        <v>3</v>
      </c>
      <c r="P255" s="6" t="n">
        <v>7777</v>
      </c>
      <c r="Q255" s="6" t="n">
        <v>1</v>
      </c>
      <c r="R255">
        <f>M255+IF(N255&gt;1,N(O255)*(N255-1),0)</f>
        <v/>
      </c>
      <c r="S255">
        <f>IFERROR(L255*MAX(N255,1)/R255*IF(ISBLANK(K253),1,K253),0)</f>
        <v/>
      </c>
      <c r="AB255" s="7" t="inlineStr">
        <is>
          <t>^Warhead_CannonHE_Medium</t>
        </is>
      </c>
    </row>
    <row r="256">
      <c r="A256" t="inlineStr">
        <is>
          <t>redalert2mod</t>
        </is>
      </c>
      <c r="B256" t="inlineStr">
        <is>
          <t>naxis_shoekarn</t>
        </is>
      </c>
      <c r="C256" t="inlineStr">
        <is>
          <t>Shoe Karn</t>
        </is>
      </c>
      <c r="D256" s="6" t="inlineStr">
        <is>
          <t>HighTechTank</t>
        </is>
      </c>
      <c r="E256" s="6" t="n">
        <v>150000</v>
      </c>
      <c r="F256" s="6" t="n">
        <v>75</v>
      </c>
      <c r="G256" t="inlineStr">
        <is>
          <t>Superheavy</t>
        </is>
      </c>
      <c r="H256" s="6" t="n">
        <v>0.4839</v>
      </c>
      <c r="I256" s="6" t="n">
        <v>1</v>
      </c>
      <c r="J256" s="6" t="n">
        <v>1</v>
      </c>
      <c r="K256" s="6" t="n"/>
      <c r="P256">
        <f>MAX(P257,P258,P259,P260)</f>
        <v/>
      </c>
      <c r="S256">
        <f>S257+S258+S259+S260</f>
        <v/>
      </c>
      <c r="T256">
        <f>(E256/100000+F256/100+(P256/1000)*J256/5+S256/200)*200*I256*H256</f>
        <v/>
      </c>
      <c r="U256">
        <f>((E256*F256/25000)+((P256/1000)*J256*S256/2.5))*I256*H256</f>
        <v/>
      </c>
      <c r="V256">
        <f>(E256*F256*(P256/1000)*J256*S256*I256*H256)/12500000</f>
        <v/>
      </c>
      <c r="W256">
        <f>(((E256/700000)+(F256/65)+(S256/2000)+((P256/6500)*J256))*2000/4+(((E256/700000)*(F256/65))+(((P256/6500)*J256)*(S256/2000)))*2000/2+((E256/700000)*(F256/65)*((P256/6500)*J256)*(S256/2000))*2000)*(H256/0.75)/3</f>
        <v/>
      </c>
      <c r="X256" s="6" t="n">
        <v>2500</v>
      </c>
      <c r="Y256">
        <f>IFERROR(W256-X256,"")</f>
        <v/>
      </c>
      <c r="Z256">
        <f>IFERROR(ABS(Y256)/MAX(X256,1),"")</f>
        <v/>
      </c>
      <c r="AA256">
        <f>IFERROR(ROUND(((3*X256-(((E256/700000)+(F256/65)+(S256/2000))*2000/4+((E256/700000)*(F256/65))*2000/2)*(H256/0.75))/(2000/4+((S256/2000))*2000/2+((E256/700000)*(F256/65)*(S256/2000))*2000)*(H256/0.75)*6500)/J256,-1),"")</f>
        <v/>
      </c>
    </row>
    <row r="257">
      <c r="B257" s="7" t="inlineStr">
        <is>
          <t xml:space="preserve">  ↳ RA2120mm</t>
        </is>
      </c>
      <c r="C257" s="7" t="inlineStr">
        <is>
          <t>Armament</t>
        </is>
      </c>
      <c r="L257" s="6" t="n">
        <v>10000</v>
      </c>
      <c r="M257" s="6" t="n">
        <v>54</v>
      </c>
      <c r="N257" s="6" t="n">
        <v>1</v>
      </c>
      <c r="O257" s="6" t="n"/>
      <c r="P257" s="6" t="n">
        <v>5374</v>
      </c>
      <c r="Q257" s="6" t="n">
        <v>1</v>
      </c>
      <c r="R257">
        <f>M257+IF(N257&gt;1,N(O257)*(N257-1),0)</f>
        <v/>
      </c>
      <c r="S257">
        <f>IFERROR(L257*MAX(N257,1)/R257*IF(ISBLANK(K256),1,K256),0)</f>
        <v/>
      </c>
      <c r="AB257" s="7" t="inlineStr">
        <is>
          <t>^Warhead_CannonHE_Medium</t>
        </is>
      </c>
    </row>
    <row r="258">
      <c r="B258" s="7" t="inlineStr">
        <is>
          <t xml:space="preserve">  ↳ RA2120mm_elite</t>
        </is>
      </c>
      <c r="C258" s="7" t="inlineStr">
        <is>
          <t>Armament@elite</t>
        </is>
      </c>
      <c r="L258" s="6" t="n">
        <v>10000</v>
      </c>
      <c r="M258" s="6" t="n">
        <v>54</v>
      </c>
      <c r="N258" s="6" t="n">
        <v>2</v>
      </c>
      <c r="O258" s="6" t="n">
        <v>3</v>
      </c>
      <c r="P258" s="6" t="n">
        <v>6374</v>
      </c>
      <c r="Q258" s="6" t="n">
        <v>1</v>
      </c>
      <c r="R258">
        <f>M258+IF(N258&gt;1,N(O258)*(N258-1),0)</f>
        <v/>
      </c>
      <c r="S258">
        <f>IFERROR(L258*MAX(N258,1)/R258*IF(ISBLANK(K256),1,K256),0)</f>
        <v/>
      </c>
      <c r="AB258" s="7" t="inlineStr">
        <is>
          <t>^Warhead_CannonHE_Medium</t>
        </is>
      </c>
    </row>
    <row r="259">
      <c r="B259" s="7" t="inlineStr">
        <is>
          <t xml:space="preserve">  ↳ NaxGrilleArty</t>
        </is>
      </c>
      <c r="C259" s="7" t="inlineStr">
        <is>
          <t>Armament@mortar</t>
        </is>
      </c>
      <c r="L259" s="6" t="n">
        <v>48000</v>
      </c>
      <c r="M259" s="6" t="n">
        <v>111</v>
      </c>
      <c r="N259" s="6" t="n">
        <v>1</v>
      </c>
      <c r="O259" s="6" t="n"/>
      <c r="P259" s="6" t="n">
        <v>12345</v>
      </c>
      <c r="Q259" s="6" t="n">
        <v>1</v>
      </c>
      <c r="R259">
        <f>M259+IF(N259&gt;1,N(O259)*(N259-1),0)</f>
        <v/>
      </c>
      <c r="S259">
        <f>IFERROR(L259*MAX(N259,1)/R259*IF(ISBLANK(K256),1,K256),0)</f>
        <v/>
      </c>
      <c r="AB259" s="7" t="inlineStr">
        <is>
          <t>^Warhead_CannonHE_Heavy, ^Warhead_Concussion_Medium, ^Warhead_Demolition_Light</t>
        </is>
      </c>
    </row>
    <row r="260">
      <c r="B260" s="7" t="inlineStr">
        <is>
          <t xml:space="preserve">  ↳ NaxShoeRocket</t>
        </is>
      </c>
      <c r="C260" s="7" t="inlineStr">
        <is>
          <t>Armament@scud</t>
        </is>
      </c>
      <c r="L260" s="6" t="n">
        <v>24000</v>
      </c>
      <c r="M260" s="6" t="n">
        <v>250</v>
      </c>
      <c r="N260" s="6" t="n">
        <v>1</v>
      </c>
      <c r="O260" s="6" t="n"/>
      <c r="P260" s="6" t="n">
        <v>12000</v>
      </c>
      <c r="Q260" s="6" t="n">
        <v>1</v>
      </c>
      <c r="R260">
        <f>M260+IF(N260&gt;1,N(O260)*(N260-1),0)</f>
        <v/>
      </c>
      <c r="S260">
        <f>IFERROR(L260*MAX(N260,1)/R260*IF(ISBLANK(K256),1,K256),0)</f>
        <v/>
      </c>
      <c r="AB260" s="7" t="inlineStr">
        <is>
          <t>^Warhead_Demolition_Heavy, ^Warhead_Demolition_Light, ^Warhead_MissileAP_Medium</t>
        </is>
      </c>
    </row>
    <row r="261">
      <c r="A261" t="inlineStr">
        <is>
          <t>redalert2mod</t>
        </is>
      </c>
      <c r="B261" t="inlineStr">
        <is>
          <t>futuretech_oriontank</t>
        </is>
      </c>
      <c r="C261" t="inlineStr">
        <is>
          <t>Orion Tank</t>
        </is>
      </c>
      <c r="D261" s="6" t="inlineStr">
        <is>
          <t>HighTechTank</t>
        </is>
      </c>
      <c r="E261" s="6" t="n">
        <v>180000</v>
      </c>
      <c r="F261" s="6" t="n">
        <v>60</v>
      </c>
      <c r="G261" t="inlineStr">
        <is>
          <t>Superheavy</t>
        </is>
      </c>
      <c r="H261" s="6" t="n">
        <v>0.75</v>
      </c>
      <c r="I261" s="6" t="n">
        <v>1</v>
      </c>
      <c r="J261" s="6" t="n">
        <v>1</v>
      </c>
      <c r="K261" s="6" t="n"/>
      <c r="P261">
        <f>MAX(P262,P263)</f>
        <v/>
      </c>
      <c r="S261">
        <f>S262+S263</f>
        <v/>
      </c>
      <c r="T261">
        <f>(E261/100000+F261/100+(P261/1000)*J261/5+S261/200)*200*I261*H261</f>
        <v/>
      </c>
      <c r="U261">
        <f>((E261*F261/25000)+((P261/1000)*J261*S261/2.5))*I261*H261</f>
        <v/>
      </c>
      <c r="V261">
        <f>(E261*F261*(P261/1000)*J261*S261*I261*H261)/12500000</f>
        <v/>
      </c>
      <c r="W261">
        <f>(((E261/700000)+(F261/65)+(S261/2000)+((P261/6500)*J261))*2000/4+(((E261/700000)*(F261/65))+(((P261/6500)*J261)*(S261/2000)))*2000/2+((E261/700000)*(F261/65)*((P261/6500)*J261)*(S261/2000))*2000)*(H261/0.75)/3</f>
        <v/>
      </c>
      <c r="X261" s="6" t="n">
        <v>2400</v>
      </c>
      <c r="Y261">
        <f>IFERROR(W261-X261,"")</f>
        <v/>
      </c>
      <c r="Z261">
        <f>IFERROR(ABS(Y261)/MAX(X261,1),"")</f>
        <v/>
      </c>
      <c r="AA261">
        <f>IFERROR(ROUND(((3*X261-(((E261/700000)+(F261/65)+(S261/2000))*2000/4+((E261/700000)*(F261/65))*2000/2)*(H261/0.75))/(2000/4+((S261/2000))*2000/2+((E261/700000)*(F261/65)*(S261/2000))*2000)*(H261/0.75)*6500)/J261,-1),"")</f>
        <v/>
      </c>
    </row>
    <row r="262">
      <c r="B262" s="7" t="inlineStr">
        <is>
          <t xml:space="preserve">  ↳ OrionRailgun</t>
        </is>
      </c>
      <c r="C262" s="7" t="inlineStr">
        <is>
          <t>Armament</t>
        </is>
      </c>
      <c r="L262" s="6" t="n">
        <v>60000</v>
      </c>
      <c r="M262" s="6" t="n">
        <v>60</v>
      </c>
      <c r="N262" s="6" t="n">
        <v>1</v>
      </c>
      <c r="O262" s="6" t="n"/>
      <c r="P262" s="6" t="n">
        <v>7500</v>
      </c>
      <c r="Q262" s="6" t="n">
        <v>1.25</v>
      </c>
      <c r="R262">
        <f>M262+IF(N262&gt;1,N(O262)*(N262-1),0)</f>
        <v/>
      </c>
      <c r="S262">
        <f>IFERROR(L262*MAX(N262,1)/R262*IF(ISBLANK(K261),1,K261),0)</f>
        <v/>
      </c>
      <c r="AB262" s="7" t="inlineStr">
        <is>
          <t>^Warhead_Railgun_Heavy, ^Warhead_CannonHE_Heavy</t>
        </is>
      </c>
    </row>
    <row r="263">
      <c r="B263" s="7" t="inlineStr">
        <is>
          <t xml:space="preserve">  ↳ OrionRailgun_elite</t>
        </is>
      </c>
      <c r="C263" s="7" t="inlineStr">
        <is>
          <t>Armament@elite</t>
        </is>
      </c>
      <c r="L263" s="6" t="n">
        <v>150000</v>
      </c>
      <c r="M263" s="6" t="n">
        <v>60</v>
      </c>
      <c r="N263" s="6" t="n">
        <v>1</v>
      </c>
      <c r="O263" s="6" t="n"/>
      <c r="P263" s="6" t="n">
        <v>9000</v>
      </c>
      <c r="Q263" s="6" t="n">
        <v>1.25</v>
      </c>
      <c r="R263">
        <f>M263+IF(N263&gt;1,N(O263)*(N263-1),0)</f>
        <v/>
      </c>
      <c r="S263">
        <f>IFERROR(L263*MAX(N263,1)/R263*IF(ISBLANK(K261),1,K261),0)</f>
        <v/>
      </c>
      <c r="AB263" s="7" t="inlineStr">
        <is>
          <t>^Warhead_Railgun_Heavy, ^Warhead_CannonHE_Heavy</t>
        </is>
      </c>
    </row>
    <row r="264">
      <c r="A264" t="inlineStr">
        <is>
          <t>d2k</t>
        </is>
      </c>
      <c r="B264" t="inlineStr">
        <is>
          <t>ordos_deviatortank</t>
        </is>
      </c>
      <c r="C264" t="inlineStr">
        <is>
          <t>Deviator Tank</t>
        </is>
      </c>
      <c r="D264" s="6" t="inlineStr">
        <is>
          <t>HighTechTank</t>
        </is>
      </c>
      <c r="E264" s="6" t="n">
        <v>85000</v>
      </c>
      <c r="F264" s="6" t="n">
        <v>115</v>
      </c>
      <c r="G264" t="inlineStr">
        <is>
          <t>Superheavy</t>
        </is>
      </c>
      <c r="H264" s="6" t="n">
        <v>0.75</v>
      </c>
      <c r="I264" s="6" t="n">
        <v>1</v>
      </c>
      <c r="J264" s="6" t="n">
        <v>1.25</v>
      </c>
      <c r="K264" s="6" t="n"/>
      <c r="P264">
        <f>MAX(P265)</f>
        <v/>
      </c>
      <c r="S264">
        <f>S265</f>
        <v/>
      </c>
      <c r="T264">
        <f>(E264/100000+F264/100+(P264/1000)*J264/5+S264/200)*200*I264*H264</f>
        <v/>
      </c>
      <c r="U264">
        <f>((E264*F264/25000)+((P264/1000)*J264*S264/2.5))*I264*H264</f>
        <v/>
      </c>
      <c r="V264">
        <f>(E264*F264*(P264/1000)*J264*S264*I264*H264)/12500000</f>
        <v/>
      </c>
      <c r="W264">
        <f>(((E264/700000)+(F264/65)+(S264/2000)+((P264/6500)*J264))*2000/4+(((E264/700000)*(F264/65))+(((P264/6500)*J264)*(S264/2000)))*2000/2+((E264/700000)*(F264/65)*((P264/6500)*J264)*(S264/2000))*2000)*(H264/0.75)/3</f>
        <v/>
      </c>
      <c r="X264" s="6" t="n">
        <v>1600</v>
      </c>
      <c r="Y264">
        <f>IFERROR(W264-X264,"")</f>
        <v/>
      </c>
      <c r="Z264">
        <f>IFERROR(ABS(Y264)/MAX(X264,1),"")</f>
        <v/>
      </c>
      <c r="AA264">
        <f>IFERROR(ROUND(((3*X264-(((E264/700000)+(F264/65)+(S264/2000))*2000/4+((E264/700000)*(F264/65))*2000/2)*(H264/0.75))/(2000/4+((S264/2000))*2000/2+((E264/700000)*(F264/65)*(S264/2000))*2000)*(H264/0.75)*6500)/J264,-1),"")</f>
        <v/>
      </c>
    </row>
    <row r="265">
      <c r="B265" s="7" t="inlineStr">
        <is>
          <t xml:space="preserve">  ↳ DeviatorMissile</t>
        </is>
      </c>
      <c r="C265" s="7" t="inlineStr">
        <is>
          <t>Armament</t>
        </is>
      </c>
      <c r="L265" s="6" t="n">
        <v>40000</v>
      </c>
      <c r="M265" s="6" t="n">
        <v>98</v>
      </c>
      <c r="N265" s="6" t="n">
        <v>1</v>
      </c>
      <c r="O265" s="6" t="n"/>
      <c r="P265" s="6" t="n">
        <v>7070</v>
      </c>
      <c r="Q265" s="6" t="n">
        <v>1.25</v>
      </c>
      <c r="R265">
        <f>M265+IF(N265&gt;1,N(O265)*(N265-1),0)</f>
        <v/>
      </c>
      <c r="S265">
        <f>IFERROR(L265*MAX(N265,1)/R265*IF(ISBLANK(K264),1,K264),0)</f>
        <v/>
      </c>
      <c r="AB265" s="7" t="inlineStr">
        <is>
          <t>^Warhead_CannonHE_Heavy, ^Warhead_MissileAP_Heavy</t>
        </is>
      </c>
    </row>
    <row r="266">
      <c r="A266" t="inlineStr">
        <is>
          <t>d2k</t>
        </is>
      </c>
      <c r="B266" t="inlineStr">
        <is>
          <t>ordos_lasertank</t>
        </is>
      </c>
      <c r="C266" t="inlineStr">
        <is>
          <t>Laser Tank</t>
        </is>
      </c>
      <c r="D266" s="6" t="inlineStr">
        <is>
          <t>HighTechTank</t>
        </is>
      </c>
      <c r="E266" s="6" t="n">
        <v>105000</v>
      </c>
      <c r="F266" s="6" t="n">
        <v>105</v>
      </c>
      <c r="G266" t="inlineStr">
        <is>
          <t>Superheavy</t>
        </is>
      </c>
      <c r="H266" s="6" t="n">
        <v>0.4925</v>
      </c>
      <c r="I266" s="6" t="n">
        <v>1</v>
      </c>
      <c r="J266" s="6" t="n">
        <v>1</v>
      </c>
      <c r="K266" s="6" t="n"/>
      <c r="P266">
        <f>MAX(P267)</f>
        <v/>
      </c>
      <c r="S266">
        <f>S267</f>
        <v/>
      </c>
      <c r="T266">
        <f>(E266/100000+F266/100+(P266/1000)*J266/5+S266/200)*200*I266*H266</f>
        <v/>
      </c>
      <c r="U266">
        <f>((E266*F266/25000)+((P266/1000)*J266*S266/2.5))*I266*H266</f>
        <v/>
      </c>
      <c r="V266">
        <f>(E266*F266*(P266/1000)*J266*S266*I266*H266)/12500000</f>
        <v/>
      </c>
      <c r="W266">
        <f>(((E266/700000)+(F266/65)+(S266/2000)+((P266/6500)*J266))*2000/4+(((E266/700000)*(F266/65))+(((P266/6500)*J266)*(S266/2000)))*2000/2+((E266/700000)*(F266/65)*((P266/6500)*J266)*(S266/2000))*2000)*(H266/0.75)/3</f>
        <v/>
      </c>
      <c r="X266" s="6" t="n">
        <v>2400</v>
      </c>
      <c r="Y266">
        <f>IFERROR(W266-X266,"")</f>
        <v/>
      </c>
      <c r="Z266">
        <f>IFERROR(ABS(Y266)/MAX(X266,1),"")</f>
        <v/>
      </c>
      <c r="AA266">
        <f>IFERROR(ROUND(((3*X266-(((E266/700000)+(F266/65)+(S266/2000))*2000/4+((E266/700000)*(F266/65))*2000/2)*(H266/0.75))/(2000/4+((S266/2000))*2000/2+((E266/700000)*(F266/65)*(S266/2000))*2000)*(H266/0.75)*6500)/J266,-1),"")</f>
        <v/>
      </c>
    </row>
    <row r="267">
      <c r="B267" s="7" t="inlineStr">
        <is>
          <t xml:space="preserve">  ↳ ordos_lasertank</t>
        </is>
      </c>
      <c r="C267" s="7" t="inlineStr">
        <is>
          <t>Armament</t>
        </is>
      </c>
      <c r="L267" s="6" t="n">
        <v>40000</v>
      </c>
      <c r="M267" s="6" t="n">
        <v>55</v>
      </c>
      <c r="N267" s="6" t="n">
        <v>1</v>
      </c>
      <c r="O267" s="6" t="n"/>
      <c r="P267" s="6" t="n">
        <v>7275</v>
      </c>
      <c r="Q267" s="6" t="n">
        <v>1</v>
      </c>
      <c r="R267">
        <f>M267+IF(N267&gt;1,N(O267)*(N267-1),0)</f>
        <v/>
      </c>
      <c r="S267">
        <f>IFERROR(L267*MAX(N267,1)/R267*IF(ISBLANK(K266),1,K266),0)</f>
        <v/>
      </c>
      <c r="AB267" s="7" t="inlineStr">
        <is>
          <t>^FlakWeapon, ^MediumMissile, ^RailgunWeapon, ^LaserWeapon</t>
        </is>
      </c>
    </row>
    <row r="268">
      <c r="A268" t="inlineStr">
        <is>
          <t>d2k</t>
        </is>
      </c>
      <c r="B268" t="inlineStr">
        <is>
          <t>duelist_tank.ixian</t>
        </is>
      </c>
      <c r="C268" t="inlineStr">
        <is>
          <t>Ix Duelist Tank</t>
        </is>
      </c>
      <c r="D268" s="6" t="inlineStr">
        <is>
          <t>HighTechTank</t>
        </is>
      </c>
      <c r="E268" s="6" t="n">
        <v>240000</v>
      </c>
      <c r="F268" s="6" t="n">
        <v>45</v>
      </c>
      <c r="G268" t="inlineStr">
        <is>
          <t>Superheavy</t>
        </is>
      </c>
      <c r="H268" s="6" t="n">
        <v>0.75</v>
      </c>
      <c r="I268" s="6" t="n">
        <v>1</v>
      </c>
      <c r="J268" s="6" t="n">
        <v>1</v>
      </c>
      <c r="K268" s="6" t="n">
        <v>0.005</v>
      </c>
      <c r="P268">
        <f>MAX(P269,P270,P271)</f>
        <v/>
      </c>
      <c r="S268">
        <f>S269+S270+S271</f>
        <v/>
      </c>
      <c r="T268">
        <f>(E268/100000+F268/100+(P268/1000)*J268/5+S268/200)*200*I268*H268</f>
        <v/>
      </c>
      <c r="U268">
        <f>((E268*F268/25000)+((P268/1000)*J268*S268/2.5))*I268*H268</f>
        <v/>
      </c>
      <c r="V268">
        <f>(E268*F268*(P268/1000)*J268*S268*I268*H268)/12500000</f>
        <v/>
      </c>
      <c r="W268">
        <f>(((E268/700000)+(F268/65)+(S268/2000)+((P268/6500)*J268))*2000/4+(((E268/700000)*(F268/65))+(((P268/6500)*J268)*(S268/2000)))*2000/2+((E268/700000)*(F268/65)*((P268/6500)*J268)*(S268/2000))*2000)*(H268/0.75)/3</f>
        <v/>
      </c>
      <c r="X268" s="6" t="n">
        <v>1800</v>
      </c>
      <c r="Y268">
        <f>IFERROR(W268-X268,"")</f>
        <v/>
      </c>
      <c r="Z268">
        <f>IFERROR(ABS(Y268)/MAX(X268,1),"")</f>
        <v/>
      </c>
      <c r="AA268">
        <f>IFERROR(ROUND(((3*X268-(((E268/700000)+(F268/65)+(S268/2000))*2000/4+((E268/700000)*(F268/65))*2000/2)*(H268/0.75))/(2000/4+((S268/2000))*2000/2+((E268/700000)*(F268/65)*(S268/2000))*2000)*(H268/0.75)*6500)/J268,-1),"")</f>
        <v/>
      </c>
    </row>
    <row r="269">
      <c r="B269" s="7" t="inlineStr">
        <is>
          <t xml:space="preserve">  ↳ DuelistTankCannon</t>
        </is>
      </c>
      <c r="C269" s="7" t="inlineStr">
        <is>
          <t>Armament</t>
        </is>
      </c>
      <c r="L269" s="6" t="n">
        <v>84000</v>
      </c>
      <c r="M269" s="6" t="n">
        <v>140</v>
      </c>
      <c r="N269" s="6" t="n">
        <v>1</v>
      </c>
      <c r="O269" s="6" t="n"/>
      <c r="P269" s="6" t="n">
        <v>7000</v>
      </c>
      <c r="Q269" s="6" t="n">
        <v>1.125</v>
      </c>
      <c r="R269">
        <f>M269+IF(N269&gt;1,N(O269)*(N269-1),0)</f>
        <v/>
      </c>
      <c r="S269">
        <f>IFERROR(L269*MAX(N269,1)/R269*IF(ISBLANK(K268),1,K268),0)</f>
        <v/>
      </c>
      <c r="AB269" s="7" t="inlineStr">
        <is>
          <t>^Warhead_CannonHE_Heavy, ^Warhead_CannonHE_Medium</t>
        </is>
      </c>
    </row>
    <row r="270">
      <c r="B270" s="7" t="inlineStr">
        <is>
          <t xml:space="preserve">  ↳ HMG_Duelist</t>
        </is>
      </c>
      <c r="C270" s="7" t="inlineStr">
        <is>
          <t>Armament@Guns</t>
        </is>
      </c>
      <c r="L270" s="6" t="n">
        <v>12000</v>
      </c>
      <c r="M270" s="6" t="n">
        <v>64</v>
      </c>
      <c r="N270" s="6" t="n">
        <v>4</v>
      </c>
      <c r="O270" s="6" t="n">
        <v>2</v>
      </c>
      <c r="P270" s="6" t="n">
        <v>7000</v>
      </c>
      <c r="Q270" s="6" t="n">
        <v>1</v>
      </c>
      <c r="R270">
        <f>M270+IF(N270&gt;1,N(O270)*(N270-1),0)</f>
        <v/>
      </c>
      <c r="S270">
        <f>IFERROR(L270*MAX(N270,1)/R270*IF(ISBLANK(K268),1,K268),0)</f>
        <v/>
      </c>
      <c r="AB270" s="7" t="inlineStr">
        <is>
          <t>^LightMissile, ^Grenade, ^SmallArms, ^MediumMissile, ^FlakWeapon, ^Chaingun</t>
        </is>
      </c>
    </row>
    <row r="271">
      <c r="B271" s="7" t="inlineStr">
        <is>
          <t xml:space="preserve">  ↳ HMG_Duelist_upgrade</t>
        </is>
      </c>
      <c r="C271" s="7" t="inlineStr">
        <is>
          <t>Armament@Upgrade</t>
        </is>
      </c>
      <c r="L271" s="6" t="n">
        <v>18000</v>
      </c>
      <c r="M271" s="6" t="n">
        <v>64</v>
      </c>
      <c r="N271" s="6" t="n">
        <v>4</v>
      </c>
      <c r="O271" s="6" t="n">
        <v>2</v>
      </c>
      <c r="P271" s="6" t="n">
        <v>7000</v>
      </c>
      <c r="Q271" s="6" t="n">
        <v>1.25</v>
      </c>
      <c r="R271">
        <f>M271+IF(N271&gt;1,N(O271)*(N271-1),0)</f>
        <v/>
      </c>
      <c r="S271">
        <f>IFERROR(L271*MAX(N271,1)/R271*IF(ISBLANK(K268),1,K268),0)</f>
        <v/>
      </c>
      <c r="AB271" s="7" t="inlineStr">
        <is>
          <t>^Warhead_CannonHE_Heavy</t>
        </is>
      </c>
    </row>
    <row r="272">
      <c r="A272" t="inlineStr">
        <is>
          <t>starcraft</t>
        </is>
      </c>
      <c r="B272" t="inlineStr">
        <is>
          <t>protoss_atreus</t>
        </is>
      </c>
      <c r="C272" t="inlineStr">
        <is>
          <t>Atreus</t>
        </is>
      </c>
      <c r="D272" s="6" t="inlineStr">
        <is>
          <t>HighTechTank</t>
        </is>
      </c>
      <c r="E272" s="6" t="n">
        <v>250000</v>
      </c>
      <c r="F272" s="6" t="n">
        <v>60</v>
      </c>
      <c r="G272" t="inlineStr">
        <is>
          <t>Superheavy</t>
        </is>
      </c>
      <c r="H272" s="6" t="n">
        <v>0.75</v>
      </c>
      <c r="I272" s="6" t="n">
        <v>1</v>
      </c>
      <c r="J272" s="6" t="n">
        <v>1</v>
      </c>
      <c r="K272" s="6" t="n"/>
      <c r="P272">
        <f>MAX(P273)</f>
        <v/>
      </c>
      <c r="S272">
        <f>S273</f>
        <v/>
      </c>
      <c r="T272">
        <f>(E272/100000+F272/100+(P272/1000)*J272/5+S272/200)*200*I272*H272</f>
        <v/>
      </c>
      <c r="U272">
        <f>((E272*F272/25000)+((P272/1000)*J272*S272/2.5))*I272*H272</f>
        <v/>
      </c>
      <c r="V272">
        <f>(E272*F272*(P272/1000)*J272*S272*I272*H272)/12500000</f>
        <v/>
      </c>
      <c r="W272">
        <f>(((E272/700000)+(F272/65)+(S272/2000)+((P272/6500)*J272))*2000/4+(((E272/700000)*(F272/65))+(((P272/6500)*J272)*(S272/2000)))*2000/2+((E272/700000)*(F272/65)*((P272/6500)*J272)*(S272/2000))*2000)*(H272/0.75)/3</f>
        <v/>
      </c>
      <c r="X272" s="6" t="n">
        <v>2400</v>
      </c>
      <c r="Y272">
        <f>IFERROR(W272-X272,"")</f>
        <v/>
      </c>
      <c r="Z272">
        <f>IFERROR(ABS(Y272)/MAX(X272,1),"")</f>
        <v/>
      </c>
      <c r="AA272">
        <f>IFERROR(ROUND(((3*X272-(((E272/700000)+(F272/65)+(S272/2000))*2000/4+((E272/700000)*(F272/65))*2000/2)*(H272/0.75))/(2000/4+((S272/2000))*2000/2+((E272/700000)*(F272/65)*(S272/2000))*2000)*(H272/0.75)*6500)/J272,-1),"")</f>
        <v/>
      </c>
    </row>
    <row r="273">
      <c r="B273" s="7" t="inlineStr">
        <is>
          <t xml:space="preserve">  ↳ AtreusMG</t>
        </is>
      </c>
      <c r="C273" s="7" t="inlineStr">
        <is>
          <t>Armament</t>
        </is>
      </c>
      <c r="L273" s="6" t="n">
        <v>10000</v>
      </c>
      <c r="M273" s="6" t="n">
        <v>28</v>
      </c>
      <c r="N273" s="6" t="n">
        <v>4</v>
      </c>
      <c r="O273" s="6" t="n">
        <v>4</v>
      </c>
      <c r="P273" s="6" t="n">
        <v>4500</v>
      </c>
      <c r="Q273" s="6" t="n">
        <v>1.125</v>
      </c>
      <c r="R273">
        <f>M273+IF(N273&gt;1,N(O273)*(N273-1),0)</f>
        <v/>
      </c>
      <c r="S273">
        <f>IFERROR(L273*MAX(N273,1)/R273*IF(ISBLANK(K272),1,K272),0)</f>
        <v/>
      </c>
      <c r="AB273" s="7" t="inlineStr">
        <is>
          <t>^Warhead_CannonHE_Heavy, ^Warhead_Bullet_Medium</t>
        </is>
      </c>
    </row>
    <row r="274">
      <c r="A274" t="inlineStr">
        <is>
          <t>starcraft</t>
        </is>
      </c>
      <c r="B274" t="inlineStr">
        <is>
          <t>zerg_goremaw</t>
        </is>
      </c>
      <c r="C274" t="inlineStr">
        <is>
          <t>Goremaw</t>
        </is>
      </c>
      <c r="D274" s="6" t="inlineStr">
        <is>
          <t>HighTechTank</t>
        </is>
      </c>
      <c r="E274" s="6" t="n">
        <v>150000</v>
      </c>
      <c r="F274" s="6" t="n">
        <v>150</v>
      </c>
      <c r="G274" t="inlineStr">
        <is>
          <t>Superheavy</t>
        </is>
      </c>
      <c r="H274" s="6" t="n">
        <v>0.75</v>
      </c>
      <c r="I274" s="6" t="n">
        <v>1</v>
      </c>
      <c r="J274" s="6" t="n">
        <v>1.25</v>
      </c>
      <c r="K274" s="6" t="n"/>
      <c r="P274">
        <f>MAX(P275)</f>
        <v/>
      </c>
      <c r="S274">
        <f>S275</f>
        <v/>
      </c>
      <c r="T274">
        <f>(E274/100000+F274/100+(P274/1000)*J274/5+S274/200)*200*I274*H274</f>
        <v/>
      </c>
      <c r="U274">
        <f>((E274*F274/25000)+((P274/1000)*J274*S274/2.5))*I274*H274</f>
        <v/>
      </c>
      <c r="V274">
        <f>(E274*F274*(P274/1000)*J274*S274*I274*H274)/12500000</f>
        <v/>
      </c>
      <c r="W274">
        <f>(((E274/700000)+(F274/65)+(S274/2000)+((P274/6500)*J274))*2000/4+(((E274/700000)*(F274/65))+(((P274/6500)*J274)*(S274/2000)))*2000/2+((E274/700000)*(F274/65)*((P274/6500)*J274)*(S274/2000))*2000)*(H274/0.75)/3</f>
        <v/>
      </c>
      <c r="X274" s="6" t="n">
        <v>1500</v>
      </c>
      <c r="Y274">
        <f>IFERROR(W274-X274,"")</f>
        <v/>
      </c>
      <c r="Z274">
        <f>IFERROR(ABS(Y274)/MAX(X274,1),"")</f>
        <v/>
      </c>
      <c r="AA274">
        <f>IFERROR(ROUND(((3*X274-(((E274/700000)+(F274/65)+(S274/2000))*2000/4+((E274/700000)*(F274/65))*2000/2)*(H274/0.75))/(2000/4+((S274/2000))*2000/2+((E274/700000)*(F274/65)*(S274/2000))*2000)*(H274/0.75)*6500)/J274,-1),"")</f>
        <v/>
      </c>
    </row>
    <row r="275">
      <c r="B275" s="7" t="inlineStr">
        <is>
          <t xml:space="preserve">  ↳ GoremawClaw</t>
        </is>
      </c>
      <c r="C275" s="7" t="inlineStr">
        <is>
          <t>Armament</t>
        </is>
      </c>
      <c r="L275" s="6" t="n">
        <v>30000</v>
      </c>
      <c r="M275" s="6" t="n">
        <v>30</v>
      </c>
      <c r="N275" s="6" t="n">
        <v>1</v>
      </c>
      <c r="O275" s="6" t="n"/>
      <c r="P275" s="6" t="n">
        <v>1250</v>
      </c>
      <c r="Q275" s="6" t="n">
        <v>1</v>
      </c>
      <c r="R275">
        <f>M275+IF(N275&gt;1,N(O275)*(N275-1),0)</f>
        <v/>
      </c>
      <c r="S275">
        <f>IFERROR(L275*MAX(N275,1)/R275*IF(ISBLANK(K274),1,K274),0)</f>
        <v/>
      </c>
      <c r="AB275" s="7" t="inlineStr">
        <is>
          <t>^Warhead_Melee_Medium</t>
        </is>
      </c>
    </row>
    <row r="276">
      <c r="A276" t="inlineStr">
        <is>
          <t>starcraft</t>
        </is>
      </c>
      <c r="B276" t="inlineStr">
        <is>
          <t>terran_goliath</t>
        </is>
      </c>
      <c r="C276" t="inlineStr">
        <is>
          <t>Goliath</t>
        </is>
      </c>
      <c r="D276" s="6" t="inlineStr">
        <is>
          <t>HighTechTank</t>
        </is>
      </c>
      <c r="E276" s="6" t="n">
        <v>125000</v>
      </c>
      <c r="F276" s="6" t="n">
        <v>90</v>
      </c>
      <c r="G276" t="inlineStr">
        <is>
          <t>Superheavy</t>
        </is>
      </c>
      <c r="H276" s="6" t="n">
        <v>0.75</v>
      </c>
      <c r="I276" s="6" t="n">
        <v>1</v>
      </c>
      <c r="J276" s="6" t="n">
        <v>1</v>
      </c>
      <c r="K276" s="6" t="n">
        <v>0.0033</v>
      </c>
      <c r="P276">
        <f>MAX(P277,P278,P279,P280)</f>
        <v/>
      </c>
      <c r="S276">
        <f>S277+S278+S279+S280</f>
        <v/>
      </c>
      <c r="T276">
        <f>(E276/100000+F276/100+(P276/1000)*J276/5+S276/200)*200*I276*H276</f>
        <v/>
      </c>
      <c r="U276">
        <f>((E276*F276/25000)+((P276/1000)*J276*S276/2.5))*I276*H276</f>
        <v/>
      </c>
      <c r="V276">
        <f>(E276*F276*(P276/1000)*J276*S276*I276*H276)/12500000</f>
        <v/>
      </c>
      <c r="W276">
        <f>(((E276/700000)+(F276/65)+(S276/2000)+((P276/6500)*J276))*2000/4+(((E276/700000)*(F276/65))+(((P276/6500)*J276)*(S276/2000)))*2000/2+((E276/700000)*(F276/65)*((P276/6500)*J276)*(S276/2000))*2000)*(H276/0.75)/3</f>
        <v/>
      </c>
      <c r="X276" s="6" t="n">
        <v>1600</v>
      </c>
      <c r="Y276">
        <f>IFERROR(W276-X276,"")</f>
        <v/>
      </c>
      <c r="Z276">
        <f>IFERROR(ABS(Y276)/MAX(X276,1),"")</f>
        <v/>
      </c>
      <c r="AA276">
        <f>IFERROR(ROUND(((3*X276-(((E276/700000)+(F276/65)+(S276/2000))*2000/4+((E276/700000)*(F276/65))*2000/2)*(H276/0.75))/(2000/4+((S276/2000))*2000/2+((E276/700000)*(F276/65)*(S276/2000))*2000)*(H276/0.75)*6500)/J276,-1),"")</f>
        <v/>
      </c>
    </row>
    <row r="277">
      <c r="B277" s="7" t="inlineStr">
        <is>
          <t xml:space="preserve">  ↳ GoliathMG</t>
        </is>
      </c>
      <c r="C277" s="7" t="inlineStr">
        <is>
          <t>Armament@G1</t>
        </is>
      </c>
      <c r="L277" s="6" t="n">
        <v>6000</v>
      </c>
      <c r="M277" s="6" t="n">
        <v>16</v>
      </c>
      <c r="N277" s="6" t="n">
        <v>3</v>
      </c>
      <c r="O277" s="6" t="n">
        <v>2</v>
      </c>
      <c r="P277" s="6" t="n">
        <v>6000</v>
      </c>
      <c r="Q277" s="6" t="n">
        <v>1</v>
      </c>
      <c r="R277">
        <f>M277+IF(N277&gt;1,N(O277)*(N277-1),0)</f>
        <v/>
      </c>
      <c r="S277">
        <f>IFERROR(L277*MAX(N277,1)/R277*IF(ISBLANK(K276),1,K276),0)</f>
        <v/>
      </c>
      <c r="AB277" s="7" t="inlineStr">
        <is>
          <t>^Warhead_Concussion_Light, ^Warhead_CannonHE_Heavy, ^Warhead_Bullet_Medium</t>
        </is>
      </c>
    </row>
    <row r="278">
      <c r="B278" s="7" t="inlineStr">
        <is>
          <t xml:space="preserve">  ↳ GoliathMG</t>
        </is>
      </c>
      <c r="C278" s="7" t="inlineStr">
        <is>
          <t>Armament@G2</t>
        </is>
      </c>
      <c r="L278" s="6" t="n">
        <v>6000</v>
      </c>
      <c r="M278" s="6" t="n">
        <v>16</v>
      </c>
      <c r="N278" s="6" t="n">
        <v>3</v>
      </c>
      <c r="O278" s="6" t="n">
        <v>2</v>
      </c>
      <c r="P278" s="6" t="n">
        <v>6000</v>
      </c>
      <c r="Q278" s="6" t="n">
        <v>1</v>
      </c>
      <c r="R278">
        <f>M278+IF(N278&gt;1,N(O278)*(N278-1),0)</f>
        <v/>
      </c>
      <c r="S278">
        <f>IFERROR(L278*MAX(N278,1)/R278*IF(ISBLANK(K276),1,K276),0)</f>
        <v/>
      </c>
      <c r="AB278" s="7" t="inlineStr">
        <is>
          <t>^Warhead_Concussion_Light, ^Warhead_CannonHE_Heavy, ^Warhead_Bullet_Medium</t>
        </is>
      </c>
    </row>
    <row r="279">
      <c r="B279" s="7" t="inlineStr">
        <is>
          <t xml:space="preserve">  ↳ GoliathRockets_AA</t>
        </is>
      </c>
      <c r="C279" s="7" t="inlineStr">
        <is>
          <t>Armament@A1</t>
        </is>
      </c>
      <c r="L279" s="6" t="n">
        <v>30000</v>
      </c>
      <c r="M279" s="6" t="n">
        <v>33</v>
      </c>
      <c r="N279" s="6" t="n">
        <v>1</v>
      </c>
      <c r="O279" s="6" t="n"/>
      <c r="P279" s="6" t="n">
        <v>6000</v>
      </c>
      <c r="Q279" s="6" t="n">
        <v>1.25</v>
      </c>
      <c r="R279">
        <f>M279+IF(N279&gt;1,N(O279)*(N279-1),0)</f>
        <v/>
      </c>
      <c r="S279">
        <f>IFERROR(L279*MAX(N279,1)/R279*IF(ISBLANK(K276),1,K276),0)</f>
        <v/>
      </c>
      <c r="AB279" s="7" t="inlineStr">
        <is>
          <t>^Warhead_MissileAP_Heavy</t>
        </is>
      </c>
    </row>
    <row r="280">
      <c r="B280" s="7" t="inlineStr">
        <is>
          <t xml:space="preserve">  ↳ GoliathRockets_AA</t>
        </is>
      </c>
      <c r="C280" s="7" t="inlineStr">
        <is>
          <t>Armament@A2</t>
        </is>
      </c>
      <c r="L280" s="6" t="n">
        <v>30000</v>
      </c>
      <c r="M280" s="6" t="n">
        <v>33</v>
      </c>
      <c r="N280" s="6" t="n">
        <v>1</v>
      </c>
      <c r="O280" s="6" t="n"/>
      <c r="P280" s="6" t="n">
        <v>6000</v>
      </c>
      <c r="Q280" s="6" t="n">
        <v>1.25</v>
      </c>
      <c r="R280">
        <f>M280+IF(N280&gt;1,N(O280)*(N280-1),0)</f>
        <v/>
      </c>
      <c r="S280">
        <f>IFERROR(L280*MAX(N280,1)/R280*IF(ISBLANK(K276),1,K276),0)</f>
        <v/>
      </c>
      <c r="AB280" s="7" t="inlineStr">
        <is>
          <t>^Warhead_MissileAP_Heavy</t>
        </is>
      </c>
    </row>
    <row r="281">
      <c r="A281" t="inlineStr">
        <is>
          <t>starcraft</t>
        </is>
      </c>
      <c r="B281" t="inlineStr">
        <is>
          <t>terran_goliathmk2</t>
        </is>
      </c>
      <c r="C281" t="inlineStr">
        <is>
          <t>Goliath Mk2</t>
        </is>
      </c>
      <c r="D281" s="6" t="inlineStr">
        <is>
          <t>HighTechTank</t>
        </is>
      </c>
      <c r="E281" s="6" t="n">
        <v>175000</v>
      </c>
      <c r="F281" s="6" t="n">
        <v>75</v>
      </c>
      <c r="G281" t="inlineStr">
        <is>
          <t>Superheavy</t>
        </is>
      </c>
      <c r="H281" s="6" t="n">
        <v>0.75</v>
      </c>
      <c r="I281" s="6" t="n">
        <v>1</v>
      </c>
      <c r="J281" s="6" t="n">
        <v>1</v>
      </c>
      <c r="K281" s="6" t="n">
        <v>0.0025</v>
      </c>
      <c r="P281">
        <f>MAX(P282,P283,P284,P285)</f>
        <v/>
      </c>
      <c r="S281">
        <f>S282+S283+S284+S285</f>
        <v/>
      </c>
      <c r="T281">
        <f>(E281/100000+F281/100+(P281/1000)*J281/5+S281/200)*200*I281*H281</f>
        <v/>
      </c>
      <c r="U281">
        <f>((E281*F281/25000)+((P281/1000)*J281*S281/2.5))*I281*H281</f>
        <v/>
      </c>
      <c r="V281">
        <f>(E281*F281*(P281/1000)*J281*S281*I281*H281)/12500000</f>
        <v/>
      </c>
      <c r="W281">
        <f>(((E281/700000)+(F281/65)+(S281/2000)+((P281/6500)*J281))*2000/4+(((E281/700000)*(F281/65))+(((P281/6500)*J281)*(S281/2000)))*2000/2+((E281/700000)*(F281/65)*((P281/6500)*J281)*(S281/2000))*2000)*(H281/0.75)/3</f>
        <v/>
      </c>
      <c r="X281" s="6" t="n">
        <v>2400</v>
      </c>
      <c r="Y281">
        <f>IFERROR(W281-X281,"")</f>
        <v/>
      </c>
      <c r="Z281">
        <f>IFERROR(ABS(Y281)/MAX(X281,1),"")</f>
        <v/>
      </c>
      <c r="AA281">
        <f>IFERROR(ROUND(((3*X281-(((E281/700000)+(F281/65)+(S281/2000))*2000/4+((E281/700000)*(F281/65))*2000/2)*(H281/0.75))/(2000/4+((S281/2000))*2000/2+((E281/700000)*(F281/65)*(S281/2000))*2000)*(H281/0.75)*6500)/J281,-1),"")</f>
        <v/>
      </c>
    </row>
    <row r="282">
      <c r="B282" s="7" t="inlineStr">
        <is>
          <t xml:space="preserve">  ↳ GoliathMk2MG</t>
        </is>
      </c>
      <c r="C282" s="7" t="inlineStr">
        <is>
          <t>Armament@G1</t>
        </is>
      </c>
      <c r="L282" s="6" t="n">
        <v>8000</v>
      </c>
      <c r="M282" s="6" t="n">
        <v>34</v>
      </c>
      <c r="N282" s="6" t="n">
        <v>4</v>
      </c>
      <c r="O282" s="6" t="n">
        <v>2</v>
      </c>
      <c r="P282" s="6" t="n">
        <v>6479</v>
      </c>
      <c r="Q282" s="6" t="n">
        <v>1.125</v>
      </c>
      <c r="R282">
        <f>M282+IF(N282&gt;1,N(O282)*(N282-1),0)</f>
        <v/>
      </c>
      <c r="S282">
        <f>IFERROR(L282*MAX(N282,1)/R282*IF(ISBLANK(K281),1,K281),0)</f>
        <v/>
      </c>
      <c r="AB282" s="7" t="inlineStr">
        <is>
          <t>^Warhead_CannonHE_Heavy, ^Warhead_Bullet_Medium</t>
        </is>
      </c>
    </row>
    <row r="283">
      <c r="B283" s="7" t="inlineStr">
        <is>
          <t xml:space="preserve">  ↳ GoliathMk2MG</t>
        </is>
      </c>
      <c r="C283" s="7" t="inlineStr">
        <is>
          <t>Armament@G2</t>
        </is>
      </c>
      <c r="L283" s="6" t="n">
        <v>8000</v>
      </c>
      <c r="M283" s="6" t="n">
        <v>34</v>
      </c>
      <c r="N283" s="6" t="n">
        <v>4</v>
      </c>
      <c r="O283" s="6" t="n">
        <v>2</v>
      </c>
      <c r="P283" s="6" t="n">
        <v>6479</v>
      </c>
      <c r="Q283" s="6" t="n">
        <v>1.125</v>
      </c>
      <c r="R283">
        <f>M283+IF(N283&gt;1,N(O283)*(N283-1),0)</f>
        <v/>
      </c>
      <c r="S283">
        <f>IFERROR(L283*MAX(N283,1)/R283*IF(ISBLANK(K281),1,K281),0)</f>
        <v/>
      </c>
      <c r="AB283" s="7" t="inlineStr">
        <is>
          <t>^Warhead_CannonHE_Heavy, ^Warhead_Bullet_Medium</t>
        </is>
      </c>
    </row>
    <row r="284">
      <c r="B284" s="7" t="inlineStr">
        <is>
          <t xml:space="preserve">  ↳ GoliathMk2Rockets</t>
        </is>
      </c>
      <c r="C284" s="7" t="inlineStr">
        <is>
          <t>Armament@A1</t>
        </is>
      </c>
      <c r="L284" s="6" t="n">
        <v>32000</v>
      </c>
      <c r="M284" s="6" t="n">
        <v>40</v>
      </c>
      <c r="N284" s="6" t="n">
        <v>1</v>
      </c>
      <c r="O284" s="6" t="n"/>
      <c r="P284" s="6" t="n">
        <v>6479</v>
      </c>
      <c r="Q284" s="6" t="n">
        <v>1.25</v>
      </c>
      <c r="R284">
        <f>M284+IF(N284&gt;1,N(O284)*(N284-1),0)</f>
        <v/>
      </c>
      <c r="S284">
        <f>IFERROR(L284*MAX(N284,1)/R284*IF(ISBLANK(K281),1,K281),0)</f>
        <v/>
      </c>
      <c r="AB284" s="7" t="inlineStr">
        <is>
          <t>^Warhead_MissileAP_Heavy</t>
        </is>
      </c>
    </row>
    <row r="285">
      <c r="B285" s="7" t="inlineStr">
        <is>
          <t xml:space="preserve">  ↳ GoliathMk2Rockets</t>
        </is>
      </c>
      <c r="C285" s="7" t="inlineStr">
        <is>
          <t>Armament@A2</t>
        </is>
      </c>
      <c r="L285" s="6" t="n">
        <v>32000</v>
      </c>
      <c r="M285" s="6" t="n">
        <v>40</v>
      </c>
      <c r="N285" s="6" t="n">
        <v>1</v>
      </c>
      <c r="O285" s="6" t="n"/>
      <c r="P285" s="6" t="n">
        <v>6479</v>
      </c>
      <c r="Q285" s="6" t="n">
        <v>1.25</v>
      </c>
      <c r="R285">
        <f>M285+IF(N285&gt;1,N(O285)*(N285-1),0)</f>
        <v/>
      </c>
      <c r="S285">
        <f>IFERROR(L285*MAX(N285,1)/R285*IF(ISBLANK(K281),1,K281),0)</f>
        <v/>
      </c>
      <c r="AB285" s="7" t="inlineStr">
        <is>
          <t>^Warhead_MissileAP_Heavy</t>
        </is>
      </c>
    </row>
    <row r="286">
      <c r="A286" s="4" t="inlineStr">
        <is>
          <t>LineBreaker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</row>
    <row r="287">
      <c r="A287" t="inlineStr">
        <is>
          <t>tiberiandawn</t>
        </is>
      </c>
      <c r="B287" t="inlineStr">
        <is>
          <t>td_gdi_assaultapc</t>
        </is>
      </c>
      <c r="C287" t="inlineStr">
        <is>
          <t>Assault APC</t>
        </is>
      </c>
      <c r="D287" s="6" t="inlineStr">
        <is>
          <t>LineBreaker</t>
        </is>
      </c>
      <c r="E287" s="6" t="n">
        <v>250000</v>
      </c>
      <c r="F287" s="6" t="n">
        <v>100</v>
      </c>
      <c r="G287" t="inlineStr">
        <is>
          <t>Superheavy</t>
        </is>
      </c>
      <c r="H287" s="6" t="n">
        <v>0.75</v>
      </c>
      <c r="I287" s="6" t="n">
        <v>1</v>
      </c>
      <c r="J287" s="6" t="n">
        <v>1</v>
      </c>
      <c r="K287" s="6" t="n"/>
      <c r="P287">
        <f>MAX(P288,P289,P290,P291)</f>
        <v/>
      </c>
      <c r="S287">
        <f>S288+S289+S290+S291</f>
        <v/>
      </c>
      <c r="T287">
        <f>(E287/100000+F287/100+(P287/1000)*J287/5+S287/200)*200*I287*H287</f>
        <v/>
      </c>
      <c r="U287">
        <f>((E287*F287/25000)+((P287/1000)*J287*S287/2.5))*I287*H287</f>
        <v/>
      </c>
      <c r="V287">
        <f>(E287*F287*(P287/1000)*J287*S287*I287*H287)/12500000</f>
        <v/>
      </c>
      <c r="W287">
        <f>(((E287/750000)+(F287/80)+(S287/1600)+((P287/2500)*J287))*1600/4+(((E287/750000)*(F287/80))+(((P287/2500)*J287)*(S287/1600)))*1600/2+((E287/750000)*(F287/80)*((P287/2500)*J287)*(S287/1600))*1600)*(H287/1.0)/3</f>
        <v/>
      </c>
      <c r="X287" s="6" t="n">
        <v>4500</v>
      </c>
      <c r="Y287">
        <f>IFERROR(W287-X287,"")</f>
        <v/>
      </c>
      <c r="Z287">
        <f>IFERROR(ABS(Y287)/MAX(X287,1),"")</f>
        <v/>
      </c>
      <c r="AA287">
        <f>IFERROR(ROUND(((3*X287-(((E287/750000)+(F287/80)+(S287/1600))*1600/4+((E287/750000)*(F287/80))*1600/2)*(H287/1.0))/(1600/4+((S287/1600))*1600/2+((E287/750000)*(F287/80)*(S287/1600))*1600)*(H287/1.0)*2500)/J287,-1),"")</f>
        <v/>
      </c>
    </row>
    <row r="288">
      <c r="B288" s="7" t="inlineStr">
        <is>
          <t xml:space="preserve">  ↳ MachineGunHumvee2</t>
        </is>
      </c>
      <c r="C288" s="7" t="inlineStr">
        <is>
          <t>Armament</t>
        </is>
      </c>
      <c r="L288" s="6" t="n">
        <v>2000</v>
      </c>
      <c r="M288" s="6" t="n">
        <v>30</v>
      </c>
      <c r="N288" s="6" t="n">
        <v>4</v>
      </c>
      <c r="O288" s="6" t="n">
        <v>4</v>
      </c>
      <c r="P288" s="6" t="n">
        <v>5598</v>
      </c>
      <c r="Q288" s="6" t="n">
        <v>0.75</v>
      </c>
      <c r="R288">
        <f>M288+IF(N288&gt;1,N(O288)*(N288-1),0)</f>
        <v/>
      </c>
      <c r="S288">
        <f>IFERROR(L288*MAX(N288,1)/R288*IF(ISBLANK(K287),1,K287),0)</f>
        <v/>
      </c>
      <c r="AB288" s="7" t="inlineStr">
        <is>
          <t>^Warhead_Bullet_Light</t>
        </is>
      </c>
    </row>
    <row r="289">
      <c r="B289" s="7" t="inlineStr">
        <is>
          <t xml:space="preserve">  ↳ MachineGunHumvee2_AA</t>
        </is>
      </c>
      <c r="C289" s="7" t="inlineStr">
        <is>
          <t>Armament@AA</t>
        </is>
      </c>
      <c r="L289" s="6" t="n">
        <v>2000</v>
      </c>
      <c r="M289" s="6" t="n">
        <v>30</v>
      </c>
      <c r="N289" s="6" t="n">
        <v>4</v>
      </c>
      <c r="O289" s="6" t="n">
        <v>4</v>
      </c>
      <c r="P289" s="6" t="n">
        <v>8397</v>
      </c>
      <c r="Q289" s="6" t="n">
        <v>0.75</v>
      </c>
      <c r="R289">
        <f>M289+IF(N289&gt;1,N(O289)*(N289-1),0)</f>
        <v/>
      </c>
      <c r="S289">
        <f>IFERROR(L289*MAX(N289,1)/R289*IF(ISBLANK(K287),1,K287),0)</f>
        <v/>
      </c>
      <c r="AB289" s="7" t="inlineStr">
        <is>
          <t>^Warhead_Bullet_Light</t>
        </is>
      </c>
    </row>
    <row r="290">
      <c r="B290" s="7" t="inlineStr">
        <is>
          <t xml:space="preserve">  ↳ MachineGunHumvee2AP</t>
        </is>
      </c>
      <c r="C290" s="7" t="inlineStr">
        <is>
          <t>Armament@Upgrade</t>
        </is>
      </c>
      <c r="L290" s="6" t="n">
        <v>2000</v>
      </c>
      <c r="M290" s="6" t="n">
        <v>30</v>
      </c>
      <c r="N290" s="6" t="n">
        <v>4</v>
      </c>
      <c r="O290" s="6" t="n">
        <v>4</v>
      </c>
      <c r="P290" s="6" t="n">
        <v>5598</v>
      </c>
      <c r="Q290" s="6" t="n">
        <v>1</v>
      </c>
      <c r="R290">
        <f>M290+IF(N290&gt;1,N(O290)*(N290-1),0)</f>
        <v/>
      </c>
      <c r="S290">
        <f>IFERROR(L290*MAX(N290,1)/R290*IF(ISBLANK(K287),1,K287),0)</f>
        <v/>
      </c>
      <c r="AB290" s="7" t="inlineStr">
        <is>
          <t>^Warhead_Bullet_Medium</t>
        </is>
      </c>
    </row>
    <row r="291">
      <c r="B291" s="7" t="inlineStr">
        <is>
          <t xml:space="preserve">  ↳ MachineGunHumvee2AP_AA</t>
        </is>
      </c>
      <c r="C291" s="7" t="inlineStr">
        <is>
          <t>Armament@UpgradeAA</t>
        </is>
      </c>
      <c r="L291" s="6" t="n">
        <v>2000</v>
      </c>
      <c r="M291" s="6" t="n">
        <v>30</v>
      </c>
      <c r="N291" s="6" t="n">
        <v>4</v>
      </c>
      <c r="O291" s="6" t="n">
        <v>4</v>
      </c>
      <c r="P291" s="6" t="n">
        <v>8397</v>
      </c>
      <c r="Q291" s="6" t="n">
        <v>1</v>
      </c>
      <c r="R291">
        <f>M291+IF(N291&gt;1,N(O291)*(N291-1),0)</f>
        <v/>
      </c>
      <c r="S291">
        <f>IFERROR(L291*MAX(N291,1)/R291*IF(ISBLANK(K287),1,K287),0)</f>
        <v/>
      </c>
      <c r="AB291" s="7" t="inlineStr">
        <is>
          <t>^Warhead_Bullet_Medium</t>
        </is>
      </c>
    </row>
    <row r="292">
      <c r="A292" t="inlineStr">
        <is>
          <t>tiberiandawn</t>
        </is>
      </c>
      <c r="B292" t="inlineStr">
        <is>
          <t>td_nod_flametank</t>
        </is>
      </c>
      <c r="C292" t="inlineStr">
        <is>
          <t>Nod Flame Tank</t>
        </is>
      </c>
      <c r="D292" s="6" t="inlineStr">
        <is>
          <t>LineBreaker</t>
        </is>
      </c>
      <c r="E292" s="6" t="n">
        <v>100000</v>
      </c>
      <c r="F292" s="6" t="n">
        <v>80</v>
      </c>
      <c r="G292" t="inlineStr">
        <is>
          <t>Superheavy</t>
        </is>
      </c>
      <c r="H292" s="6" t="n">
        <v>1</v>
      </c>
      <c r="I292" s="6" t="n">
        <v>1</v>
      </c>
      <c r="J292" s="6" t="n">
        <v>1</v>
      </c>
      <c r="K292" s="6" t="n"/>
      <c r="P292">
        <f>MAX(P293)</f>
        <v/>
      </c>
      <c r="S292">
        <f>S293</f>
        <v/>
      </c>
      <c r="T292">
        <f>(E292/100000+F292/100+(P292/1000)*J292/5+S292/200)*200*I292*H292</f>
        <v/>
      </c>
      <c r="U292">
        <f>((E292*F292/25000)+((P292/1000)*J292*S292/2.5))*I292*H292</f>
        <v/>
      </c>
      <c r="V292">
        <f>(E292*F292*(P292/1000)*J292*S292*I292*H292)/12500000</f>
        <v/>
      </c>
      <c r="W292">
        <f>(((E292/750000)+(F292/80)+(S292/1600)+((P292/2500)*J292))*1600/4+(((E292/750000)*(F292/80))+(((P292/2500)*J292)*(S292/1600)))*1600/2+((E292/750000)*(F292/80)*((P292/2500)*J292)*(S292/1600))*1600)*(H292/1.0)/3</f>
        <v/>
      </c>
      <c r="X292" s="6" t="n">
        <v>800</v>
      </c>
      <c r="Y292">
        <f>IFERROR(W292-X292,"")</f>
        <v/>
      </c>
      <c r="Z292">
        <f>IFERROR(ABS(Y292)/MAX(X292,1),"")</f>
        <v/>
      </c>
      <c r="AA292">
        <f>IFERROR(ROUND(((3*X292-(((E292/750000)+(F292/80)+(S292/1600))*1600/4+((E292/750000)*(F292/80))*1600/2)*(H292/1.0))/(1600/4+((S292/1600))*1600/2+((E292/750000)*(F292/80)*(S292/1600))*1600)*(H292/1.0)*2500)/J292,-1),"")</f>
        <v/>
      </c>
    </row>
    <row r="293">
      <c r="B293" s="7" t="inlineStr">
        <is>
          <t xml:space="preserve">  ↳ BigFlamer</t>
        </is>
      </c>
      <c r="C293" s="7" t="inlineStr">
        <is>
          <t>Armament</t>
        </is>
      </c>
      <c r="L293" s="6" t="n">
        <v>14000</v>
      </c>
      <c r="M293" s="6" t="n">
        <v>50</v>
      </c>
      <c r="N293" s="6" t="n">
        <v>2</v>
      </c>
      <c r="O293" s="6" t="n">
        <v>10</v>
      </c>
      <c r="P293" s="6" t="n">
        <v>2390</v>
      </c>
      <c r="Q293" s="6" t="n">
        <v>1</v>
      </c>
      <c r="R293">
        <f>M293+IF(N293&gt;1,N(O293)*(N293-1),0)</f>
        <v/>
      </c>
      <c r="S293">
        <f>IFERROR(L293*MAX(N293,1)/R293*IF(ISBLANK(K292),1,K292),0)</f>
        <v/>
      </c>
      <c r="AB293" s="7" t="inlineStr">
        <is>
          <t>^Warhead_Flame_Medium</t>
        </is>
      </c>
    </row>
    <row r="294">
      <c r="A294" t="inlineStr">
        <is>
          <t>tiberiandawn</t>
        </is>
      </c>
      <c r="B294" t="inlineStr">
        <is>
          <t>td_nod_flametankmkii</t>
        </is>
      </c>
      <c r="C294" t="inlineStr">
        <is>
          <t>Flame Tank Mk. II</t>
        </is>
      </c>
      <c r="D294" s="6" t="inlineStr">
        <is>
          <t>LineBreaker</t>
        </is>
      </c>
      <c r="E294" s="6" t="n">
        <v>200000</v>
      </c>
      <c r="F294" s="6" t="n">
        <v>75</v>
      </c>
      <c r="G294" t="inlineStr">
        <is>
          <t>Superheavy</t>
        </is>
      </c>
      <c r="H294" s="6" t="n">
        <v>0.7333</v>
      </c>
      <c r="I294" s="6" t="n">
        <v>1</v>
      </c>
      <c r="J294" s="6" t="n">
        <v>1</v>
      </c>
      <c r="K294" s="6" t="n"/>
      <c r="P294">
        <f>MAX(P295)</f>
        <v/>
      </c>
      <c r="S294">
        <f>S295</f>
        <v/>
      </c>
      <c r="T294">
        <f>(E294/100000+F294/100+(P294/1000)*J294/5+S294/200)*200*I294*H294</f>
        <v/>
      </c>
      <c r="U294">
        <f>((E294*F294/25000)+((P294/1000)*J294*S294/2.5))*I294*H294</f>
        <v/>
      </c>
      <c r="V294">
        <f>(E294*F294*(P294/1000)*J294*S294*I294*H294)/12500000</f>
        <v/>
      </c>
      <c r="W294">
        <f>(((E294/750000)+(F294/80)+(S294/1600)+((P294/2500)*J294))*1600/4+(((E294/750000)*(F294/80))+(((P294/2500)*J294)*(S294/1600)))*1600/2+((E294/750000)*(F294/80)*((P294/2500)*J294)*(S294/1600))*1600)*(H294/1.0)/3</f>
        <v/>
      </c>
      <c r="X294" s="6" t="n">
        <v>1300</v>
      </c>
      <c r="Y294">
        <f>IFERROR(W294-X294,"")</f>
        <v/>
      </c>
      <c r="Z294">
        <f>IFERROR(ABS(Y294)/MAX(X294,1),"")</f>
        <v/>
      </c>
      <c r="AA294">
        <f>IFERROR(ROUND(((3*X294-(((E294/750000)+(F294/80)+(S294/1600))*1600/4+((E294/750000)*(F294/80))*1600/2)*(H294/1.0))/(1600/4+((S294/1600))*1600/2+((E294/750000)*(F294/80)*(S294/1600))*1600)*(H294/1.0)*2500)/J294,-1),"")</f>
        <v/>
      </c>
    </row>
    <row r="295">
      <c r="B295" s="7" t="inlineStr">
        <is>
          <t xml:space="preserve">  ↳ BigFlamer2</t>
        </is>
      </c>
      <c r="C295" s="7" t="inlineStr">
        <is>
          <t>Armament</t>
        </is>
      </c>
      <c r="L295" s="6" t="n">
        <v>20000</v>
      </c>
      <c r="M295" s="6" t="n">
        <v>54</v>
      </c>
      <c r="N295" s="6" t="n">
        <v>2</v>
      </c>
      <c r="O295" s="6" t="n">
        <v>10</v>
      </c>
      <c r="P295" s="6" t="n">
        <v>2534</v>
      </c>
      <c r="Q295" s="6" t="n">
        <v>1.25</v>
      </c>
      <c r="R295">
        <f>M295+IF(N295&gt;1,N(O295)*(N295-1),0)</f>
        <v/>
      </c>
      <c r="S295">
        <f>IFERROR(L295*MAX(N295,1)/R295*IF(ISBLANK(K294),1,K294),0)</f>
        <v/>
      </c>
      <c r="AB295" s="7" t="inlineStr">
        <is>
          <t>^Warhead_Flame_Heavy</t>
        </is>
      </c>
    </row>
    <row r="296">
      <c r="A296" t="inlineStr">
        <is>
          <t>tiberiansun</t>
        </is>
      </c>
      <c r="B296" t="inlineStr">
        <is>
          <t>cabal_beholder</t>
        </is>
      </c>
      <c r="C296" t="inlineStr">
        <is>
          <t>Beholder</t>
        </is>
      </c>
      <c r="D296" s="6" t="inlineStr">
        <is>
          <t>LineBreaker</t>
        </is>
      </c>
      <c r="E296" s="6" t="n">
        <v>125000</v>
      </c>
      <c r="F296" s="6" t="n">
        <v>125</v>
      </c>
      <c r="G296" t="inlineStr">
        <is>
          <t>Superheavy</t>
        </is>
      </c>
      <c r="H296" s="6" t="n">
        <v>0.75</v>
      </c>
      <c r="I296" s="6" t="n">
        <v>0.8</v>
      </c>
      <c r="J296" s="6" t="n">
        <v>1.25</v>
      </c>
      <c r="K296" s="6" t="n"/>
      <c r="P296">
        <f>MAX(P297)</f>
        <v/>
      </c>
      <c r="S296">
        <f>S297</f>
        <v/>
      </c>
      <c r="T296">
        <f>(E296/100000+F296/100+(P296/1000)*J296/5+S296/200)*200*I296*H296</f>
        <v/>
      </c>
      <c r="U296">
        <f>((E296*F296/25000)+((P296/1000)*J296*S296/2.5))*I296*H296</f>
        <v/>
      </c>
      <c r="V296">
        <f>(E296*F296*(P296/1000)*J296*S296*I296*H296)/12500000</f>
        <v/>
      </c>
      <c r="W296">
        <f>(((E296/750000)+(F296/80)+(S296/1600)+((P296/2500)*J296))*1600/4+(((E296/750000)*(F296/80))+(((P296/2500)*J296)*(S296/1600)))*1600/2+((E296/750000)*(F296/80)*((P296/2500)*J296)*(S296/1600))*1600)*(H296/1.0)/3</f>
        <v/>
      </c>
      <c r="X296" s="6" t="n">
        <v>2500</v>
      </c>
      <c r="Y296">
        <f>IFERROR(W296-X296,"")</f>
        <v/>
      </c>
      <c r="Z296">
        <f>IFERROR(ABS(Y296)/MAX(X296,1),"")</f>
        <v/>
      </c>
      <c r="AA296">
        <f>IFERROR(ROUND(((3*X296-(((E296/750000)+(F296/80)+(S296/1600))*1600/4+((E296/750000)*(F296/80))*1600/2)*(H296/1.0))/(1600/4+((S296/1600))*1600/2+((E296/750000)*(F296/80)*(S296/1600))*1600)*(H296/1.0)*2500)/J296,-1),"")</f>
        <v/>
      </c>
    </row>
    <row r="297">
      <c r="B297" s="7" t="inlineStr">
        <is>
          <t xml:space="preserve">  ↳ CabalBeholderLaser</t>
        </is>
      </c>
      <c r="C297" s="7" t="inlineStr">
        <is>
          <t>Armament@PRIMARY</t>
        </is>
      </c>
      <c r="L297" s="6" t="n">
        <v>40000</v>
      </c>
      <c r="M297" s="6" t="n">
        <v>50</v>
      </c>
      <c r="N297" s="6" t="n">
        <v>2</v>
      </c>
      <c r="O297" s="6" t="n">
        <v>5</v>
      </c>
      <c r="P297" s="6" t="n">
        <v>2500</v>
      </c>
      <c r="Q297" s="6" t="n">
        <v>1</v>
      </c>
      <c r="R297">
        <f>M297+IF(N297&gt;1,N(O297)*(N297-1),0)</f>
        <v/>
      </c>
      <c r="S297">
        <f>IFERROR(L297*MAX(N297,1)/R297*IF(ISBLANK(K296),1,K296),0)</f>
        <v/>
      </c>
      <c r="AB297" s="7" t="inlineStr">
        <is>
          <t>^HeavyCannon, ^TeslaWeapon, ^RailgunWeapon, ^LaserWeapon</t>
        </is>
      </c>
    </row>
    <row r="298">
      <c r="A298" t="inlineStr">
        <is>
          <t>tiberiansun</t>
        </is>
      </c>
      <c r="B298" t="inlineStr">
        <is>
          <t>ts_nod_devilstongue</t>
        </is>
      </c>
      <c r="C298" t="inlineStr">
        <is>
          <t>Devil's Tongue</t>
        </is>
      </c>
      <c r="D298" s="6" t="inlineStr">
        <is>
          <t>LineBreaker</t>
        </is>
      </c>
      <c r="E298" s="6" t="n">
        <v>100000</v>
      </c>
      <c r="F298" s="6" t="n">
        <v>70</v>
      </c>
      <c r="G298" t="inlineStr">
        <is>
          <t>Superheavy</t>
        </is>
      </c>
      <c r="H298" s="6" t="n">
        <v>0.642</v>
      </c>
      <c r="I298" s="6" t="n">
        <v>1</v>
      </c>
      <c r="J298" s="6" t="n">
        <v>1</v>
      </c>
      <c r="K298" s="6" t="n"/>
      <c r="P298">
        <f>MAX(P299)</f>
        <v/>
      </c>
      <c r="S298">
        <f>S299</f>
        <v/>
      </c>
      <c r="T298">
        <f>(E298/100000+F298/100+(P298/1000)*J298/5+S298/200)*200*I298*H298</f>
        <v/>
      </c>
      <c r="U298">
        <f>((E298*F298/25000)+((P298/1000)*J298*S298/2.5))*I298*H298</f>
        <v/>
      </c>
      <c r="V298">
        <f>(E298*F298*(P298/1000)*J298*S298*I298*H298)/12500000</f>
        <v/>
      </c>
      <c r="W298">
        <f>(((E298/750000)+(F298/80)+(S298/1600)+((P298/2500)*J298))*1600/4+(((E298/750000)*(F298/80))+(((P298/2500)*J298)*(S298/1600)))*1600/2+((E298/750000)*(F298/80)*((P298/2500)*J298)*(S298/1600))*1600)*(H298/1.0)/3</f>
        <v/>
      </c>
      <c r="X298" s="6" t="n">
        <v>1150</v>
      </c>
      <c r="Y298">
        <f>IFERROR(W298-X298,"")</f>
        <v/>
      </c>
      <c r="Z298">
        <f>IFERROR(ABS(Y298)/MAX(X298,1),"")</f>
        <v/>
      </c>
      <c r="AA298">
        <f>IFERROR(ROUND(((3*X298-(((E298/750000)+(F298/80)+(S298/1600))*1600/4+((E298/750000)*(F298/80))*1600/2)*(H298/1.0))/(1600/4+((S298/1600))*1600/2+((E298/750000)*(F298/80)*(S298/1600))*1600)*(H298/1.0)*2500)/J298,-1),"")</f>
        <v/>
      </c>
    </row>
    <row r="299">
      <c r="B299" s="7" t="inlineStr">
        <is>
          <t xml:space="preserve">  ↳ TSFireballLauncher</t>
        </is>
      </c>
      <c r="C299" s="7" t="inlineStr">
        <is>
          <t>Armament@PRIMARY</t>
        </is>
      </c>
      <c r="L299" s="6" t="n">
        <v>8000</v>
      </c>
      <c r="M299" s="6" t="n">
        <v>52</v>
      </c>
      <c r="N299" s="6" t="n">
        <v>5</v>
      </c>
      <c r="O299" s="6" t="n">
        <v>2</v>
      </c>
      <c r="P299" s="6" t="n">
        <v>4250</v>
      </c>
      <c r="Q299" s="6" t="n">
        <v>1</v>
      </c>
      <c r="R299">
        <f>M299+IF(N299&gt;1,N(O299)*(N299-1),0)</f>
        <v/>
      </c>
      <c r="S299">
        <f>IFERROR(L299*MAX(N299,1)/R299*IF(ISBLANK(K298),1,K298),0)</f>
        <v/>
      </c>
      <c r="AB299" s="7" t="inlineStr">
        <is>
          <t>^Warhead_Flame_Medium</t>
        </is>
      </c>
    </row>
    <row r="300">
      <c r="A300" t="inlineStr">
        <is>
          <t>tiberiansun</t>
        </is>
      </c>
      <c r="B300" t="inlineStr">
        <is>
          <t>ts_gdi_disruptor</t>
        </is>
      </c>
      <c r="C300" t="inlineStr">
        <is>
          <t>Disruptor</t>
        </is>
      </c>
      <c r="D300" s="6" t="inlineStr">
        <is>
          <t>LineBreaker</t>
        </is>
      </c>
      <c r="E300" s="6" t="n">
        <v>250000</v>
      </c>
      <c r="F300" s="6" t="n">
        <v>50</v>
      </c>
      <c r="G300" t="inlineStr">
        <is>
          <t>Superheavy</t>
        </is>
      </c>
      <c r="H300" s="6" t="n">
        <v>0.6471</v>
      </c>
      <c r="I300" s="6" t="n">
        <v>1</v>
      </c>
      <c r="J300" s="6" t="n">
        <v>1</v>
      </c>
      <c r="K300" s="6" t="n"/>
      <c r="P300">
        <f>MAX(P301,P302)</f>
        <v/>
      </c>
      <c r="S300">
        <f>S301+S302</f>
        <v/>
      </c>
      <c r="T300">
        <f>(E300/100000+F300/100+(P300/1000)*J300/5+S300/200)*200*I300*H300</f>
        <v/>
      </c>
      <c r="U300">
        <f>((E300*F300/25000)+((P300/1000)*J300*S300/2.5))*I300*H300</f>
        <v/>
      </c>
      <c r="V300">
        <f>(E300*F300*(P300/1000)*J300*S300*I300*H300)/12500000</f>
        <v/>
      </c>
      <c r="W300">
        <f>(((E300/750000)+(F300/80)+(S300/1600)+((P300/2500)*J300))*1600/4+(((E300/750000)*(F300/80))+(((P300/2500)*J300)*(S300/1600)))*1600/2+((E300/750000)*(F300/80)*((P300/2500)*J300)*(S300/1600))*1600)*(H300/1.0)/3</f>
        <v/>
      </c>
      <c r="X300" s="6" t="n">
        <v>2400</v>
      </c>
      <c r="Y300">
        <f>IFERROR(W300-X300,"")</f>
        <v/>
      </c>
      <c r="Z300">
        <f>IFERROR(ABS(Y300)/MAX(X300,1),"")</f>
        <v/>
      </c>
      <c r="AA300">
        <f>IFERROR(ROUND(((3*X300-(((E300/750000)+(F300/80)+(S300/1600))*1600/4+((E300/750000)*(F300/80))*1600/2)*(H300/1.0))/(1600/4+((S300/1600))*1600/2+((E300/750000)*(F300/80)*(S300/1600))*1600)*(H300/1.0)*2500)/J300,-1),"")</f>
        <v/>
      </c>
    </row>
    <row r="301">
      <c r="B301" s="7" t="inlineStr">
        <is>
          <t xml:space="preserve">  ↳ TSSonicZapWeapon</t>
        </is>
      </c>
      <c r="C301" s="7" t="inlineStr">
        <is>
          <t>Armament@PRIMARY</t>
        </is>
      </c>
      <c r="L301" s="6" t="n">
        <v>4000</v>
      </c>
      <c r="M301" s="6" t="n">
        <v>60</v>
      </c>
      <c r="N301" s="6" t="n">
        <v>1</v>
      </c>
      <c r="O301" s="6" t="n"/>
      <c r="P301" s="6" t="n">
        <v>4050</v>
      </c>
      <c r="Q301" s="6" t="n">
        <v>1.25</v>
      </c>
      <c r="R301">
        <f>M301+IF(N301&gt;1,N(O301)*(N301-1),0)</f>
        <v/>
      </c>
      <c r="S301">
        <f>IFERROR(L301*MAX(N301,1)/R301*IF(ISBLANK(K300),1,K300),0)</f>
        <v/>
      </c>
      <c r="AB301" s="7" t="inlineStr">
        <is>
          <t>^Warhead_Tesla_Heavy, ^Warhead_Magic_Heavy</t>
        </is>
      </c>
    </row>
    <row r="302">
      <c r="B302" s="7" t="inlineStr">
        <is>
          <t xml:space="preserve">  ↳ TSSonicZapWeaponSonic</t>
        </is>
      </c>
      <c r="C302" s="7" t="inlineStr">
        <is>
          <t>Armament@Upgrade</t>
        </is>
      </c>
      <c r="L302" s="6" t="n">
        <v>4000</v>
      </c>
      <c r="M302" s="6" t="n">
        <v>60</v>
      </c>
      <c r="N302" s="6" t="n">
        <v>1</v>
      </c>
      <c r="O302" s="6" t="n"/>
      <c r="P302" s="6" t="n">
        <v>4050</v>
      </c>
      <c r="Q302" s="6" t="n">
        <v>1.25</v>
      </c>
      <c r="R302">
        <f>M302+IF(N302&gt;1,N(O302)*(N302-1),0)</f>
        <v/>
      </c>
      <c r="S302">
        <f>IFERROR(L302*MAX(N302,1)/R302*IF(ISBLANK(K300),1,K300),0)</f>
        <v/>
      </c>
      <c r="AB302" s="7" t="inlineStr">
        <is>
          <t>^Warhead_Sonic_Heavy</t>
        </is>
      </c>
    </row>
    <row r="303">
      <c r="A303" t="inlineStr">
        <is>
          <t>tiberiansun</t>
        </is>
      </c>
      <c r="B303" t="inlineStr">
        <is>
          <t>ts_gdi_mobileemp</t>
        </is>
      </c>
      <c r="C303" t="inlineStr">
        <is>
          <t>Mobile EMP</t>
        </is>
      </c>
      <c r="D303" s="6" t="inlineStr">
        <is>
          <t>LineBreaker</t>
        </is>
      </c>
      <c r="E303" s="6" t="n">
        <v>150000</v>
      </c>
      <c r="F303" s="6" t="n">
        <v>100</v>
      </c>
      <c r="G303" t="inlineStr">
        <is>
          <t>Superheavy</t>
        </is>
      </c>
      <c r="H303" s="6" t="n">
        <v>1</v>
      </c>
      <c r="I303" s="6" t="n">
        <v>1</v>
      </c>
      <c r="J303" s="6" t="n">
        <v>1</v>
      </c>
      <c r="K303" s="6" t="n"/>
      <c r="P303">
        <f>MAX(P304)</f>
        <v/>
      </c>
      <c r="S303">
        <f>S304</f>
        <v/>
      </c>
      <c r="T303">
        <f>(E303/100000+F303/100+(P303/1000)*J303/5+S303/200)*200*I303*H303</f>
        <v/>
      </c>
      <c r="U303">
        <f>((E303*F303/25000)+((P303/1000)*J303*S303/2.5))*I303*H303</f>
        <v/>
      </c>
      <c r="V303">
        <f>(E303*F303*(P303/1000)*J303*S303*I303*H303)/12500000</f>
        <v/>
      </c>
      <c r="W303">
        <f>(((E303/750000)+(F303/80)+(S303/1600)+((P303/2500)*J303))*1600/4+(((E303/750000)*(F303/80))+(((P303/2500)*J303)*(S303/1600)))*1600/2+((E303/750000)*(F303/80)*((P303/2500)*J303)*(S303/1600))*1600)*(H303/1.0)/3</f>
        <v/>
      </c>
      <c r="X303" s="6" t="n">
        <v>1400</v>
      </c>
      <c r="Y303">
        <f>IFERROR(W303-X303,"")</f>
        <v/>
      </c>
      <c r="Z303">
        <f>IFERROR(ABS(Y303)/MAX(X303,1),"")</f>
        <v/>
      </c>
      <c r="AA303">
        <f>IFERROR(ROUND(((3*X303-(((E303/750000)+(F303/80)+(S303/1600))*1600/4+((E303/750000)*(F303/80))*1600/2)*(H303/1.0))/(1600/4+((S303/1600))*1600/2+((E303/750000)*(F303/80)*(S303/1600))*1600)*(H303/1.0)*2500)/J303,-1),"")</f>
        <v/>
      </c>
    </row>
    <row r="304">
      <c r="B304" s="7" t="inlineStr">
        <is>
          <t xml:space="preserve">  ↳ TSMobile_EMP</t>
        </is>
      </c>
      <c r="C304" s="7" t="inlineStr">
        <is>
          <t>Armament</t>
        </is>
      </c>
      <c r="L304" s="6" t="n">
        <v>64000</v>
      </c>
      <c r="M304" s="6" t="n">
        <v>200</v>
      </c>
      <c r="N304" s="6" t="n">
        <v>1</v>
      </c>
      <c r="O304" s="6" t="n"/>
      <c r="P304" s="6" t="n">
        <v>1512</v>
      </c>
      <c r="Q304" s="6" t="n">
        <v>1.25</v>
      </c>
      <c r="R304">
        <f>M304+IF(N304&gt;1,N(O304)*(N304-1),0)</f>
        <v/>
      </c>
      <c r="S304">
        <f>IFERROR(L304*MAX(N304,1)/R304*IF(ISBLANK(K303),1,K303),0)</f>
        <v/>
      </c>
      <c r="AB304" s="7" t="inlineStr">
        <is>
          <t>^Warhead_Tesla_Heavy</t>
        </is>
      </c>
    </row>
    <row r="305">
      <c r="A305" t="inlineStr">
        <is>
          <t>tiberiansun</t>
        </is>
      </c>
      <c r="B305" t="inlineStr">
        <is>
          <t>forgotten_closhtank</t>
        </is>
      </c>
      <c r="C305" t="inlineStr">
        <is>
          <t>actor_forgotten_closhtank.name</t>
        </is>
      </c>
      <c r="D305" s="6" t="inlineStr">
        <is>
          <t>LineBreaker</t>
        </is>
      </c>
      <c r="E305" s="6" t="n">
        <v>120000</v>
      </c>
      <c r="F305" s="6" t="n">
        <v>80</v>
      </c>
      <c r="G305" t="inlineStr">
        <is>
          <t>Superheavy</t>
        </is>
      </c>
      <c r="H305" s="6" t="n">
        <v>1</v>
      </c>
      <c r="I305" s="6" t="n">
        <v>1</v>
      </c>
      <c r="J305" s="6" t="n">
        <v>1</v>
      </c>
      <c r="K305" s="6" t="n"/>
      <c r="P305">
        <f>MAX(P306,P307)</f>
        <v/>
      </c>
      <c r="S305">
        <f>S306+S307</f>
        <v/>
      </c>
      <c r="T305">
        <f>(E305/100000+F305/100+(P305/1000)*J305/5+S305/200)*200*I305*H305</f>
        <v/>
      </c>
      <c r="U305">
        <f>((E305*F305/25000)+((P305/1000)*J305*S305/2.5))*I305*H305</f>
        <v/>
      </c>
      <c r="V305">
        <f>(E305*F305*(P305/1000)*J305*S305*I305*H305)/12500000</f>
        <v/>
      </c>
      <c r="W305">
        <f>(((E305/750000)+(F305/80)+(S305/1600)+((P305/2500)*J305))*1600/4+(((E305/750000)*(F305/80))+(((P305/2500)*J305)*(S305/1600)))*1600/2+((E305/750000)*(F305/80)*((P305/2500)*J305)*(S305/1600))*1600)*(H305/1.0)/3</f>
        <v/>
      </c>
      <c r="X305" s="6" t="n">
        <v>1000</v>
      </c>
      <c r="Y305">
        <f>IFERROR(W305-X305,"")</f>
        <v/>
      </c>
      <c r="Z305">
        <f>IFERROR(ABS(Y305)/MAX(X305,1),"")</f>
        <v/>
      </c>
      <c r="AA305">
        <f>IFERROR(ROUND(((3*X305-(((E305/750000)+(F305/80)+(S305/1600))*1600/4+((E305/750000)*(F305/80))*1600/2)*(H305/1.0))/(1600/4+((S305/1600))*1600/2+((E305/750000)*(F305/80)*(S305/1600))*1600)*(H305/1.0)*2500)/J305,-1),"")</f>
        <v/>
      </c>
    </row>
    <row r="306">
      <c r="B306" s="7" t="inlineStr">
        <is>
          <t xml:space="preserve">  ↳ MutFlamer</t>
        </is>
      </c>
      <c r="C306" s="7" t="inlineStr">
        <is>
          <t>Armament@PRIMARY</t>
        </is>
      </c>
      <c r="L306" s="6" t="n">
        <v>28000</v>
      </c>
      <c r="M306" s="6" t="n">
        <v>50</v>
      </c>
      <c r="N306" s="6" t="n">
        <v>1</v>
      </c>
      <c r="O306" s="6" t="n"/>
      <c r="P306" s="6" t="n">
        <v>2386</v>
      </c>
      <c r="Q306" s="6" t="n">
        <v>1</v>
      </c>
      <c r="R306">
        <f>M306+IF(N306&gt;1,N(O306)*(N306-1),0)</f>
        <v/>
      </c>
      <c r="S306">
        <f>IFERROR(L306*MAX(N306,1)/R306*IF(ISBLANK(K305),1,K305),0)</f>
        <v/>
      </c>
      <c r="AB306" s="7" t="inlineStr">
        <is>
          <t>^Warhead_Flame_Medium</t>
        </is>
      </c>
    </row>
    <row r="307">
      <c r="B307" s="7" t="inlineStr">
        <is>
          <t xml:space="preserve">  ↳ MutFlamerChem</t>
        </is>
      </c>
      <c r="C307" s="7" t="inlineStr">
        <is>
          <t>Armament@UPGRADE</t>
        </is>
      </c>
      <c r="L307" s="6" t="n">
        <v>42000</v>
      </c>
      <c r="M307" s="6" t="n">
        <v>50</v>
      </c>
      <c r="N307" s="6" t="n">
        <v>1</v>
      </c>
      <c r="O307" s="6" t="n"/>
      <c r="P307" s="6" t="n">
        <v>2386</v>
      </c>
      <c r="Q307" s="6" t="n">
        <v>1</v>
      </c>
      <c r="R307">
        <f>M307+IF(N307&gt;1,N(O307)*(N307-1),0)</f>
        <v/>
      </c>
      <c r="S307">
        <f>IFERROR(L307*MAX(N307,1)/R307*IF(ISBLANK(K305),1,K305),0)</f>
        <v/>
      </c>
      <c r="AB307" s="7" t="inlineStr">
        <is>
          <t>^MediumFlameWeapon, ^MediumChemicalWeapon</t>
        </is>
      </c>
    </row>
    <row r="308">
      <c r="A308" t="inlineStr">
        <is>
          <t>tiberiansun</t>
        </is>
      </c>
      <c r="B308" t="inlineStr">
        <is>
          <t>forgotten_flametank</t>
        </is>
      </c>
      <c r="C308" t="inlineStr">
        <is>
          <t>actor_forgotten_flametank.name</t>
        </is>
      </c>
      <c r="D308" s="6" t="inlineStr">
        <is>
          <t>LineBreaker</t>
        </is>
      </c>
      <c r="E308" s="6" t="n">
        <v>200000</v>
      </c>
      <c r="F308" s="6" t="n">
        <v>80</v>
      </c>
      <c r="G308" t="inlineStr">
        <is>
          <t>Superheavy</t>
        </is>
      </c>
      <c r="H308" s="6" t="n">
        <v>0.7269</v>
      </c>
      <c r="I308" s="6" t="n">
        <v>1</v>
      </c>
      <c r="J308" s="6" t="n">
        <v>1</v>
      </c>
      <c r="K308" s="6" t="n"/>
      <c r="P308">
        <f>MAX(P309,P310)</f>
        <v/>
      </c>
      <c r="S308">
        <f>S309+S310</f>
        <v/>
      </c>
      <c r="T308">
        <f>(E308/100000+F308/100+(P308/1000)*J308/5+S308/200)*200*I308*H308</f>
        <v/>
      </c>
      <c r="U308">
        <f>((E308*F308/25000)+((P308/1000)*J308*S308/2.5))*I308*H308</f>
        <v/>
      </c>
      <c r="V308">
        <f>(E308*F308*(P308/1000)*J308*S308*I308*H308)/12500000</f>
        <v/>
      </c>
      <c r="W308">
        <f>(((E308/750000)+(F308/80)+(S308/1600)+((P308/2500)*J308))*1600/4+(((E308/750000)*(F308/80))+(((P308/2500)*J308)*(S308/1600)))*1600/2+((E308/750000)*(F308/80)*((P308/2500)*J308)*(S308/1600))*1600)*(H308/1.0)/3</f>
        <v/>
      </c>
      <c r="X308" s="6" t="n">
        <v>1300</v>
      </c>
      <c r="Y308">
        <f>IFERROR(W308-X308,"")</f>
        <v/>
      </c>
      <c r="Z308">
        <f>IFERROR(ABS(Y308)/MAX(X308,1),"")</f>
        <v/>
      </c>
      <c r="AA308">
        <f>IFERROR(ROUND(((3*X308-(((E308/750000)+(F308/80)+(S308/1600))*1600/4+((E308/750000)*(F308/80))*1600/2)*(H308/1.0))/(1600/4+((S308/1600))*1600/2+((E308/750000)*(F308/80)*(S308/1600))*1600)*(H308/1.0)*2500)/J308,-1),"")</f>
        <v/>
      </c>
    </row>
    <row r="309">
      <c r="B309" s="7" t="inlineStr">
        <is>
          <t xml:space="preserve">  ↳ MutHFlamer</t>
        </is>
      </c>
      <c r="C309" s="7" t="inlineStr">
        <is>
          <t>Armament@PRIMARY</t>
        </is>
      </c>
      <c r="L309" s="6" t="n">
        <v>40000</v>
      </c>
      <c r="M309" s="6" t="n">
        <v>65</v>
      </c>
      <c r="N309" s="6" t="n">
        <v>1</v>
      </c>
      <c r="O309" s="6" t="n"/>
      <c r="P309" s="6" t="n">
        <v>2425</v>
      </c>
      <c r="Q309" s="6" t="n">
        <v>1</v>
      </c>
      <c r="R309">
        <f>M309+IF(N309&gt;1,N(O309)*(N309-1),0)</f>
        <v/>
      </c>
      <c r="S309">
        <f>IFERROR(L309*MAX(N309,1)/R309*IF(ISBLANK(K308),1,K308),0)</f>
        <v/>
      </c>
      <c r="AB309" s="7" t="inlineStr">
        <is>
          <t>^MediumFlameWeapon, ^HeavyFlameWeapon</t>
        </is>
      </c>
    </row>
    <row r="310">
      <c r="B310" s="7" t="inlineStr">
        <is>
          <t xml:space="preserve">  ↳ MutHFlamerChem</t>
        </is>
      </c>
      <c r="C310" s="7" t="inlineStr">
        <is>
          <t>Armament@UPGRADE</t>
        </is>
      </c>
      <c r="L310" s="6" t="n">
        <v>60000</v>
      </c>
      <c r="M310" s="6" t="n">
        <v>65</v>
      </c>
      <c r="N310" s="6" t="n">
        <v>1</v>
      </c>
      <c r="O310" s="6" t="n"/>
      <c r="P310" s="6" t="n">
        <v>2425</v>
      </c>
      <c r="Q310" s="6" t="n">
        <v>1</v>
      </c>
      <c r="R310">
        <f>M310+IF(N310&gt;1,N(O310)*(N310-1),0)</f>
        <v/>
      </c>
      <c r="S310">
        <f>IFERROR(L310*MAX(N310,1)/R310*IF(ISBLANK(K308),1,K308),0)</f>
        <v/>
      </c>
      <c r="AB310" s="7" t="inlineStr">
        <is>
          <t>^MediumFlameWeapon, ^HeavyFlameWeapon, ^MediumChemicalWeapon, ^HeavyChemicalWeapon</t>
        </is>
      </c>
    </row>
    <row r="311">
      <c r="A311" t="inlineStr">
        <is>
          <t>tiberiansun</t>
        </is>
      </c>
      <c r="B311" t="inlineStr">
        <is>
          <t>forgotten_thumperbus</t>
        </is>
      </c>
      <c r="C311" t="inlineStr">
        <is>
          <t>actor_forgotten_thumperbus.name</t>
        </is>
      </c>
      <c r="D311" s="6" t="inlineStr">
        <is>
          <t>LineBreaker</t>
        </is>
      </c>
      <c r="E311" s="6" t="n">
        <v>200000</v>
      </c>
      <c r="F311" s="6" t="n">
        <v>90</v>
      </c>
      <c r="G311" t="inlineStr">
        <is>
          <t>Superheavy</t>
        </is>
      </c>
      <c r="H311" s="6" t="n">
        <v>0.7269</v>
      </c>
      <c r="I311" s="6" t="n">
        <v>1</v>
      </c>
      <c r="J311" s="6" t="n">
        <v>1</v>
      </c>
      <c r="K311" s="6" t="n"/>
      <c r="P311">
        <f>MAX(P312,P313)</f>
        <v/>
      </c>
      <c r="S311">
        <f>S312+S313</f>
        <v/>
      </c>
      <c r="T311">
        <f>(E311/100000+F311/100+(P311/1000)*J311/5+S311/200)*200*I311*H311</f>
        <v/>
      </c>
      <c r="U311">
        <f>((E311*F311/25000)+((P311/1000)*J311*S311/2.5))*I311*H311</f>
        <v/>
      </c>
      <c r="V311">
        <f>(E311*F311*(P311/1000)*J311*S311*I311*H311)/12500000</f>
        <v/>
      </c>
      <c r="W311">
        <f>(((E311/750000)+(F311/80)+(S311/1600)+((P311/2500)*J311))*1600/4+(((E311/750000)*(F311/80))+(((P311/2500)*J311)*(S311/1600)))*1600/2+((E311/750000)*(F311/80)*((P311/2500)*J311)*(S311/1600))*1600)*(H311/1.0)/3</f>
        <v/>
      </c>
      <c r="X311" s="6" t="n">
        <v>5200</v>
      </c>
      <c r="Y311">
        <f>IFERROR(W311-X311,"")</f>
        <v/>
      </c>
      <c r="Z311">
        <f>IFERROR(ABS(Y311)/MAX(X311,1),"")</f>
        <v/>
      </c>
      <c r="AA311">
        <f>IFERROR(ROUND(((3*X311-(((E311/750000)+(F311/80)+(S311/1600))*1600/4+((E311/750000)*(F311/80))*1600/2)*(H311/1.0))/(1600/4+((S311/1600))*1600/2+((E311/750000)*(F311/80)*(S311/1600))*1600)*(H311/1.0)*2500)/J311,-1),"")</f>
        <v/>
      </c>
    </row>
    <row r="312">
      <c r="B312" s="7" t="inlineStr">
        <is>
          <t xml:space="preserve">  ↳ TSBusMortar</t>
        </is>
      </c>
      <c r="C312" s="7" t="inlineStr">
        <is>
          <t>Armament@PRIMARY</t>
        </is>
      </c>
      <c r="L312" s="6" t="n">
        <v>64000</v>
      </c>
      <c r="M312" s="6" t="n">
        <v>120</v>
      </c>
      <c r="N312" s="6" t="n">
        <v>1</v>
      </c>
      <c r="O312" s="6" t="n"/>
      <c r="P312" s="6" t="n">
        <v>7850</v>
      </c>
      <c r="Q312" s="6" t="n">
        <v>1.125</v>
      </c>
      <c r="R312">
        <f>M312+IF(N312&gt;1,N(O312)*(N312-1),0)</f>
        <v/>
      </c>
      <c r="S312">
        <f>IFERROR(L312*MAX(N312,1)/R312*IF(ISBLANK(K311),1,K311),0)</f>
        <v/>
      </c>
      <c r="AB312" s="7" t="inlineStr">
        <is>
          <t>^Warhead_Concussion_Medium, ^Warhead_Demolition_Heavy</t>
        </is>
      </c>
    </row>
    <row r="313">
      <c r="B313" s="7" t="inlineStr">
        <is>
          <t xml:space="preserve">  ↳ TSBusMortarChem</t>
        </is>
      </c>
      <c r="C313" s="7" t="inlineStr">
        <is>
          <t>Armament@UPGRADE</t>
        </is>
      </c>
      <c r="L313" s="6" t="n">
        <v>128000</v>
      </c>
      <c r="M313" s="6" t="n">
        <v>120</v>
      </c>
      <c r="N313" s="6" t="n">
        <v>1</v>
      </c>
      <c r="O313" s="6" t="n"/>
      <c r="P313" s="6" t="n">
        <v>7850</v>
      </c>
      <c r="Q313" s="6" t="n">
        <v>1</v>
      </c>
      <c r="R313">
        <f>M313+IF(N313&gt;1,N(O313)*(N313-1),0)</f>
        <v/>
      </c>
      <c r="S313">
        <f>IFERROR(L313*MAX(N313,1)/R313*IF(ISBLANK(K311),1,K311),0)</f>
        <v/>
      </c>
      <c r="AB313" s="7" t="inlineStr">
        <is>
          <t>^ShrapnelWeapon, ^HeavyBomb, ^MediumChemicalWeapon, ^HeavyChemicalWeapon</t>
        </is>
      </c>
    </row>
    <row r="314">
      <c r="A314" t="inlineStr">
        <is>
          <t>redalert2</t>
        </is>
      </c>
      <c r="B314" t="inlineStr">
        <is>
          <t>ra2_allies_battlefortress</t>
        </is>
      </c>
      <c r="C314" t="inlineStr">
        <is>
          <t>Battle Fortress</t>
        </is>
      </c>
      <c r="D314" s="6" t="inlineStr">
        <is>
          <t>LineBreaker</t>
        </is>
      </c>
      <c r="E314" s="6" t="n">
        <v>320000</v>
      </c>
      <c r="F314" s="6" t="n">
        <v>60</v>
      </c>
      <c r="G314" t="inlineStr">
        <is>
          <t>Superheavy</t>
        </is>
      </c>
      <c r="H314" s="6" t="n">
        <v>0.4985</v>
      </c>
      <c r="I314" s="6" t="n">
        <v>1</v>
      </c>
      <c r="J314" s="6" t="n">
        <v>1</v>
      </c>
      <c r="K314" s="6" t="n"/>
      <c r="P314">
        <f>MAX(P315)</f>
        <v/>
      </c>
      <c r="S314">
        <f>S315</f>
        <v/>
      </c>
      <c r="T314">
        <f>(E314/100000+F314/100+(P314/1000)*J314/5+S314/200)*200*I314*H314</f>
        <v/>
      </c>
      <c r="U314">
        <f>((E314*F314/25000)+((P314/1000)*J314*S314/2.5))*I314*H314</f>
        <v/>
      </c>
      <c r="V314">
        <f>(E314*F314*(P314/1000)*J314*S314*I314*H314)/12500000</f>
        <v/>
      </c>
      <c r="W314">
        <f>(((E314/750000)+(F314/80)+(S314/1600)+((P314/2500)*J314))*1600/4+(((E314/750000)*(F314/80))+(((P314/2500)*J314)*(S314/1600)))*1600/2+((E314/750000)*(F314/80)*((P314/2500)*J314)*(S314/1600))*1600)*(H314/1.0)/3</f>
        <v/>
      </c>
      <c r="X314" s="6" t="n">
        <v>4000</v>
      </c>
      <c r="Y314">
        <f>IFERROR(W314-X314,"")</f>
        <v/>
      </c>
      <c r="Z314">
        <f>IFERROR(ABS(Y314)/MAX(X314,1),"")</f>
        <v/>
      </c>
      <c r="AA314">
        <f>IFERROR(ROUND(((3*X314-(((E314/750000)+(F314/80)+(S314/1600))*1600/4+((E314/750000)*(F314/80))*1600/2)*(H314/1.0))/(1600/4+((S314/1600))*1600/2+((E314/750000)*(F314/80)*(S314/1600))*1600)*(H314/1.0)*2500)/J314,-1),"")</f>
        <v/>
      </c>
    </row>
    <row r="315">
      <c r="B315" s="7" t="inlineStr">
        <is>
          <t xml:space="preserve">  ↳ RA220mmrapid</t>
        </is>
      </c>
      <c r="C315" s="7" t="inlineStr">
        <is>
          <t>Armament</t>
        </is>
      </c>
      <c r="L315" s="6" t="n">
        <v>8000</v>
      </c>
      <c r="M315" s="6" t="n">
        <v>15</v>
      </c>
      <c r="N315" s="6" t="n">
        <v>1</v>
      </c>
      <c r="O315" s="6" t="n"/>
      <c r="P315" s="6" t="n">
        <v>5000</v>
      </c>
      <c r="Q315" s="6" t="n">
        <v>0.875</v>
      </c>
      <c r="R315">
        <f>M315+IF(N315&gt;1,N(O315)*(N315-1),0)</f>
        <v/>
      </c>
      <c r="S315">
        <f>IFERROR(L315*MAX(N315,1)/R315*IF(ISBLANK(K314),1,K314),0)</f>
        <v/>
      </c>
      <c r="AB315" s="7" t="inlineStr">
        <is>
          <t>^Warhead_Bullet_Light, ^Warhead_Bullet_Medium</t>
        </is>
      </c>
    </row>
    <row r="316">
      <c r="A316" t="inlineStr">
        <is>
          <t>redalert2</t>
        </is>
      </c>
      <c r="B316" t="inlineStr">
        <is>
          <t>ra2_allies_battlefortress_chrono</t>
        </is>
      </c>
      <c r="C316" t="inlineStr">
        <is>
          <t>Battle Fortress</t>
        </is>
      </c>
      <c r="D316" s="6" t="inlineStr">
        <is>
          <t>LineBreaker</t>
        </is>
      </c>
      <c r="E316" s="6" t="n">
        <v>320000</v>
      </c>
      <c r="F316" s="6" t="n">
        <v>60</v>
      </c>
      <c r="G316" t="inlineStr">
        <is>
          <t>Superheavy</t>
        </is>
      </c>
      <c r="H316" s="6" t="n">
        <v>0.5669999999999999</v>
      </c>
      <c r="I316" s="6" t="n">
        <v>1</v>
      </c>
      <c r="J316" s="6" t="n">
        <v>1</v>
      </c>
      <c r="K316" s="6" t="n"/>
      <c r="P316">
        <f>MAX(P317)</f>
        <v/>
      </c>
      <c r="S316">
        <f>S317</f>
        <v/>
      </c>
      <c r="T316">
        <f>(E316/100000+F316/100+(P316/1000)*J316/5+S316/200)*200*I316*H316</f>
        <v/>
      </c>
      <c r="U316">
        <f>((E316*F316/25000)+((P316/1000)*J316*S316/2.5))*I316*H316</f>
        <v/>
      </c>
      <c r="V316">
        <f>(E316*F316*(P316/1000)*J316*S316*I316*H316)/12500000</f>
        <v/>
      </c>
      <c r="W316">
        <f>(((E316/750000)+(F316/80)+(S316/1600)+((P316/2500)*J316))*1600/4+(((E316/750000)*(F316/80))+(((P316/2500)*J316)*(S316/1600)))*1600/2+((E316/750000)*(F316/80)*((P316/2500)*J316)*(S316/1600))*1600)*(H316/1.0)/3</f>
        <v/>
      </c>
      <c r="X316" s="6" t="n">
        <v>4000</v>
      </c>
      <c r="Y316">
        <f>IFERROR(W316-X316,"")</f>
        <v/>
      </c>
      <c r="Z316">
        <f>IFERROR(ABS(Y316)/MAX(X316,1),"")</f>
        <v/>
      </c>
      <c r="AA316">
        <f>IFERROR(ROUND(((3*X316-(((E316/750000)+(F316/80)+(S316/1600))*1600/4+((E316/750000)*(F316/80))*1600/2)*(H316/1.0))/(1600/4+((S316/1600))*1600/2+((E316/750000)*(F316/80)*(S316/1600))*1600)*(H316/1.0)*2500)/J316,-1),"")</f>
        <v/>
      </c>
    </row>
    <row r="317">
      <c r="B317" s="7" t="inlineStr">
        <is>
          <t xml:space="preserve">  ↳ RA220mmrapid</t>
        </is>
      </c>
      <c r="C317" s="7" t="inlineStr">
        <is>
          <t>Armament</t>
        </is>
      </c>
      <c r="L317" s="6" t="n">
        <v>8000</v>
      </c>
      <c r="M317" s="6" t="n">
        <v>15</v>
      </c>
      <c r="N317" s="6" t="n">
        <v>1</v>
      </c>
      <c r="O317" s="6" t="n"/>
      <c r="P317" s="6" t="n">
        <v>5000</v>
      </c>
      <c r="Q317" s="6" t="n">
        <v>0.875</v>
      </c>
      <c r="R317">
        <f>M317+IF(N317&gt;1,N(O317)*(N317-1),0)</f>
        <v/>
      </c>
      <c r="S317">
        <f>IFERROR(L317*MAX(N317,1)/R317*IF(ISBLANK(K316),1,K316),0)</f>
        <v/>
      </c>
      <c r="AB317" s="7" t="inlineStr">
        <is>
          <t>^Warhead_Bullet_Light, ^Warhead_Bullet_Medium</t>
        </is>
      </c>
    </row>
    <row r="318">
      <c r="A318" t="inlineStr">
        <is>
          <t>redalert2</t>
        </is>
      </c>
      <c r="B318" t="inlineStr">
        <is>
          <t>ra2_allies_battlefortress_empty</t>
        </is>
      </c>
      <c r="C318" t="inlineStr">
        <is>
          <t>Battle Fortress</t>
        </is>
      </c>
      <c r="D318" s="6" t="inlineStr">
        <is>
          <t>LineBreaker</t>
        </is>
      </c>
      <c r="E318" s="6" t="n">
        <v>320000</v>
      </c>
      <c r="F318" s="6" t="n">
        <v>60</v>
      </c>
      <c r="G318" t="inlineStr">
        <is>
          <t>Superheavy</t>
        </is>
      </c>
      <c r="H318" s="6" t="n">
        <v>0.5669999999999999</v>
      </c>
      <c r="I318" s="6" t="n">
        <v>1</v>
      </c>
      <c r="J318" s="6" t="n">
        <v>1</v>
      </c>
      <c r="K318" s="6" t="n"/>
      <c r="P318">
        <f>MAX(P319)</f>
        <v/>
      </c>
      <c r="S318">
        <f>S319</f>
        <v/>
      </c>
      <c r="T318">
        <f>(E318/100000+F318/100+(P318/1000)*J318/5+S318/200)*200*I318*H318</f>
        <v/>
      </c>
      <c r="U318">
        <f>((E318*F318/25000)+((P318/1000)*J318*S318/2.5))*I318*H318</f>
        <v/>
      </c>
      <c r="V318">
        <f>(E318*F318*(P318/1000)*J318*S318*I318*H318)/12500000</f>
        <v/>
      </c>
      <c r="W318">
        <f>(((E318/750000)+(F318/80)+(S318/1600)+((P318/2500)*J318))*1600/4+(((E318/750000)*(F318/80))+(((P318/2500)*J318)*(S318/1600)))*1600/2+((E318/750000)*(F318/80)*((P318/2500)*J318)*(S318/1600))*1600)*(H318/1.0)/3</f>
        <v/>
      </c>
      <c r="X318" s="6" t="n">
        <v>4000</v>
      </c>
      <c r="Y318">
        <f>IFERROR(W318-X318,"")</f>
        <v/>
      </c>
      <c r="Z318">
        <f>IFERROR(ABS(Y318)/MAX(X318,1),"")</f>
        <v/>
      </c>
      <c r="AA318">
        <f>IFERROR(ROUND(((3*X318-(((E318/750000)+(F318/80)+(S318/1600))*1600/4+((E318/750000)*(F318/80))*1600/2)*(H318/1.0))/(1600/4+((S318/1600))*1600/2+((E318/750000)*(F318/80)*(S318/1600))*1600)*(H318/1.0)*2500)/J318,-1),"")</f>
        <v/>
      </c>
    </row>
    <row r="319">
      <c r="B319" s="7" t="inlineStr">
        <is>
          <t xml:space="preserve">  ↳ RA220mmrapid</t>
        </is>
      </c>
      <c r="C319" s="7" t="inlineStr">
        <is>
          <t>Armament</t>
        </is>
      </c>
      <c r="L319" s="6" t="n">
        <v>8000</v>
      </c>
      <c r="M319" s="6" t="n">
        <v>15</v>
      </c>
      <c r="N319" s="6" t="n">
        <v>1</v>
      </c>
      <c r="O319" s="6" t="n"/>
      <c r="P319" s="6" t="n">
        <v>5000</v>
      </c>
      <c r="Q319" s="6" t="n">
        <v>0.875</v>
      </c>
      <c r="R319">
        <f>M319+IF(N319&gt;1,N(O319)*(N319-1),0)</f>
        <v/>
      </c>
      <c r="S319">
        <f>IFERROR(L319*MAX(N319,1)/R319*IF(ISBLANK(K318),1,K318),0)</f>
        <v/>
      </c>
      <c r="AB319" s="7" t="inlineStr">
        <is>
          <t>^Warhead_Bullet_Light, ^Warhead_Bullet_Medium</t>
        </is>
      </c>
    </row>
    <row r="320">
      <c r="A320" t="inlineStr">
        <is>
          <t>redalert2mod</t>
        </is>
      </c>
      <c r="B320" t="inlineStr">
        <is>
          <t>asianalliance_asianflametank</t>
        </is>
      </c>
      <c r="C320" t="inlineStr">
        <is>
          <t>Asian Flame Tank</t>
        </is>
      </c>
      <c r="D320" s="6" t="inlineStr">
        <is>
          <t>LineBreaker</t>
        </is>
      </c>
      <c r="E320" s="6" t="n">
        <v>85000</v>
      </c>
      <c r="F320" s="6" t="n">
        <v>85</v>
      </c>
      <c r="G320" t="inlineStr">
        <is>
          <t>Superheavy</t>
        </is>
      </c>
      <c r="H320" s="6" t="n">
        <v>0.8683999999999999</v>
      </c>
      <c r="I320" s="6" t="n">
        <v>1</v>
      </c>
      <c r="J320" s="6" t="n">
        <v>1</v>
      </c>
      <c r="K320" s="6" t="n">
        <v>0.0075</v>
      </c>
      <c r="P320">
        <f>MAX(P321,P322)</f>
        <v/>
      </c>
      <c r="S320">
        <f>S321+S322</f>
        <v/>
      </c>
      <c r="T320">
        <f>(E320/100000+F320/100+(P320/1000)*J320/5+S320/200)*200*I320*H320</f>
        <v/>
      </c>
      <c r="U320">
        <f>((E320*F320/25000)+((P320/1000)*J320*S320/2.5))*I320*H320</f>
        <v/>
      </c>
      <c r="V320">
        <f>(E320*F320*(P320/1000)*J320*S320*I320*H320)/12500000</f>
        <v/>
      </c>
      <c r="W320">
        <f>(((E320/750000)+(F320/80)+(S320/1600)+((P320/2500)*J320))*1600/4+(((E320/750000)*(F320/80))+(((P320/2500)*J320)*(S320/1600)))*1600/2+((E320/750000)*(F320/80)*((P320/2500)*J320)*(S320/1600))*1600)*(H320/1.0)/3</f>
        <v/>
      </c>
      <c r="X320" s="6" t="n">
        <v>1300</v>
      </c>
      <c r="Y320">
        <f>IFERROR(W320-X320,"")</f>
        <v/>
      </c>
      <c r="Z320">
        <f>IFERROR(ABS(Y320)/MAX(X320,1),"")</f>
        <v/>
      </c>
      <c r="AA320">
        <f>IFERROR(ROUND(((3*X320-(((E320/750000)+(F320/80)+(S320/1600))*1600/4+((E320/750000)*(F320/80))*1600/2)*(H320/1.0))/(1600/4+((S320/1600))*1600/2+((E320/750000)*(F320/80)*(S320/1600))*1600)*(H320/1.0)*2500)/J320,-1),"")</f>
        <v/>
      </c>
    </row>
    <row r="321">
      <c r="B321" s="7" t="inlineStr">
        <is>
          <t xml:space="preserve">  ↳ AsianFlamerTank</t>
        </is>
      </c>
      <c r="C321" s="7" t="inlineStr">
        <is>
          <t>Armament@AG</t>
        </is>
      </c>
      <c r="L321" s="6" t="n">
        <v>4000</v>
      </c>
      <c r="M321" s="6" t="n">
        <v>25</v>
      </c>
      <c r="N321" s="6" t="n">
        <v>6</v>
      </c>
      <c r="O321" s="6" t="n">
        <v>3</v>
      </c>
      <c r="P321" s="6" t="n">
        <v>3700</v>
      </c>
      <c r="Q321" s="6" t="n">
        <v>0.75</v>
      </c>
      <c r="R321">
        <f>M321+IF(N321&gt;1,N(O321)*(N321-1),0)</f>
        <v/>
      </c>
      <c r="S321">
        <f>IFERROR(L321*MAX(N321,1)/R321*IF(ISBLANK(K320),1,K320),0)</f>
        <v/>
      </c>
      <c r="AB321" s="7" t="inlineStr">
        <is>
          <t>^Warhead_Flame_Light</t>
        </is>
      </c>
    </row>
    <row r="322">
      <c r="B322" s="7" t="inlineStr">
        <is>
          <t xml:space="preserve">  ↳ AsianFlamerTank_elite</t>
        </is>
      </c>
      <c r="C322" s="7" t="inlineStr">
        <is>
          <t>Armament@ELITE</t>
        </is>
      </c>
      <c r="L322" s="6" t="n">
        <v>4000</v>
      </c>
      <c r="M322" s="6" t="n">
        <v>25</v>
      </c>
      <c r="N322" s="6" t="n">
        <v>12</v>
      </c>
      <c r="O322" s="6" t="n">
        <v>3</v>
      </c>
      <c r="P322" s="6" t="n">
        <v>4700</v>
      </c>
      <c r="Q322" s="6" t="n">
        <v>0.75</v>
      </c>
      <c r="R322">
        <f>M322+IF(N322&gt;1,N(O322)*(N322-1),0)</f>
        <v/>
      </c>
      <c r="S322">
        <f>IFERROR(L322*MAX(N322,1)/R322*IF(ISBLANK(K320),1,K320),0)</f>
        <v/>
      </c>
      <c r="AB322" s="7" t="inlineStr">
        <is>
          <t>^Warhead_Flame_Light</t>
        </is>
      </c>
    </row>
    <row r="323">
      <c r="A323" t="inlineStr">
        <is>
          <t>redalert2mod</t>
        </is>
      </c>
      <c r="B323" t="inlineStr">
        <is>
          <t>asianalliance_warturtle</t>
        </is>
      </c>
      <c r="C323" t="inlineStr">
        <is>
          <t>War Turtle</t>
        </is>
      </c>
      <c r="D323" s="6" t="inlineStr">
        <is>
          <t>LineBreaker</t>
        </is>
      </c>
      <c r="E323" s="6" t="n">
        <v>250000</v>
      </c>
      <c r="F323" s="6" t="n">
        <v>75</v>
      </c>
      <c r="G323" t="inlineStr">
        <is>
          <t>Superheavy</t>
        </is>
      </c>
      <c r="H323" s="6" t="n">
        <v>0.75</v>
      </c>
      <c r="I323" s="6" t="n">
        <v>1.25</v>
      </c>
      <c r="J323" s="6" t="n">
        <v>1</v>
      </c>
      <c r="K323" s="6" t="n"/>
      <c r="P323">
        <f>MAX(P324)</f>
        <v/>
      </c>
      <c r="S323">
        <f>S324</f>
        <v/>
      </c>
      <c r="T323">
        <f>(E323/100000+F323/100+(P323/1000)*J323/5+S323/200)*200*I323*H323</f>
        <v/>
      </c>
      <c r="U323">
        <f>((E323*F323/25000)+((P323/1000)*J323*S323/2.5))*I323*H323</f>
        <v/>
      </c>
      <c r="V323">
        <f>(E323*F323*(P323/1000)*J323*S323*I323*H323)/12500000</f>
        <v/>
      </c>
      <c r="W323">
        <f>(((E323/750000)+(F323/80)+(S323/1600)+((P323/2500)*J323))*1600/4+(((E323/750000)*(F323/80))+(((P323/2500)*J323)*(S323/1600)))*1600/2+((E323/750000)*(F323/80)*((P323/2500)*J323)*(S323/1600))*1600)*(H323/1.0)/3</f>
        <v/>
      </c>
      <c r="X323" s="6" t="n">
        <v>5000</v>
      </c>
      <c r="Y323">
        <f>IFERROR(W323-X323,"")</f>
        <v/>
      </c>
      <c r="Z323">
        <f>IFERROR(ABS(Y323)/MAX(X323,1),"")</f>
        <v/>
      </c>
      <c r="AA323">
        <f>IFERROR(ROUND(((3*X323-(((E323/750000)+(F323/80)+(S323/1600))*1600/4+((E323/750000)*(F323/80))*1600/2)*(H323/1.0))/(1600/4+((S323/1600))*1600/2+((E323/750000)*(F323/80)*(S323/1600))*1600)*(H323/1.0)*2500)/J323,-1),"")</f>
        <v/>
      </c>
    </row>
    <row r="324">
      <c r="B324" s="7" t="inlineStr">
        <is>
          <t xml:space="preserve">  ↳ AsianGrenade</t>
        </is>
      </c>
      <c r="C324" s="7" t="inlineStr">
        <is>
          <t>Armament</t>
        </is>
      </c>
      <c r="L324" s="6" t="n">
        <v>8000</v>
      </c>
      <c r="M324" s="6" t="n">
        <v>92</v>
      </c>
      <c r="N324" s="6" t="n">
        <v>1</v>
      </c>
      <c r="O324" s="6" t="n"/>
      <c r="P324" s="6" t="n">
        <v>4567</v>
      </c>
      <c r="Q324" s="6" t="n">
        <v>1</v>
      </c>
      <c r="R324">
        <f>M324+IF(N324&gt;1,N(O324)*(N324-1),0)</f>
        <v/>
      </c>
      <c r="S324">
        <f>IFERROR(L324*MAX(N324,1)/R324*IF(ISBLANK(K323),1,K323),0)</f>
        <v/>
      </c>
      <c r="AB324" s="7" t="inlineStr">
        <is>
          <t>^Warhead_Concussion_Medium, ^Warhead_CannonHE_Medium</t>
        </is>
      </c>
    </row>
    <row r="325">
      <c r="A325" t="inlineStr">
        <is>
          <t>redalert2mod</t>
        </is>
      </c>
      <c r="B325" t="inlineStr">
        <is>
          <t>cobra.steel</t>
        </is>
      </c>
      <c r="C325" t="inlineStr">
        <is>
          <t>Federation Cobra</t>
        </is>
      </c>
      <c r="D325" s="6" t="inlineStr">
        <is>
          <t>LineBreaker</t>
        </is>
      </c>
      <c r="E325" s="6" t="n">
        <v>325000</v>
      </c>
      <c r="F325" s="6" t="n">
        <v>55</v>
      </c>
      <c r="G325" t="inlineStr">
        <is>
          <t>Superheavy</t>
        </is>
      </c>
      <c r="H325" s="6" t="n">
        <v>0.75</v>
      </c>
      <c r="I325" s="6" t="n">
        <v>1</v>
      </c>
      <c r="J325" s="6" t="n">
        <v>1</v>
      </c>
      <c r="K325" s="6" t="n"/>
      <c r="P325">
        <f>MAX(P326,P327)</f>
        <v/>
      </c>
      <c r="S325">
        <f>S326+S327</f>
        <v/>
      </c>
      <c r="T325">
        <f>(E325/100000+F325/100+(P325/1000)*J325/5+S325/200)*200*I325*H325</f>
        <v/>
      </c>
      <c r="U325">
        <f>((E325*F325/25000)+((P325/1000)*J325*S325/2.5))*I325*H325</f>
        <v/>
      </c>
      <c r="V325">
        <f>(E325*F325*(P325/1000)*J325*S325*I325*H325)/12500000</f>
        <v/>
      </c>
      <c r="W325">
        <f>(((E325/750000)+(F325/80)+(S325/1600)+((P325/2500)*J325))*1600/4+(((E325/750000)*(F325/80))+(((P325/2500)*J325)*(S325/1600)))*1600/2+((E325/750000)*(F325/80)*((P325/2500)*J325)*(S325/1600))*1600)*(H325/1.0)/3</f>
        <v/>
      </c>
      <c r="X325" s="6" t="n">
        <v>3600</v>
      </c>
      <c r="Y325">
        <f>IFERROR(W325-X325,"")</f>
        <v/>
      </c>
      <c r="Z325">
        <f>IFERROR(ABS(Y325)/MAX(X325,1),"")</f>
        <v/>
      </c>
      <c r="AA325">
        <f>IFERROR(ROUND(((3*X325-(((E325/750000)+(F325/80)+(S325/1600))*1600/4+((E325/750000)*(F325/80))*1600/2)*(H325/1.0))/(1600/4+((S325/1600))*1600/2+((E325/750000)*(F325/80)*(S325/1600))*1600)*(H325/1.0)*2500)/J325,-1),"")</f>
        <v/>
      </c>
    </row>
    <row r="326">
      <c r="B326" s="7" t="inlineStr">
        <is>
          <t xml:space="preserve">  ↳ SteelQuantumTurretRail_EMP</t>
        </is>
      </c>
      <c r="C326" s="7" t="inlineStr">
        <is>
          <t>Armament@AG1</t>
        </is>
      </c>
      <c r="L326" s="6" t="n">
        <v>12000</v>
      </c>
      <c r="M326" s="6" t="n">
        <v>38</v>
      </c>
      <c r="N326" s="6" t="n">
        <v>1</v>
      </c>
      <c r="O326" s="6" t="n"/>
      <c r="P326" s="6" t="n">
        <v>8888</v>
      </c>
      <c r="Q326" s="6" t="n">
        <v>1.25</v>
      </c>
      <c r="R326">
        <f>M326+IF(N326&gt;1,N(O326)*(N326-1),0)</f>
        <v/>
      </c>
      <c r="S326">
        <f>IFERROR(L326*MAX(N326,1)/R326*IF(ISBLANK(K325),1,K325),0)</f>
        <v/>
      </c>
      <c r="AB326" s="7" t="inlineStr">
        <is>
          <t>^Warhead_CannonHE_Heavy</t>
        </is>
      </c>
    </row>
    <row r="327">
      <c r="B327" s="7" t="inlineStr">
        <is>
          <t xml:space="preserve">  ↳ SteelQuantumTurretRail_EMP</t>
        </is>
      </c>
      <c r="C327" s="7" t="inlineStr">
        <is>
          <t>Armament@AG2</t>
        </is>
      </c>
      <c r="L327" s="6" t="n">
        <v>12000</v>
      </c>
      <c r="M327" s="6" t="n">
        <v>38</v>
      </c>
      <c r="N327" s="6" t="n">
        <v>1</v>
      </c>
      <c r="O327" s="6" t="n"/>
      <c r="P327" s="6" t="n">
        <v>8888</v>
      </c>
      <c r="Q327" s="6" t="n">
        <v>1.25</v>
      </c>
      <c r="R327">
        <f>M327+IF(N327&gt;1,N(O327)*(N327-1),0)</f>
        <v/>
      </c>
      <c r="S327">
        <f>IFERROR(L327*MAX(N327,1)/R327*IF(ISBLANK(K325),1,K325),0)</f>
        <v/>
      </c>
      <c r="AB327" s="7" t="inlineStr">
        <is>
          <t>^Warhead_CannonHE_Heavy</t>
        </is>
      </c>
    </row>
    <row r="328">
      <c r="A328" t="inlineStr">
        <is>
          <t>redalert2mod</t>
        </is>
      </c>
      <c r="B328" t="inlineStr">
        <is>
          <t>steelconsortium_megalodon</t>
        </is>
      </c>
      <c r="C328" t="inlineStr">
        <is>
          <t>Megalodon</t>
        </is>
      </c>
      <c r="D328" s="6" t="inlineStr">
        <is>
          <t>LineBreaker</t>
        </is>
      </c>
      <c r="E328" s="6" t="n">
        <v>450000</v>
      </c>
      <c r="F328" s="6" t="n">
        <v>65</v>
      </c>
      <c r="G328" t="inlineStr">
        <is>
          <t>Superheavy</t>
        </is>
      </c>
      <c r="H328" s="6" t="n">
        <v>0.75</v>
      </c>
      <c r="I328" s="6" t="n">
        <v>1</v>
      </c>
      <c r="J328" s="6" t="n">
        <v>1</v>
      </c>
      <c r="K328" s="6" t="n"/>
      <c r="P328">
        <f>MAX(P329,P330,P331)</f>
        <v/>
      </c>
      <c r="S328">
        <f>S329+S330+S331</f>
        <v/>
      </c>
      <c r="T328">
        <f>(E328/100000+F328/100+(P328/1000)*J328/5+S328/200)*200*I328*H328</f>
        <v/>
      </c>
      <c r="U328">
        <f>((E328*F328/25000)+((P328/1000)*J328*S328/2.5))*I328*H328</f>
        <v/>
      </c>
      <c r="V328">
        <f>(E328*F328*(P328/1000)*J328*S328*I328*H328)/12500000</f>
        <v/>
      </c>
      <c r="W328">
        <f>(((E328/750000)+(F328/80)+(S328/1600)+((P328/2500)*J328))*1600/4+(((E328/750000)*(F328/80))+(((P328/2500)*J328)*(S328/1600)))*1600/2+((E328/750000)*(F328/80)*((P328/2500)*J328)*(S328/1600))*1600)*(H328/1.0)/3</f>
        <v/>
      </c>
      <c r="X328" s="6" t="n">
        <v>4600</v>
      </c>
      <c r="Y328">
        <f>IFERROR(W328-X328,"")</f>
        <v/>
      </c>
      <c r="Z328">
        <f>IFERROR(ABS(Y328)/MAX(X328,1),"")</f>
        <v/>
      </c>
      <c r="AA328">
        <f>IFERROR(ROUND(((3*X328-(((E328/750000)+(F328/80)+(S328/1600))*1600/4+((E328/750000)*(F328/80))*1600/2)*(H328/1.0))/(1600/4+((S328/1600))*1600/2+((E328/750000)*(F328/80)*(S328/1600))*1600)*(H328/1.0)*2500)/J328,-1),"")</f>
        <v/>
      </c>
    </row>
    <row r="329">
      <c r="B329" s="7" t="inlineStr">
        <is>
          <t xml:space="preserve">  ↳ SteelMegaSword</t>
        </is>
      </c>
      <c r="C329" s="7" t="inlineStr">
        <is>
          <t>Armament@PRIMARY</t>
        </is>
      </c>
      <c r="L329" s="6" t="n">
        <v>60000</v>
      </c>
      <c r="M329" s="6" t="n">
        <v>24</v>
      </c>
      <c r="N329" s="6" t="n">
        <v>1</v>
      </c>
      <c r="O329" s="6" t="n"/>
      <c r="P329" s="6" t="n">
        <v>1600</v>
      </c>
      <c r="Q329" s="6" t="n">
        <v>1</v>
      </c>
      <c r="R329">
        <f>M329+IF(N329&gt;1,N(O329)*(N329-1),0)</f>
        <v/>
      </c>
      <c r="S329">
        <f>IFERROR(L329*MAX(N329,1)/R329*IF(ISBLANK(K328),1,K328),0)</f>
        <v/>
      </c>
      <c r="AB329" s="7" t="inlineStr">
        <is>
          <t>^LightChemicalWeapon, ^LaserWeapon, ^SwordWeapon</t>
        </is>
      </c>
    </row>
    <row r="330">
      <c r="B330" s="7" t="inlineStr">
        <is>
          <t xml:space="preserve">  ↳ SteelMegaSword_EMP</t>
        </is>
      </c>
      <c r="C330" s="7" t="inlineStr">
        <is>
          <t>Armament@ELITE</t>
        </is>
      </c>
      <c r="L330" s="6" t="n">
        <v>90000</v>
      </c>
      <c r="M330" s="6" t="n">
        <v>16</v>
      </c>
      <c r="N330" s="6" t="n">
        <v>1</v>
      </c>
      <c r="O330" s="6" t="n"/>
      <c r="P330" s="6" t="n">
        <v>2400</v>
      </c>
      <c r="Q330" s="6" t="n">
        <v>1</v>
      </c>
      <c r="R330">
        <f>M330+IF(N330&gt;1,N(O330)*(N330-1),0)</f>
        <v/>
      </c>
      <c r="S330">
        <f>IFERROR(L330*MAX(N330,1)/R330*IF(ISBLANK(K328),1,K328),0)</f>
        <v/>
      </c>
      <c r="AB330" s="7" t="inlineStr">
        <is>
          <t>^HeavyChemicalWeapon, ^LaserWeapon, ^TeslaWeapon</t>
        </is>
      </c>
    </row>
    <row r="331">
      <c r="B331" s="7" t="inlineStr">
        <is>
          <t xml:space="preserve">  ↳ SteelMegaSword_elite</t>
        </is>
      </c>
      <c r="C331" s="7" t="inlineStr">
        <is>
          <t>Armament@elite</t>
        </is>
      </c>
      <c r="L331" s="6" t="n">
        <v>120000</v>
      </c>
      <c r="M331" s="6" t="n">
        <v>16</v>
      </c>
      <c r="N331" s="6" t="n">
        <v>1</v>
      </c>
      <c r="O331" s="6" t="n"/>
      <c r="P331" s="6" t="n">
        <v>2400</v>
      </c>
      <c r="Q331" s="6" t="n">
        <v>1.25</v>
      </c>
      <c r="R331">
        <f>M331+IF(N331&gt;1,N(O331)*(N331-1),0)</f>
        <v/>
      </c>
      <c r="S331">
        <f>IFERROR(L331*MAX(N331,1)/R331*IF(ISBLANK(K328),1,K328),0)</f>
        <v/>
      </c>
      <c r="AB331" s="7" t="inlineStr">
        <is>
          <t>^Warhead_Railgun_Heavy</t>
        </is>
      </c>
    </row>
    <row r="332">
      <c r="A332" t="inlineStr">
        <is>
          <t>redalert2mod</t>
        </is>
      </c>
      <c r="B332" t="inlineStr">
        <is>
          <t>steelconsortium_poseidontank</t>
        </is>
      </c>
      <c r="C332" t="inlineStr">
        <is>
          <t>Poseidon Tank</t>
        </is>
      </c>
      <c r="D332" s="6" t="inlineStr">
        <is>
          <t>LineBreaker</t>
        </is>
      </c>
      <c r="E332" s="6" t="n">
        <v>125000</v>
      </c>
      <c r="F332" s="6" t="n">
        <v>50</v>
      </c>
      <c r="G332" t="inlineStr">
        <is>
          <t>Superheavy</t>
        </is>
      </c>
      <c r="H332" s="6" t="n">
        <v>0.75</v>
      </c>
      <c r="I332" s="6" t="n">
        <v>1.25</v>
      </c>
      <c r="J332" s="6" t="n">
        <v>1</v>
      </c>
      <c r="K332" s="6" t="n"/>
      <c r="P332">
        <f>MAX(P333)</f>
        <v/>
      </c>
      <c r="S332">
        <f>S333</f>
        <v/>
      </c>
      <c r="T332">
        <f>(E332/100000+F332/100+(P332/1000)*J332/5+S332/200)*200*I332*H332</f>
        <v/>
      </c>
      <c r="U332">
        <f>((E332*F332/25000)+((P332/1000)*J332*S332/2.5))*I332*H332</f>
        <v/>
      </c>
      <c r="V332">
        <f>(E332*F332*(P332/1000)*J332*S332*I332*H332)/12500000</f>
        <v/>
      </c>
      <c r="W332">
        <f>(((E332/750000)+(F332/80)+(S332/1600)+((P332/2500)*J332))*1600/4+(((E332/750000)*(F332/80))+(((P332/2500)*J332)*(S332/1600)))*1600/2+((E332/750000)*(F332/80)*((P332/2500)*J332)*(S332/1600))*1600)*(H332/1.0)/3</f>
        <v/>
      </c>
      <c r="X332" s="6" t="n">
        <v>4000</v>
      </c>
      <c r="Y332">
        <f>IFERROR(W332-X332,"")</f>
        <v/>
      </c>
      <c r="Z332">
        <f>IFERROR(ABS(Y332)/MAX(X332,1),"")</f>
        <v/>
      </c>
      <c r="AA332">
        <f>IFERROR(ROUND(((3*X332-(((E332/750000)+(F332/80)+(S332/1600))*1600/4+((E332/750000)*(F332/80))*1600/2)*(H332/1.0))/(1600/4+((S332/1600))*1600/2+((E332/750000)*(F332/80)*(S332/1600))*1600)*(H332/1.0)*2500)/J332,-1),"")</f>
        <v/>
      </c>
    </row>
    <row r="333">
      <c r="B333" s="7" t="inlineStr">
        <is>
          <t xml:space="preserve">  ↳ SteelFortressWeapons</t>
        </is>
      </c>
      <c r="C333" s="7" t="inlineStr">
        <is>
          <t>Armament@1</t>
        </is>
      </c>
      <c r="L333" s="6" t="n">
        <v>14000</v>
      </c>
      <c r="M333" s="6" t="n">
        <v>41</v>
      </c>
      <c r="N333" s="6" t="n">
        <v>2</v>
      </c>
      <c r="O333" s="6" t="n">
        <v>0</v>
      </c>
      <c r="P333" s="6" t="n">
        <v>6333</v>
      </c>
      <c r="Q333" s="6" t="n">
        <v>1</v>
      </c>
      <c r="R333">
        <f>M333+IF(N333&gt;1,N(O333)*(N333-1),0)</f>
        <v/>
      </c>
      <c r="S333">
        <f>IFERROR(L333*MAX(N333,1)/R333*IF(ISBLANK(K332),1,K332),0)</f>
        <v/>
      </c>
      <c r="AB333" s="7" t="inlineStr">
        <is>
          <t>^Warhead_CannonHE_Medium</t>
        </is>
      </c>
    </row>
    <row r="334">
      <c r="A334" t="inlineStr">
        <is>
          <t>redalert2mod</t>
        </is>
      </c>
      <c r="B334" t="inlineStr">
        <is>
          <t>latinsyndicate_carteltruck</t>
        </is>
      </c>
      <c r="C334" t="inlineStr">
        <is>
          <t>Cartel Truck</t>
        </is>
      </c>
      <c r="D334" s="6" t="inlineStr">
        <is>
          <t>LineBreaker</t>
        </is>
      </c>
      <c r="E334" s="6" t="n">
        <v>167500</v>
      </c>
      <c r="F334" s="6" t="n">
        <v>70</v>
      </c>
      <c r="G334" t="inlineStr">
        <is>
          <t>Superheavy</t>
        </is>
      </c>
      <c r="H334" s="6" t="n">
        <v>0.75</v>
      </c>
      <c r="I334" s="6" t="n">
        <v>1.25</v>
      </c>
      <c r="J334" s="6" t="n">
        <v>1</v>
      </c>
      <c r="K334" s="6" t="n"/>
      <c r="P334">
        <f>MAX(P335,P336)</f>
        <v/>
      </c>
      <c r="S334">
        <f>S335+S336</f>
        <v/>
      </c>
      <c r="T334">
        <f>(E334/100000+F334/100+(P334/1000)*J334/5+S334/200)*200*I334*H334</f>
        <v/>
      </c>
      <c r="U334">
        <f>((E334*F334/25000)+((P334/1000)*J334*S334/2.5))*I334*H334</f>
        <v/>
      </c>
      <c r="V334">
        <f>(E334*F334*(P334/1000)*J334*S334*I334*H334)/12500000</f>
        <v/>
      </c>
      <c r="W334">
        <f>(((E334/750000)+(F334/80)+(S334/1600)+((P334/2500)*J334))*1600/4+(((E334/750000)*(F334/80))+(((P334/2500)*J334)*(S334/1600)))*1600/2+((E334/750000)*(F334/80)*((P334/2500)*J334)*(S334/1600))*1600)*(H334/1.0)/3</f>
        <v/>
      </c>
      <c r="X334" s="6" t="n">
        <v>6000</v>
      </c>
      <c r="Y334">
        <f>IFERROR(W334-X334,"")</f>
        <v/>
      </c>
      <c r="Z334">
        <f>IFERROR(ABS(Y334)/MAX(X334,1),"")</f>
        <v/>
      </c>
      <c r="AA334">
        <f>IFERROR(ROUND(((3*X334-(((E334/750000)+(F334/80)+(S334/1600))*1600/4+((E334/750000)*(F334/80))*1600/2)*(H334/1.0))/(1600/4+((S334/1600))*1600/2+((E334/750000)*(F334/80)*(S334/1600))*1600)*(H334/1.0)*2500)/J334,-1),"")</f>
        <v/>
      </c>
    </row>
    <row r="335">
      <c r="B335" s="7" t="inlineStr">
        <is>
          <t xml:space="preserve">  ↳ RA2Narco60mm</t>
        </is>
      </c>
      <c r="C335" s="7" t="inlineStr">
        <is>
          <t>Armament@AG</t>
        </is>
      </c>
      <c r="L335" s="6" t="n">
        <v>16000</v>
      </c>
      <c r="M335" s="6" t="n">
        <v>20</v>
      </c>
      <c r="N335" s="6" t="n">
        <v>1</v>
      </c>
      <c r="O335" s="6" t="n"/>
      <c r="P335" s="6" t="n">
        <v>5800</v>
      </c>
      <c r="Q335" s="6" t="n">
        <v>1</v>
      </c>
      <c r="R335">
        <f>M335+IF(N335&gt;1,N(O335)*(N335-1),0)</f>
        <v/>
      </c>
      <c r="S335">
        <f>IFERROR(L335*MAX(N335,1)/R335*IF(ISBLANK(K334),1,K334),0)</f>
        <v/>
      </c>
      <c r="AB335" s="7" t="inlineStr">
        <is>
          <t>^Warhead_CannonHE_Medium</t>
        </is>
      </c>
    </row>
    <row r="336">
      <c r="B336" s="7" t="inlineStr">
        <is>
          <t xml:space="preserve">  ↳ RA2Narco60mm_elite</t>
        </is>
      </c>
      <c r="C336" s="7" t="inlineStr">
        <is>
          <t>Armament@AGE</t>
        </is>
      </c>
      <c r="L336" s="6" t="n">
        <v>16000</v>
      </c>
      <c r="M336" s="6" t="n">
        <v>20</v>
      </c>
      <c r="N336" s="6" t="n">
        <v>2</v>
      </c>
      <c r="O336" s="6" t="n">
        <v>3</v>
      </c>
      <c r="P336" s="6" t="n">
        <v>6800</v>
      </c>
      <c r="Q336" s="6" t="n">
        <v>1</v>
      </c>
      <c r="R336">
        <f>M336+IF(N336&gt;1,N(O336)*(N336-1),0)</f>
        <v/>
      </c>
      <c r="S336">
        <f>IFERROR(L336*MAX(N336,1)/R336*IF(ISBLANK(K334),1,K334),0)</f>
        <v/>
      </c>
      <c r="AB336" s="7" t="inlineStr">
        <is>
          <t>^Warhead_CannonHE_Medium</t>
        </is>
      </c>
    </row>
    <row r="337">
      <c r="A337" t="inlineStr">
        <is>
          <t>redalert2mod</t>
        </is>
      </c>
      <c r="B337" t="inlineStr">
        <is>
          <t>latinsyndicate_tortugatank</t>
        </is>
      </c>
      <c r="C337" t="inlineStr">
        <is>
          <t>Tortuga Tank</t>
        </is>
      </c>
      <c r="D337" s="6" t="inlineStr">
        <is>
          <t>LineBreaker</t>
        </is>
      </c>
      <c r="E337" s="6" t="n">
        <v>875000</v>
      </c>
      <c r="F337" s="6" t="n">
        <v>45</v>
      </c>
      <c r="G337" t="inlineStr">
        <is>
          <t>Superheavy</t>
        </is>
      </c>
      <c r="H337" s="6" t="n">
        <v>0.5</v>
      </c>
      <c r="I337" s="6" t="n">
        <v>1</v>
      </c>
      <c r="J337" s="6" t="n">
        <v>1</v>
      </c>
      <c r="K337" s="6" t="n"/>
      <c r="P337">
        <f>MAX(P338,P339,P340,P341)</f>
        <v/>
      </c>
      <c r="S337">
        <f>S338+S339+S340+S341</f>
        <v/>
      </c>
      <c r="T337">
        <f>(E337/100000+F337/100+(P337/1000)*J337/5+S337/200)*200*I337*H337</f>
        <v/>
      </c>
      <c r="U337">
        <f>((E337*F337/25000)+((P337/1000)*J337*S337/2.5))*I337*H337</f>
        <v/>
      </c>
      <c r="V337">
        <f>(E337*F337*(P337/1000)*J337*S337*I337*H337)/12500000</f>
        <v/>
      </c>
      <c r="W337">
        <f>(((E337/750000)+(F337/80)+(S337/1600)+((P337/2500)*J337))*1600/4+(((E337/750000)*(F337/80))+(((P337/2500)*J337)*(S337/1600)))*1600/2+((E337/750000)*(F337/80)*((P337/2500)*J337)*(S337/1600))*1600)*(H337/1.0)/3</f>
        <v/>
      </c>
      <c r="X337" s="6" t="n">
        <v>3000</v>
      </c>
      <c r="Y337">
        <f>IFERROR(W337-X337,"")</f>
        <v/>
      </c>
      <c r="Z337">
        <f>IFERROR(ABS(Y337)/MAX(X337,1),"")</f>
        <v/>
      </c>
      <c r="AA337">
        <f>IFERROR(ROUND(((3*X337-(((E337/750000)+(F337/80)+(S337/1600))*1600/4+((E337/750000)*(F337/80))*1600/2)*(H337/1.0))/(1600/4+((S337/1600))*1600/2+((E337/750000)*(F337/80)*(S337/1600))*1600)*(H337/1.0)*2500)/J337,-1),"")</f>
        <v/>
      </c>
    </row>
    <row r="338">
      <c r="B338" s="7" t="inlineStr">
        <is>
          <t xml:space="preserve">  ↳ LatinBuggyMG</t>
        </is>
      </c>
      <c r="C338" s="7" t="inlineStr">
        <is>
          <t>Armament</t>
        </is>
      </c>
      <c r="L338" s="6" t="n">
        <v>8000</v>
      </c>
      <c r="M338" s="6" t="n">
        <v>35</v>
      </c>
      <c r="N338" s="6" t="n">
        <v>5</v>
      </c>
      <c r="O338" s="6" t="n">
        <v>5</v>
      </c>
      <c r="P338" s="6" t="n">
        <v>6000</v>
      </c>
      <c r="Q338" s="6" t="n">
        <v>0.875</v>
      </c>
      <c r="R338">
        <f>M338+IF(N338&gt;1,N(O338)*(N338-1),0)</f>
        <v/>
      </c>
      <c r="S338">
        <f>IFERROR(L338*MAX(N338,1)/R338*IF(ISBLANK(K337),1,K337),0)</f>
        <v/>
      </c>
      <c r="AB338" s="7" t="inlineStr">
        <is>
          <t>^Warhead_Bullet_Light, ^Warhead_Bullet_Medium</t>
        </is>
      </c>
    </row>
    <row r="339">
      <c r="B339" s="7" t="inlineStr">
        <is>
          <t xml:space="preserve">  ↳ LatinBuggyMG_elite</t>
        </is>
      </c>
      <c r="C339" s="7" t="inlineStr">
        <is>
          <t>Armament@Elite</t>
        </is>
      </c>
      <c r="L339" s="6" t="n">
        <v>8000</v>
      </c>
      <c r="M339" s="6" t="n">
        <v>35</v>
      </c>
      <c r="N339" s="6" t="n">
        <v>10</v>
      </c>
      <c r="O339" s="6" t="n">
        <v>3</v>
      </c>
      <c r="P339" s="6" t="n">
        <v>7000</v>
      </c>
      <c r="Q339" s="6" t="n">
        <v>0.875</v>
      </c>
      <c r="R339">
        <f>M339+IF(N339&gt;1,N(O339)*(N339-1),0)</f>
        <v/>
      </c>
      <c r="S339">
        <f>IFERROR(L339*MAX(N339,1)/R339*IF(ISBLANK(K337),1,K337),0)</f>
        <v/>
      </c>
      <c r="AB339" s="7" t="inlineStr">
        <is>
          <t>^Warhead_Bullet_Light, ^Warhead_Bullet_Medium</t>
        </is>
      </c>
    </row>
    <row r="340">
      <c r="B340" s="7" t="inlineStr">
        <is>
          <t xml:space="preserve">  ↳ LatinBuggyChaingun</t>
        </is>
      </c>
      <c r="C340" s="7" t="inlineStr">
        <is>
          <t>Armament@Gatling</t>
        </is>
      </c>
      <c r="L340" s="6" t="n">
        <v>8000</v>
      </c>
      <c r="M340" s="6" t="n">
        <v>11</v>
      </c>
      <c r="N340" s="6" t="n">
        <v>1</v>
      </c>
      <c r="O340" s="6" t="n"/>
      <c r="P340" s="6" t="n">
        <v>6000</v>
      </c>
      <c r="Q340" s="6" t="n">
        <v>1</v>
      </c>
      <c r="R340">
        <f>M340+IF(N340&gt;1,N(O340)*(N340-1),0)</f>
        <v/>
      </c>
      <c r="S340">
        <f>IFERROR(L340*MAX(N340,1)/R340*IF(ISBLANK(K337),1,K337),0)</f>
        <v/>
      </c>
      <c r="AB340" s="7" t="inlineStr">
        <is>
          <t>^Warhead_CannonAP_Light, ^Warhead_Flak_Medium, ^Warhead_Bullet_Light, ^Warhead_Bullet_Medium</t>
        </is>
      </c>
    </row>
    <row r="341">
      <c r="B341" s="7" t="inlineStr">
        <is>
          <t xml:space="preserve">  ↳ LatinBuggyChaingun_elite</t>
        </is>
      </c>
      <c r="C341" s="7" t="inlineStr">
        <is>
          <t>Armament@GatlingElite</t>
        </is>
      </c>
      <c r="L341" s="6" t="n">
        <v>8000</v>
      </c>
      <c r="M341" s="6" t="n">
        <v>11</v>
      </c>
      <c r="N341" s="6" t="n">
        <v>1</v>
      </c>
      <c r="O341" s="6" t="n"/>
      <c r="P341" s="6" t="n">
        <v>7000</v>
      </c>
      <c r="Q341" s="6" t="n">
        <v>1</v>
      </c>
      <c r="R341">
        <f>M341+IF(N341&gt;1,N(O341)*(N341-1),0)</f>
        <v/>
      </c>
      <c r="S341">
        <f>IFERROR(L341*MAX(N341,1)/R341*IF(ISBLANK(K337),1,K337),0)</f>
        <v/>
      </c>
      <c r="AB341" s="7" t="inlineStr">
        <is>
          <t>^Warhead_CannonAP_Light, ^Warhead_Flak_Medium, ^Warhead_Bullet_Light, ^Warhead_Bullet_Medium</t>
        </is>
      </c>
    </row>
    <row r="342">
      <c r="A342" t="inlineStr">
        <is>
          <t>redalert2mod</t>
        </is>
      </c>
      <c r="B342" t="inlineStr">
        <is>
          <t>naxis_oldtank</t>
        </is>
      </c>
      <c r="C342" t="inlineStr">
        <is>
          <t>Old Tank</t>
        </is>
      </c>
      <c r="D342" s="6" t="inlineStr">
        <is>
          <t>LineBreaker</t>
        </is>
      </c>
      <c r="E342" s="6" t="n">
        <v>110000</v>
      </c>
      <c r="F342" s="6" t="n">
        <v>50</v>
      </c>
      <c r="G342" t="inlineStr">
        <is>
          <t>Superheavy</t>
        </is>
      </c>
      <c r="H342" s="6" t="n">
        <v>0.6846</v>
      </c>
      <c r="I342" s="6" t="n">
        <v>1</v>
      </c>
      <c r="J342" s="6" t="n">
        <v>1</v>
      </c>
      <c r="K342" s="6" t="n"/>
      <c r="P342">
        <f>MAX(P343)</f>
        <v/>
      </c>
      <c r="S342">
        <f>S343</f>
        <v/>
      </c>
      <c r="T342">
        <f>(E342/100000+F342/100+(P342/1000)*J342/5+S342/200)*200*I342*H342</f>
        <v/>
      </c>
      <c r="U342">
        <f>((E342*F342/25000)+((P342/1000)*J342*S342/2.5))*I342*H342</f>
        <v/>
      </c>
      <c r="V342">
        <f>(E342*F342*(P342/1000)*J342*S342*I342*H342)/12500000</f>
        <v/>
      </c>
      <c r="W342">
        <f>(((E342/750000)+(F342/80)+(S342/1600)+((P342/2500)*J342))*1600/4+(((E342/750000)*(F342/80))+(((P342/2500)*J342)*(S342/1600)))*1600/2+((E342/750000)*(F342/80)*((P342/2500)*J342)*(S342/1600))*1600)*(H342/1.0)/3</f>
        <v/>
      </c>
      <c r="X342" s="6" t="n">
        <v>2000</v>
      </c>
      <c r="Y342">
        <f>IFERROR(W342-X342,"")</f>
        <v/>
      </c>
      <c r="Z342">
        <f>IFERROR(ABS(Y342)/MAX(X342,1),"")</f>
        <v/>
      </c>
      <c r="AA342">
        <f>IFERROR(ROUND(((3*X342-(((E342/750000)+(F342/80)+(S342/1600))*1600/4+((E342/750000)*(F342/80))*1600/2)*(H342/1.0))/(1600/4+((S342/1600))*1600/2+((E342/750000)*(F342/80)*(S342/1600))*1600)*(H342/1.0)*2500)/J342,-1),"")</f>
        <v/>
      </c>
    </row>
    <row r="343">
      <c r="B343" s="7" t="inlineStr">
        <is>
          <t xml:space="preserve">  ↳ NaxiAntiTankCannon</t>
        </is>
      </c>
      <c r="C343" s="7" t="inlineStr">
        <is>
          <t>Armament</t>
        </is>
      </c>
      <c r="L343" s="6" t="n">
        <v>28000</v>
      </c>
      <c r="M343" s="6" t="n">
        <v>75</v>
      </c>
      <c r="N343" s="6" t="n">
        <v>1</v>
      </c>
      <c r="O343" s="6" t="n"/>
      <c r="P343" s="6" t="n">
        <v>7361</v>
      </c>
      <c r="Q343" s="6" t="n">
        <v>0.875</v>
      </c>
      <c r="R343">
        <f>M343+IF(N343&gt;1,N(O343)*(N343-1),0)</f>
        <v/>
      </c>
      <c r="S343">
        <f>IFERROR(L343*MAX(N343,1)/R343*IF(ISBLANK(K342),1,K342),0)</f>
        <v/>
      </c>
      <c r="AB343" s="7" t="inlineStr">
        <is>
          <t>^Warhead_CannonHE_Medium, ^Warhead_CannonAP_Light</t>
        </is>
      </c>
    </row>
    <row r="344">
      <c r="A344" t="inlineStr">
        <is>
          <t>redalert2mod</t>
        </is>
      </c>
      <c r="B344" t="inlineStr">
        <is>
          <t>futuretech_plasmastrider</t>
        </is>
      </c>
      <c r="C344" t="inlineStr">
        <is>
          <t>Plasma Strider</t>
        </is>
      </c>
      <c r="D344" s="6" t="inlineStr">
        <is>
          <t>LineBreaker</t>
        </is>
      </c>
      <c r="E344" s="6" t="n">
        <v>240000</v>
      </c>
      <c r="F344" s="6" t="n">
        <v>40</v>
      </c>
      <c r="G344" t="inlineStr">
        <is>
          <t>Superheavy</t>
        </is>
      </c>
      <c r="H344" s="6" t="n">
        <v>0.305</v>
      </c>
      <c r="I344" s="6" t="n">
        <v>1</v>
      </c>
      <c r="J344" s="6" t="n">
        <v>1</v>
      </c>
      <c r="K344" s="6" t="n"/>
      <c r="P344">
        <f>MAX(P345,P346)</f>
        <v/>
      </c>
      <c r="S344">
        <f>S345+S346</f>
        <v/>
      </c>
      <c r="T344">
        <f>(E344/100000+F344/100+(P344/1000)*J344/5+S344/200)*200*I344*H344</f>
        <v/>
      </c>
      <c r="U344">
        <f>((E344*F344/25000)+((P344/1000)*J344*S344/2.5))*I344*H344</f>
        <v/>
      </c>
      <c r="V344">
        <f>(E344*F344*(P344/1000)*J344*S344*I344*H344)/12500000</f>
        <v/>
      </c>
      <c r="W344">
        <f>(((E344/750000)+(F344/80)+(S344/1600)+((P344/2500)*J344))*1600/4+(((E344/750000)*(F344/80))+(((P344/2500)*J344)*(S344/1600)))*1600/2+((E344/750000)*(F344/80)*((P344/2500)*J344)*(S344/1600))*1600)*(H344/1.0)/3</f>
        <v/>
      </c>
      <c r="X344" s="6" t="n">
        <v>2600</v>
      </c>
      <c r="Y344">
        <f>IFERROR(W344-X344,"")</f>
        <v/>
      </c>
      <c r="Z344">
        <f>IFERROR(ABS(Y344)/MAX(X344,1),"")</f>
        <v/>
      </c>
      <c r="AA344">
        <f>IFERROR(ROUND(((3*X344-(((E344/750000)+(F344/80)+(S344/1600))*1600/4+((E344/750000)*(F344/80))*1600/2)*(H344/1.0))/(1600/4+((S344/1600))*1600/2+((E344/750000)*(F344/80)*(S344/1600))*1600)*(H344/1.0)*2500)/J344,-1),"")</f>
        <v/>
      </c>
    </row>
    <row r="345">
      <c r="B345" s="7" t="inlineStr">
        <is>
          <t xml:space="preserve">  ↳ FutureMechPlasma</t>
        </is>
      </c>
      <c r="C345" s="7" t="inlineStr">
        <is>
          <t>Armament@PRIMARY</t>
        </is>
      </c>
      <c r="L345" s="6" t="n">
        <v>30000</v>
      </c>
      <c r="M345" s="6" t="n">
        <v>50</v>
      </c>
      <c r="N345" s="6" t="n">
        <v>2</v>
      </c>
      <c r="O345" s="6" t="n">
        <v>10</v>
      </c>
      <c r="P345" s="6" t="n">
        <v>7000</v>
      </c>
      <c r="Q345" s="6" t="n">
        <v>1.25</v>
      </c>
      <c r="R345">
        <f>M345+IF(N345&gt;1,N(O345)*(N345-1),0)</f>
        <v/>
      </c>
      <c r="S345">
        <f>IFERROR(L345*MAX(N345,1)/R345*IF(ISBLANK(K344),1,K344),0)</f>
        <v/>
      </c>
      <c r="AB345" s="7" t="inlineStr">
        <is>
          <t>^Warhead_CannonHE_Heavy</t>
        </is>
      </c>
    </row>
    <row r="346">
      <c r="B346" s="7" t="inlineStr">
        <is>
          <t xml:space="preserve">  ↳ FutureMechPlasma_elite</t>
        </is>
      </c>
      <c r="C346" s="7" t="inlineStr">
        <is>
          <t>Armament@ELITE</t>
        </is>
      </c>
      <c r="L346" s="6" t="n">
        <v>30000</v>
      </c>
      <c r="M346" s="6" t="n">
        <v>50</v>
      </c>
      <c r="N346" s="6" t="n">
        <v>4</v>
      </c>
      <c r="O346" s="6" t="n">
        <v>5</v>
      </c>
      <c r="P346" s="6" t="n">
        <v>8000</v>
      </c>
      <c r="Q346" s="6" t="n">
        <v>1.25</v>
      </c>
      <c r="R346">
        <f>M346+IF(N346&gt;1,N(O346)*(N346-1),0)</f>
        <v/>
      </c>
      <c r="S346">
        <f>IFERROR(L346*MAX(N346,1)/R346*IF(ISBLANK(K344),1,K344),0)</f>
        <v/>
      </c>
      <c r="AB346" s="7" t="inlineStr">
        <is>
          <t>^Warhead_CannonHE_Heavy</t>
        </is>
      </c>
    </row>
    <row r="347">
      <c r="A347" t="inlineStr">
        <is>
          <t>redalert2mod</t>
        </is>
      </c>
      <c r="B347" t="inlineStr">
        <is>
          <t>futuretech_shotgundroid</t>
        </is>
      </c>
      <c r="C347" t="inlineStr">
        <is>
          <t>Shotgun Droid</t>
        </is>
      </c>
      <c r="D347" s="6" t="inlineStr">
        <is>
          <t>LineBreaker</t>
        </is>
      </c>
      <c r="E347" s="6" t="n">
        <v>55000</v>
      </c>
      <c r="F347" s="6" t="n">
        <v>55</v>
      </c>
      <c r="G347" t="inlineStr">
        <is>
          <t>Plate</t>
        </is>
      </c>
      <c r="H347" s="6" t="n">
        <v>0.6322</v>
      </c>
      <c r="I347" s="6" t="n">
        <v>1</v>
      </c>
      <c r="J347" s="6" t="n">
        <v>1</v>
      </c>
      <c r="K347" s="6" t="n"/>
      <c r="P347">
        <f>MAX(P348,P349)</f>
        <v/>
      </c>
      <c r="S347">
        <f>S348+S349</f>
        <v/>
      </c>
      <c r="T347">
        <f>(E347/100000+F347/100+(P347/1000)*J347/5+S347/200)*200*I347*H347</f>
        <v/>
      </c>
      <c r="U347">
        <f>((E347*F347/25000)+((P347/1000)*J347*S347/2.5))*I347*H347</f>
        <v/>
      </c>
      <c r="V347">
        <f>(E347*F347*(P347/1000)*J347*S347*I347*H347)/12500000</f>
        <v/>
      </c>
      <c r="W347">
        <f>(((E347/50000)+(F347/75)+(S347/250)+((P347/3500)*J347))*200/4+(((E347/50000)*(F347/75))+(((P347/3500)*J347)*(S347/250)))*200/2+((E347/50000)*(F347/75)*((P347/3500)*J347)*(S347/250))*200)*(H347/1.0)/3</f>
        <v/>
      </c>
      <c r="X347" s="6" t="n">
        <v>400</v>
      </c>
      <c r="Y347">
        <f>IFERROR(W347-X347,"")</f>
        <v/>
      </c>
      <c r="Z347">
        <f>IFERROR(ABS(Y347)/MAX(X347,1),"")</f>
        <v/>
      </c>
      <c r="AA347">
        <f>IFERROR(ROUND(((3*X347-(((E347/50000)+(F347/75)+(S347/250))*200/4+((E347/50000)*(F347/75))*200/2)*(H347/1.0))/(200/4+((S347/250))*200/2+((E347/50000)*(F347/75)*(S347/250))*200)*(H347/1.0)*3500)/J347,-1),"")</f>
        <v/>
      </c>
    </row>
    <row r="348">
      <c r="B348" s="7" t="inlineStr">
        <is>
          <t xml:space="preserve">  ↳ ShotgunAttackRobotGun</t>
        </is>
      </c>
      <c r="C348" s="7" t="inlineStr">
        <is>
          <t>Armament@PRIMARY</t>
        </is>
      </c>
      <c r="L348" s="6" t="n">
        <v>12000</v>
      </c>
      <c r="M348" s="6" t="n">
        <v>55</v>
      </c>
      <c r="N348" s="6" t="n">
        <v>1</v>
      </c>
      <c r="O348" s="6" t="n"/>
      <c r="P348" s="6" t="n">
        <v>4110</v>
      </c>
      <c r="Q348" s="6" t="n">
        <v>1</v>
      </c>
      <c r="R348">
        <f>M348+IF(N348&gt;1,N(O348)*(N348-1),0)</f>
        <v/>
      </c>
      <c r="S348">
        <f>IFERROR(L348*MAX(N348,1)/R348*IF(ISBLANK(K347),1,K347),0)</f>
        <v/>
      </c>
      <c r="AB348" s="7" t="inlineStr">
        <is>
          <t>^Warhead_CannonHE_Medium, ^Warhead_Bullet_Medium</t>
        </is>
      </c>
    </row>
    <row r="349">
      <c r="B349" s="7" t="inlineStr">
        <is>
          <t xml:space="preserve">  ↳ ShotgunAttackRobotGun_elite</t>
        </is>
      </c>
      <c r="C349" s="7" t="inlineStr">
        <is>
          <t>Armament@ELITE</t>
        </is>
      </c>
      <c r="L349" s="6" t="n">
        <v>12000</v>
      </c>
      <c r="M349" s="6" t="n">
        <v>25</v>
      </c>
      <c r="N349" s="6" t="n">
        <v>2</v>
      </c>
      <c r="O349" s="6" t="n">
        <v>3</v>
      </c>
      <c r="P349" s="6" t="n">
        <v>5110</v>
      </c>
      <c r="Q349" s="6" t="n">
        <v>1</v>
      </c>
      <c r="R349">
        <f>M349+IF(N349&gt;1,N(O349)*(N349-1),0)</f>
        <v/>
      </c>
      <c r="S349">
        <f>IFERROR(L349*MAX(N349,1)/R349*IF(ISBLANK(K347),1,K347),0)</f>
        <v/>
      </c>
      <c r="AB349" s="7" t="inlineStr">
        <is>
          <t>^Warhead_CannonHE_Medium, ^Warhead_Bullet_Medium</t>
        </is>
      </c>
    </row>
    <row r="350">
      <c r="B350" s="7" t="inlineStr">
        <is>
          <t xml:space="preserve">  ↳ ShotgunAttackRobotGun</t>
        </is>
      </c>
      <c r="C350" s="7" t="inlineStr">
        <is>
          <t>Armament@GARRISONED</t>
        </is>
      </c>
      <c r="L350" s="6" t="n">
        <v>12000</v>
      </c>
      <c r="M350" s="6" t="n">
        <v>55</v>
      </c>
      <c r="N350" s="6" t="n">
        <v>1</v>
      </c>
      <c r="O350" s="6" t="n"/>
      <c r="P350" s="6" t="n">
        <v>4110</v>
      </c>
      <c r="Q350" s="6" t="n">
        <v>1</v>
      </c>
      <c r="R350">
        <f>M350+IF(N350&gt;1,N(O350)*(N350-1),0)</f>
        <v/>
      </c>
      <c r="S350">
        <f>IFERROR(L350*MAX(N350,1)/R350*IF(ISBLANK(K347),1,K347),0)</f>
        <v/>
      </c>
      <c r="AB350" s="7" t="inlineStr">
        <is>
          <t>^Warhead_CannonHE_Medium, ^Warhead_Bullet_Medium</t>
        </is>
      </c>
    </row>
    <row r="351">
      <c r="B351" s="7" t="inlineStr">
        <is>
          <t xml:space="preserve">  ↳ ShotgunAttackRobotGun_elite</t>
        </is>
      </c>
      <c r="C351" s="7" t="inlineStr">
        <is>
          <t>Armament@GARRISONEDELITE</t>
        </is>
      </c>
      <c r="L351" s="6" t="n">
        <v>12000</v>
      </c>
      <c r="M351" s="6" t="n">
        <v>25</v>
      </c>
      <c r="N351" s="6" t="n">
        <v>2</v>
      </c>
      <c r="O351" s="6" t="n">
        <v>3</v>
      </c>
      <c r="P351" s="6" t="n">
        <v>5110</v>
      </c>
      <c r="Q351" s="6" t="n">
        <v>1</v>
      </c>
      <c r="R351">
        <f>M351+IF(N351&gt;1,N(O351)*(N351-1),0)</f>
        <v/>
      </c>
      <c r="S351">
        <f>IFERROR(L351*MAX(N351,1)/R351*IF(ISBLANK(K347),1,K347),0)</f>
        <v/>
      </c>
      <c r="AB351" s="7" t="inlineStr">
        <is>
          <t>^Warhead_CannonHE_Medium, ^Warhead_Bullet_Medium</t>
        </is>
      </c>
    </row>
    <row r="352">
      <c r="A352" t="inlineStr">
        <is>
          <t>redalert2mod</t>
        </is>
      </c>
      <c r="B352" t="inlineStr">
        <is>
          <t>tkm_battlebus</t>
        </is>
      </c>
      <c r="C352" t="inlineStr">
        <is>
          <t>Battle Bus</t>
        </is>
      </c>
      <c r="D352" s="6" t="inlineStr">
        <is>
          <t>LineBreaker</t>
        </is>
      </c>
      <c r="E352" s="6" t="n">
        <v>50000</v>
      </c>
      <c r="F352" s="6" t="n">
        <v>100</v>
      </c>
      <c r="G352" t="inlineStr">
        <is>
          <t>Superheavy</t>
        </is>
      </c>
      <c r="H352" s="6" t="n">
        <v>0.4955</v>
      </c>
      <c r="I352" s="6" t="n">
        <v>1</v>
      </c>
      <c r="J352" s="6" t="n">
        <v>1</v>
      </c>
      <c r="K352" s="6" t="n"/>
      <c r="P352">
        <f>MAX(P353)</f>
        <v/>
      </c>
      <c r="S352">
        <f>S353</f>
        <v/>
      </c>
      <c r="T352">
        <f>(E352/100000+F352/100+(P352/1000)*J352/5+S352/200)*200*I352*H352</f>
        <v/>
      </c>
      <c r="U352">
        <f>((E352*F352/25000)+((P352/1000)*J352*S352/2.5))*I352*H352</f>
        <v/>
      </c>
      <c r="V352">
        <f>(E352*F352*(P352/1000)*J352*S352*I352*H352)/12500000</f>
        <v/>
      </c>
      <c r="W352">
        <f>(((E352/750000)+(F352/80)+(S352/1600)+((P352/2500)*J352))*1600/4+(((E352/750000)*(F352/80))+(((P352/2500)*J352)*(S352/1600)))*1600/2+((E352/750000)*(F352/80)*((P352/2500)*J352)*(S352/1600))*1600)*(H352/1.0)/3</f>
        <v/>
      </c>
      <c r="X352" s="6" t="n">
        <v>1250</v>
      </c>
      <c r="Y352">
        <f>IFERROR(W352-X352,"")</f>
        <v/>
      </c>
      <c r="Z352">
        <f>IFERROR(ABS(Y352)/MAX(X352,1),"")</f>
        <v/>
      </c>
      <c r="AA352">
        <f>IFERROR(ROUND(((3*X352-(((E352/750000)+(F352/80)+(S352/1600))*1600/4+((E352/750000)*(F352/80))*1600/2)*(H352/1.0))/(1600/4+((S352/1600))*1600/2+((E352/750000)*(F352/80)*(S352/1600))*1600)*(H352/1.0)*2500)/J352,-1),"")</f>
        <v/>
      </c>
    </row>
    <row r="353">
      <c r="B353" s="7" t="inlineStr">
        <is>
          <t xml:space="preserve">  ↳ TKMMedicHeal</t>
        </is>
      </c>
      <c r="C353" s="7" t="inlineStr">
        <is>
          <t>Armament</t>
        </is>
      </c>
      <c r="L353" s="6" t="n">
        <v>-3000</v>
      </c>
      <c r="M353" s="6" t="n">
        <v>5</v>
      </c>
      <c r="N353" s="6" t="n">
        <v>1</v>
      </c>
      <c r="O353" s="6" t="n"/>
      <c r="P353" s="6" t="n">
        <v>4831</v>
      </c>
      <c r="Q353" s="6" t="n">
        <v>1</v>
      </c>
      <c r="R353">
        <f>M353+IF(N353&gt;1,N(O353)*(N353-1),0)</f>
        <v/>
      </c>
      <c r="S353">
        <f>IFERROR(L353*MAX(N353,1)/R353*IF(ISBLANK(K352),1,K352),0)</f>
        <v/>
      </c>
      <c r="AB353" s="7" t="inlineStr">
        <is>
          <t>^HealingWeapon</t>
        </is>
      </c>
    </row>
    <row r="354">
      <c r="A354" t="inlineStr">
        <is>
          <t>d2k</t>
        </is>
      </c>
      <c r="B354" t="inlineStr">
        <is>
          <t>ordos_heavyautoguntank</t>
        </is>
      </c>
      <c r="C354" t="inlineStr">
        <is>
          <t>Heavy Autogun Tank</t>
        </is>
      </c>
      <c r="D354" s="6" t="inlineStr">
        <is>
          <t>LineBreaker</t>
        </is>
      </c>
      <c r="E354" s="6" t="n">
        <v>160000</v>
      </c>
      <c r="F354" s="6" t="n">
        <v>75</v>
      </c>
      <c r="G354" t="inlineStr">
        <is>
          <t>Superheavy</t>
        </is>
      </c>
      <c r="H354" s="6" t="n">
        <v>0.75</v>
      </c>
      <c r="I354" s="6" t="n">
        <v>1</v>
      </c>
      <c r="J354" s="6" t="n">
        <v>1.25</v>
      </c>
      <c r="K354" s="6" t="n">
        <v>0.004</v>
      </c>
      <c r="P354">
        <f>MAX(P355)</f>
        <v/>
      </c>
      <c r="S354">
        <f>S355</f>
        <v/>
      </c>
      <c r="T354">
        <f>(E354/100000+F354/100+(P354/1000)*J354/5+S354/200)*200*I354*H354</f>
        <v/>
      </c>
      <c r="U354">
        <f>((E354*F354/25000)+((P354/1000)*J354*S354/2.5))*I354*H354</f>
        <v/>
      </c>
      <c r="V354">
        <f>(E354*F354*(P354/1000)*J354*S354*I354*H354)/12500000</f>
        <v/>
      </c>
      <c r="W354">
        <f>(((E354/750000)+(F354/80)+(S354/1600)+((P354/2500)*J354))*1600/4+(((E354/750000)*(F354/80))+(((P354/2500)*J354)*(S354/1600)))*1600/2+((E354/750000)*(F354/80)*((P354/2500)*J354)*(S354/1600))*1600)*(H354/1.0)/3</f>
        <v/>
      </c>
      <c r="X354" s="6" t="n">
        <v>2800</v>
      </c>
      <c r="Y354">
        <f>IFERROR(W354-X354,"")</f>
        <v/>
      </c>
      <c r="Z354">
        <f>IFERROR(ABS(Y354)/MAX(X354,1),"")</f>
        <v/>
      </c>
      <c r="AA354">
        <f>IFERROR(ROUND(((3*X354-(((E354/750000)+(F354/80)+(S354/1600))*1600/4+((E354/750000)*(F354/80))*1600/2)*(H354/1.0))/(1600/4+((S354/1600))*1600/2+((E354/750000)*(F354/80)*(S354/1600))*1600)*(H354/1.0)*2500)/J354,-1),"")</f>
        <v/>
      </c>
    </row>
    <row r="355">
      <c r="B355" s="7" t="inlineStr">
        <is>
          <t xml:space="preserve">  ↳ autogun_tank</t>
        </is>
      </c>
      <c r="C355" s="7" t="inlineStr">
        <is>
          <t>Armament</t>
        </is>
      </c>
      <c r="L355" s="6" t="n">
        <v>12000</v>
      </c>
      <c r="M355" s="6" t="n">
        <v>24</v>
      </c>
      <c r="N355" s="6" t="n">
        <v>4</v>
      </c>
      <c r="O355" s="6" t="n">
        <v>2</v>
      </c>
      <c r="P355" s="6" t="n">
        <v>7480</v>
      </c>
      <c r="Q355" s="6" t="n">
        <v>1.25</v>
      </c>
      <c r="R355">
        <f>M355+IF(N355&gt;1,N(O355)*(N355-1),0)</f>
        <v/>
      </c>
      <c r="S355">
        <f>IFERROR(L355*MAX(N355,1)/R355*IF(ISBLANK(K354),1,K354),0)</f>
        <v/>
      </c>
      <c r="AB355" s="7" t="inlineStr">
        <is>
          <t>^Warhead_CannonHE_Heavy, ^Warhead_MissileAP_Heavy</t>
        </is>
      </c>
    </row>
    <row r="356">
      <c r="A356" t="inlineStr">
        <is>
          <t>starcraft</t>
        </is>
      </c>
      <c r="B356" t="inlineStr">
        <is>
          <t>protoss_archon</t>
        </is>
      </c>
      <c r="C356" t="inlineStr">
        <is>
          <t>Archon</t>
        </is>
      </c>
      <c r="D356" s="6" t="inlineStr">
        <is>
          <t>LineBreaker</t>
        </is>
      </c>
      <c r="E356" s="6" t="n">
        <v>350000</v>
      </c>
      <c r="F356" s="6" t="n">
        <v>75</v>
      </c>
      <c r="G356" t="inlineStr">
        <is>
          <t>Superheavy</t>
        </is>
      </c>
      <c r="H356" s="6" t="n">
        <v>0.75</v>
      </c>
      <c r="I356" s="6" t="n">
        <v>1</v>
      </c>
      <c r="J356" s="6" t="n">
        <v>1.25</v>
      </c>
      <c r="K356" s="6" t="n"/>
      <c r="P356">
        <f>MAX(P357)</f>
        <v/>
      </c>
      <c r="S356">
        <f>S357</f>
        <v/>
      </c>
      <c r="T356">
        <f>(E356/100000+F356/100+(P356/1000)*J356/5+S356/200)*200*I356*H356</f>
        <v/>
      </c>
      <c r="U356">
        <f>((E356*F356/25000)+((P356/1000)*J356*S356/2.5))*I356*H356</f>
        <v/>
      </c>
      <c r="V356">
        <f>(E356*F356*(P356/1000)*J356*S356*I356*H356)/12500000</f>
        <v/>
      </c>
      <c r="W356">
        <f>(((E356/750000)+(F356/80)+(S356/1600)+((P356/2500)*J356))*1600/4+(((E356/750000)*(F356/80))+(((P356/2500)*J356)*(S356/1600)))*1600/2+((E356/750000)*(F356/80)*((P356/2500)*J356)*(S356/1600))*1600)*(H356/1.0)/3</f>
        <v/>
      </c>
      <c r="X356" s="6" t="n">
        <v>5600</v>
      </c>
      <c r="Y356">
        <f>IFERROR(W356-X356,"")</f>
        <v/>
      </c>
      <c r="Z356">
        <f>IFERROR(ABS(Y356)/MAX(X356,1),"")</f>
        <v/>
      </c>
      <c r="AA356">
        <f>IFERROR(ROUND(((3*X356-(((E356/750000)+(F356/80)+(S356/1600))*1600/4+((E356/750000)*(F356/80))*1600/2)*(H356/1.0))/(1600/4+((S356/1600))*1600/2+((E356/750000)*(F356/80)*(S356/1600))*1600)*(H356/1.0)*2500)/J356,-1),"")</f>
        <v/>
      </c>
    </row>
    <row r="357">
      <c r="B357" s="7" t="inlineStr">
        <is>
          <t xml:space="preserve">  ↳ PsionicShockwave</t>
        </is>
      </c>
      <c r="C357" s="7" t="inlineStr">
        <is>
          <t>Armament</t>
        </is>
      </c>
      <c r="L357" s="6" t="n">
        <v>30000</v>
      </c>
      <c r="M357" s="6" t="n">
        <v>20</v>
      </c>
      <c r="N357" s="6" t="n">
        <v>1</v>
      </c>
      <c r="O357" s="6" t="n"/>
      <c r="P357" s="6" t="n">
        <v>3152</v>
      </c>
      <c r="Q357" s="6" t="n">
        <v>1</v>
      </c>
      <c r="R357">
        <f>M357+IF(N357&gt;1,N(O357)*(N357-1),0)</f>
        <v/>
      </c>
      <c r="S357">
        <f>IFERROR(L357*MAX(N357,1)/R357*IF(ISBLANK(K356),1,K356),0)</f>
        <v/>
      </c>
      <c r="AB357" s="7" t="inlineStr">
        <is>
          <t>^Warhead_Tesla_Super</t>
        </is>
      </c>
    </row>
    <row r="358">
      <c r="A358" t="inlineStr">
        <is>
          <t>starcraft</t>
        </is>
      </c>
      <c r="B358" t="inlineStr">
        <is>
          <t>zerg_ultralisk</t>
        </is>
      </c>
      <c r="C358" t="inlineStr">
        <is>
          <t>Ultralisk</t>
        </is>
      </c>
      <c r="D358" s="6" t="inlineStr">
        <is>
          <t>LineBreaker</t>
        </is>
      </c>
      <c r="E358" s="6" t="n">
        <v>400000</v>
      </c>
      <c r="F358" s="6" t="n">
        <v>80</v>
      </c>
      <c r="G358" t="inlineStr">
        <is>
          <t>Heavy</t>
        </is>
      </c>
      <c r="H358" s="6" t="n">
        <v>0.75</v>
      </c>
      <c r="I358" s="6" t="n">
        <v>1</v>
      </c>
      <c r="J358" s="6" t="n">
        <v>1</v>
      </c>
      <c r="K358" s="6" t="n"/>
      <c r="P358">
        <f>MAX(P359)</f>
        <v/>
      </c>
      <c r="S358">
        <f>S359</f>
        <v/>
      </c>
      <c r="T358">
        <f>(E358/100000+F358/100+(P358/1000)*J358/5+S358/200)*200*I358*H358</f>
        <v/>
      </c>
      <c r="U358">
        <f>((E358*F358/25000)+((P358/1000)*J358*S358/2.5))*I358*H358</f>
        <v/>
      </c>
      <c r="V358">
        <f>(E358*F358*(P358/1000)*J358*S358*I358*H358)/12500000</f>
        <v/>
      </c>
      <c r="W358">
        <f>(((E358/240000)+(F358/95)+(S358/600)+((P358/5500)*J358))*800/4+(((E358/240000)*(F358/95))+(((P358/5500)*J358)*(S358/600)))*800/2+((E358/240000)*(F358/95)*((P358/5500)*J358)*(S358/600))*800)*(H358/1.0)/3</f>
        <v/>
      </c>
      <c r="X358" s="6" t="n">
        <v>4400</v>
      </c>
      <c r="Y358">
        <f>IFERROR(W358-X358,"")</f>
        <v/>
      </c>
      <c r="Z358">
        <f>IFERROR(ABS(Y358)/MAX(X358,1),"")</f>
        <v/>
      </c>
      <c r="AA358">
        <f>IFERROR(ROUND(((3*X358-(((E358/240000)+(F358/95)+(S358/600))*800/4+((E358/240000)*(F358/95))*800/2)*(H358/1.0))/(800/4+((S358/600))*800/2+((E358/240000)*(F358/95)*(S358/600))*800)*(H358/1.0)*5500)/J358,-1),"")</f>
        <v/>
      </c>
    </row>
    <row r="359">
      <c r="B359" s="7" t="inlineStr">
        <is>
          <t xml:space="preserve">  ↳ UltraliskHusk</t>
        </is>
      </c>
      <c r="C359" s="7" t="inlineStr">
        <is>
          <t>Armament</t>
        </is>
      </c>
      <c r="L359" s="6" t="n">
        <v>40000</v>
      </c>
      <c r="M359" s="6" t="n">
        <v>15</v>
      </c>
      <c r="N359" s="6" t="n">
        <v>1</v>
      </c>
      <c r="O359" s="6" t="n"/>
      <c r="P359" s="6" t="n">
        <v>1600</v>
      </c>
      <c r="Q359" s="6" t="n">
        <v>1</v>
      </c>
      <c r="R359">
        <f>M359+IF(N359&gt;1,N(O359)*(N359-1),0)</f>
        <v/>
      </c>
      <c r="S359">
        <f>IFERROR(L359*MAX(N359,1)/R359*IF(ISBLANK(K358),1,K358),0)</f>
        <v/>
      </c>
      <c r="AB359" s="7" t="inlineStr">
        <is>
          <t>^Warhead_Melee_Medium</t>
        </is>
      </c>
    </row>
    <row r="360">
      <c r="A360" t="inlineStr">
        <is>
          <t>warcraft2</t>
        </is>
      </c>
      <c r="B360" t="inlineStr">
        <is>
          <t>wc2_orcs_goblinsappers</t>
        </is>
      </c>
      <c r="C360" t="inlineStr">
        <is>
          <t>Goblin Sappers</t>
        </is>
      </c>
      <c r="D360" s="6" t="inlineStr">
        <is>
          <t>LineBreaker</t>
        </is>
      </c>
      <c r="E360" s="6" t="n">
        <v>40000</v>
      </c>
      <c r="F360" s="6" t="n">
        <v>80</v>
      </c>
      <c r="G360" t="inlineStr">
        <is>
          <t>Superheavy</t>
        </is>
      </c>
      <c r="H360" s="6" t="n">
        <v>1</v>
      </c>
      <c r="I360" s="6" t="n">
        <v>1</v>
      </c>
      <c r="J360" s="6" t="n">
        <v>1</v>
      </c>
      <c r="K360" s="6" t="n"/>
      <c r="P360">
        <f>MAX(P362)</f>
        <v/>
      </c>
      <c r="S360">
        <f>S362</f>
        <v/>
      </c>
      <c r="T360">
        <f>(E360/100000+F360/100+(P360/1000)*J360/5+S360/200)*200*I360*H360</f>
        <v/>
      </c>
      <c r="U360">
        <f>((E360*F360/25000)+((P360/1000)*J360*S360/2.5))*I360*H360</f>
        <v/>
      </c>
      <c r="V360">
        <f>(E360*F360*(P360/1000)*J360*S360*I360*H360)/12500000</f>
        <v/>
      </c>
      <c r="W360">
        <f>(((E360/750000)+(F360/80)+(S360/1600)+((P360/2500)*J360))*1600/4+(((E360/750000)*(F360/80))+(((P360/2500)*J360)*(S360/1600)))*1600/2+((E360/750000)*(F360/80)*((P360/2500)*J360)*(S360/1600))*1600)*(H360/1.0)/3</f>
        <v/>
      </c>
      <c r="X360" s="6" t="n">
        <v>800</v>
      </c>
      <c r="Y360">
        <f>IFERROR(W360-X360,"")</f>
        <v/>
      </c>
      <c r="Z360">
        <f>IFERROR(ABS(Y360)/MAX(X360,1),"")</f>
        <v/>
      </c>
      <c r="AA360">
        <f>IFERROR(ROUND(((3*X360-(((E360/750000)+(F360/80)+(S360/1600))*1600/4+((E360/750000)*(F360/80))*1600/2)*(H360/1.0))/(1600/4+((S360/1600))*1600/2+((E360/750000)*(F360/80)*(S360/1600))*1600)*(H360/1.0)*2500)/J360,-1),"")</f>
        <v/>
      </c>
    </row>
    <row r="361">
      <c r="B361" s="7" t="inlineStr">
        <is>
          <t xml:space="preserve">  ↳ wc2demolitionsquadTargeting</t>
        </is>
      </c>
      <c r="C361" s="7" t="inlineStr">
        <is>
          <t>Armament</t>
        </is>
      </c>
      <c r="L361" s="6" t="n"/>
      <c r="M361" s="6" t="n"/>
      <c r="N361" s="6" t="n">
        <v>1</v>
      </c>
      <c r="O361" s="6" t="n"/>
      <c r="P361" s="6" t="n">
        <v>1536</v>
      </c>
      <c r="Q361" s="6" t="n">
        <v>1</v>
      </c>
      <c r="R361">
        <f>M361+IF(N361&gt;1,N(O361)*(N361-1),0)</f>
        <v/>
      </c>
      <c r="S361">
        <f>IFERROR(L361*MAX(N361,1)/R361*IF(ISBLANK(K360),1,K360),0)</f>
        <v/>
      </c>
      <c r="AB361" s="7" t="inlineStr"/>
    </row>
    <row r="362">
      <c r="B362" s="7" t="inlineStr">
        <is>
          <t xml:space="preserve">  ↳ wc2demolitionsquadMelee</t>
        </is>
      </c>
      <c r="C362" s="7" t="inlineStr">
        <is>
          <t>Armament@Melee</t>
        </is>
      </c>
      <c r="L362" s="6" t="n">
        <v>12000</v>
      </c>
      <c r="M362" s="6" t="n">
        <v>15</v>
      </c>
      <c r="N362" s="6" t="n">
        <v>1</v>
      </c>
      <c r="O362" s="6" t="n"/>
      <c r="P362" s="6" t="n">
        <v>1333</v>
      </c>
      <c r="Q362" s="6" t="n">
        <v>1</v>
      </c>
      <c r="R362">
        <f>M362+IF(N362&gt;1,N(O362)*(N362-1),0)</f>
        <v/>
      </c>
      <c r="S362">
        <f>IFERROR(L362*MAX(N362,1)/R362*IF(ISBLANK(K360),1,K360),0)</f>
        <v/>
      </c>
      <c r="AB362" s="7" t="inlineStr">
        <is>
          <t>^Warhead_Melee_Medium</t>
        </is>
      </c>
    </row>
    <row r="363">
      <c r="A363" t="inlineStr">
        <is>
          <t>warcraft2</t>
        </is>
      </c>
      <c r="B363" t="inlineStr">
        <is>
          <t>wc2_orcs_ogre</t>
        </is>
      </c>
      <c r="C363" t="inlineStr">
        <is>
          <t>Ogre</t>
        </is>
      </c>
      <c r="D363" s="6" t="inlineStr">
        <is>
          <t>LineBreaker</t>
        </is>
      </c>
      <c r="E363" s="6" t="n">
        <v>200000</v>
      </c>
      <c r="F363" s="6" t="n">
        <v>85</v>
      </c>
      <c r="G363" t="inlineStr">
        <is>
          <t>Superheavy</t>
        </is>
      </c>
      <c r="H363" s="6" t="n">
        <v>0.75</v>
      </c>
      <c r="I363" s="6" t="n">
        <v>1</v>
      </c>
      <c r="J363" s="6" t="n">
        <v>1</v>
      </c>
      <c r="K363" s="6" t="n"/>
      <c r="P363">
        <f>MAX(P364,P365,P366,P367)</f>
        <v/>
      </c>
      <c r="S363">
        <f>S364+S365+S366+S367</f>
        <v/>
      </c>
      <c r="T363">
        <f>(E363/100000+F363/100+(P363/1000)*J363/5+S363/200)*200*I363*H363</f>
        <v/>
      </c>
      <c r="U363">
        <f>((E363*F363/25000)+((P363/1000)*J363*S363/2.5))*I363*H363</f>
        <v/>
      </c>
      <c r="V363">
        <f>(E363*F363*(P363/1000)*J363*S363*I363*H363)/12500000</f>
        <v/>
      </c>
      <c r="W363">
        <f>(((E363/240000)+(F363/95)+(S363/600)+((P363/5500)*J363))*800/4+(((E363/240000)*(F363/95))+(((P363/5500)*J363)*(S363/600)))*800/2+((E363/240000)*(F363/95)*((P363/5500)*J363)*(S363/600))*800)*(H363/1.0)/3</f>
        <v/>
      </c>
      <c r="X363" s="6" t="n">
        <v>1800</v>
      </c>
      <c r="Y363">
        <f>IFERROR(W363-X363,"")</f>
        <v/>
      </c>
      <c r="Z363">
        <f>IFERROR(ABS(Y363)/MAX(X363,1),"")</f>
        <v/>
      </c>
      <c r="AA363">
        <f>IFERROR(ROUND(((3*X363-(((E363/240000)+(F363/95)+(S363/600))*800/4+((E363/240000)*(F363/95))*800/2)*(H363/1.0))/(800/4+((S363/600))*800/2+((E363/240000)*(F363/95)*(S363/600))*800)*(H363/1.0)*5500)/J363,-1),"")</f>
        <v/>
      </c>
    </row>
    <row r="364">
      <c r="B364" s="7" t="inlineStr">
        <is>
          <t xml:space="preserve">  ↳ wc2ogrepunch</t>
        </is>
      </c>
      <c r="C364" s="7" t="inlineStr">
        <is>
          <t>Armament</t>
        </is>
      </c>
      <c r="L364" s="6" t="n">
        <v>30000</v>
      </c>
      <c r="M364" s="6" t="n">
        <v>20</v>
      </c>
      <c r="N364" s="6" t="n">
        <v>1</v>
      </c>
      <c r="O364" s="6" t="n"/>
      <c r="P364" s="6" t="n">
        <v>1660</v>
      </c>
      <c r="Q364" s="6" t="n">
        <v>1</v>
      </c>
      <c r="R364">
        <f>M364+IF(N364&gt;1,N(O364)*(N364-1),0)</f>
        <v/>
      </c>
      <c r="S364">
        <f>IFERROR(L364*MAX(N364,1)/R364*IF(ISBLANK(K363),1,K363),0)</f>
        <v/>
      </c>
      <c r="AB364" s="7" t="inlineStr">
        <is>
          <t>^Warhead_Melee_Medium</t>
        </is>
      </c>
    </row>
    <row r="365">
      <c r="B365" s="7" t="inlineStr">
        <is>
          <t xml:space="preserve">  ↳ wc2ogremageEyeOfKilrogg</t>
        </is>
      </c>
      <c r="C365" s="7" t="inlineStr">
        <is>
          <t>Armament@EYEOFKILROGG</t>
        </is>
      </c>
      <c r="L365" s="6" t="n">
        <v>0</v>
      </c>
      <c r="M365" s="6" t="n">
        <v>60</v>
      </c>
      <c r="N365" s="6" t="n">
        <v>1</v>
      </c>
      <c r="O365" s="6" t="n"/>
      <c r="P365" s="6" t="n">
        <v>5120</v>
      </c>
      <c r="Q365" s="6" t="n">
        <v>1</v>
      </c>
      <c r="R365">
        <f>M365+IF(N365&gt;1,N(O365)*(N365-1),0)</f>
        <v/>
      </c>
      <c r="S365">
        <f>IFERROR(L365*MAX(N365,1)/R365*IF(ISBLANK(K363),1,K363),0)</f>
        <v/>
      </c>
      <c r="AB365" s="7" t="inlineStr"/>
    </row>
    <row r="366">
      <c r="B366" s="7" t="inlineStr">
        <is>
          <t xml:space="preserve">  ↳ wc2ogremageBloodlust</t>
        </is>
      </c>
      <c r="C366" s="7" t="inlineStr">
        <is>
          <t>Armament@BLOODLUST</t>
        </is>
      </c>
      <c r="L366" s="6" t="n">
        <v>1</v>
      </c>
      <c r="M366" s="6" t="n">
        <v>60</v>
      </c>
      <c r="N366" s="6" t="n">
        <v>1</v>
      </c>
      <c r="O366" s="6" t="n"/>
      <c r="P366" s="6" t="n">
        <v>5120</v>
      </c>
      <c r="Q366" s="6" t="n">
        <v>1</v>
      </c>
      <c r="R366">
        <f>M366+IF(N366&gt;1,N(O366)*(N366-1),0)</f>
        <v/>
      </c>
      <c r="S366">
        <f>IFERROR(L366*MAX(N366,1)/R366*IF(ISBLANK(K363),1,K363),0)</f>
        <v/>
      </c>
      <c r="AB366" s="7" t="inlineStr"/>
    </row>
    <row r="367">
      <c r="B367" s="7" t="inlineStr">
        <is>
          <t xml:space="preserve">  ↳ wc2ogremageRunes</t>
        </is>
      </c>
      <c r="C367" s="7" t="inlineStr">
        <is>
          <t>Armament@RUNES</t>
        </is>
      </c>
      <c r="L367" s="6" t="n">
        <v>0</v>
      </c>
      <c r="M367" s="6" t="n">
        <v>60</v>
      </c>
      <c r="N367" s="6" t="n">
        <v>1</v>
      </c>
      <c r="O367" s="6" t="n"/>
      <c r="P367" s="6" t="n">
        <v>5120</v>
      </c>
      <c r="Q367" s="6" t="n">
        <v>1</v>
      </c>
      <c r="R367">
        <f>M367+IF(N367&gt;1,N(O367)*(N367-1),0)</f>
        <v/>
      </c>
      <c r="S367">
        <f>IFERROR(L367*MAX(N367,1)/R367*IF(ISBLANK(K363),1,K363),0)</f>
        <v/>
      </c>
      <c r="AB367" s="7" t="inlineStr"/>
    </row>
    <row r="368">
      <c r="A368" t="inlineStr">
        <is>
          <t>warcraft2</t>
        </is>
      </c>
      <c r="B368" t="inlineStr">
        <is>
          <t>wc2_orcs_ogremage</t>
        </is>
      </c>
      <c r="C368" t="inlineStr">
        <is>
          <t>Ogre-Mage</t>
        </is>
      </c>
      <c r="D368" s="6" t="inlineStr">
        <is>
          <t>LineBreaker</t>
        </is>
      </c>
      <c r="E368" s="6" t="n">
        <v>200000</v>
      </c>
      <c r="F368" s="6" t="n">
        <v>85</v>
      </c>
      <c r="G368" t="inlineStr">
        <is>
          <t>Superheavy</t>
        </is>
      </c>
      <c r="H368" s="6" t="n">
        <v>0.9429</v>
      </c>
      <c r="I368" s="6" t="n">
        <v>1</v>
      </c>
      <c r="J368" s="6" t="n">
        <v>1</v>
      </c>
      <c r="K368" s="6" t="n"/>
      <c r="P368">
        <f>MAX(P369,P370,P371,P372)</f>
        <v/>
      </c>
      <c r="S368">
        <f>S369+S370+S371+S372</f>
        <v/>
      </c>
      <c r="T368">
        <f>(E368/100000+F368/100+(P368/1000)*J368/5+S368/200)*200*I368*H368</f>
        <v/>
      </c>
      <c r="U368">
        <f>((E368*F368/25000)+((P368/1000)*J368*S368/2.5))*I368*H368</f>
        <v/>
      </c>
      <c r="V368">
        <f>(E368*F368*(P368/1000)*J368*S368*I368*H368)/12500000</f>
        <v/>
      </c>
      <c r="W368">
        <f>(((E368/750000)+(F368/80)+(S368/1600)+((P368/2500)*J368))*1600/4+(((E368/750000)*(F368/80))+(((P368/2500)*J368)*(S368/1600)))*1600/2+((E368/750000)*(F368/80)*((P368/2500)*J368)*(S368/1600))*1600)*(H368/1.0)/3</f>
        <v/>
      </c>
      <c r="X368" s="6" t="n">
        <v>1800</v>
      </c>
      <c r="Y368">
        <f>IFERROR(W368-X368,"")</f>
        <v/>
      </c>
      <c r="Z368">
        <f>IFERROR(ABS(Y368)/MAX(X368,1),"")</f>
        <v/>
      </c>
      <c r="AA368">
        <f>IFERROR(ROUND(((3*X368-(((E368/750000)+(F368/80)+(S368/1600))*1600/4+((E368/750000)*(F368/80))*1600/2)*(H368/1.0))/(1600/4+((S368/1600))*1600/2+((E368/750000)*(F368/80)*(S368/1600))*1600)*(H368/1.0)*2500)/J368,-1),"")</f>
        <v/>
      </c>
    </row>
    <row r="369">
      <c r="B369" s="7" t="inlineStr">
        <is>
          <t xml:space="preserve">  ↳ wc2ogrepunch</t>
        </is>
      </c>
      <c r="C369" s="7" t="inlineStr">
        <is>
          <t>Armament</t>
        </is>
      </c>
      <c r="L369" s="6" t="n">
        <v>30000</v>
      </c>
      <c r="M369" s="6" t="n">
        <v>20</v>
      </c>
      <c r="N369" s="6" t="n">
        <v>1</v>
      </c>
      <c r="O369" s="6" t="n"/>
      <c r="P369" s="6" t="n">
        <v>1660</v>
      </c>
      <c r="Q369" s="6" t="n">
        <v>1</v>
      </c>
      <c r="R369">
        <f>M369+IF(N369&gt;1,N(O369)*(N369-1),0)</f>
        <v/>
      </c>
      <c r="S369">
        <f>IFERROR(L369*MAX(N369,1)/R369*IF(ISBLANK(K368),1,K368),0)</f>
        <v/>
      </c>
      <c r="AB369" s="7" t="inlineStr">
        <is>
          <t>^Warhead_Melee_Medium</t>
        </is>
      </c>
    </row>
    <row r="370">
      <c r="B370" s="7" t="inlineStr">
        <is>
          <t xml:space="preserve">  ↳ wc2ogremageEyeOfKilrogg</t>
        </is>
      </c>
      <c r="C370" s="7" t="inlineStr">
        <is>
          <t>Armament@EYEOFKILROGG</t>
        </is>
      </c>
      <c r="L370" s="6" t="n">
        <v>0</v>
      </c>
      <c r="M370" s="6" t="n">
        <v>60</v>
      </c>
      <c r="N370" s="6" t="n">
        <v>1</v>
      </c>
      <c r="O370" s="6" t="n"/>
      <c r="P370" s="6" t="n">
        <v>5120</v>
      </c>
      <c r="Q370" s="6" t="n">
        <v>1</v>
      </c>
      <c r="R370">
        <f>M370+IF(N370&gt;1,N(O370)*(N370-1),0)</f>
        <v/>
      </c>
      <c r="S370">
        <f>IFERROR(L370*MAX(N370,1)/R370*IF(ISBLANK(K368),1,K368),0)</f>
        <v/>
      </c>
      <c r="AB370" s="7" t="inlineStr"/>
    </row>
    <row r="371">
      <c r="B371" s="7" t="inlineStr">
        <is>
          <t xml:space="preserve">  ↳ wc2ogremageBloodlust</t>
        </is>
      </c>
      <c r="C371" s="7" t="inlineStr">
        <is>
          <t>Armament@BLOODLUST</t>
        </is>
      </c>
      <c r="L371" s="6" t="n">
        <v>1</v>
      </c>
      <c r="M371" s="6" t="n">
        <v>60</v>
      </c>
      <c r="N371" s="6" t="n">
        <v>1</v>
      </c>
      <c r="O371" s="6" t="n"/>
      <c r="P371" s="6" t="n">
        <v>5120</v>
      </c>
      <c r="Q371" s="6" t="n">
        <v>1</v>
      </c>
      <c r="R371">
        <f>M371+IF(N371&gt;1,N(O371)*(N371-1),0)</f>
        <v/>
      </c>
      <c r="S371">
        <f>IFERROR(L371*MAX(N371,1)/R371*IF(ISBLANK(K368),1,K368),0)</f>
        <v/>
      </c>
      <c r="AB371" s="7" t="inlineStr"/>
    </row>
    <row r="372">
      <c r="B372" s="7" t="inlineStr">
        <is>
          <t xml:space="preserve">  ↳ wc2ogremageRunes</t>
        </is>
      </c>
      <c r="C372" s="7" t="inlineStr">
        <is>
          <t>Armament@RUNES</t>
        </is>
      </c>
      <c r="L372" s="6" t="n">
        <v>0</v>
      </c>
      <c r="M372" s="6" t="n">
        <v>60</v>
      </c>
      <c r="N372" s="6" t="n">
        <v>1</v>
      </c>
      <c r="O372" s="6" t="n"/>
      <c r="P372" s="6" t="n">
        <v>5120</v>
      </c>
      <c r="Q372" s="6" t="n">
        <v>1</v>
      </c>
      <c r="R372">
        <f>M372+IF(N372&gt;1,N(O372)*(N372-1),0)</f>
        <v/>
      </c>
      <c r="S372">
        <f>IFERROR(L372*MAX(N372,1)/R372*IF(ISBLANK(K368),1,K368),0)</f>
        <v/>
      </c>
      <c r="AB372" s="7" t="inlineStr"/>
    </row>
    <row r="373">
      <c r="A373" t="inlineStr">
        <is>
          <t>warcraft2</t>
        </is>
      </c>
      <c r="B373" t="inlineStr">
        <is>
          <t>wc2_humans_demolitionsquad</t>
        </is>
      </c>
      <c r="C373" t="inlineStr">
        <is>
          <t>Demolition Squad</t>
        </is>
      </c>
      <c r="D373" s="6" t="inlineStr">
        <is>
          <t>LineBreaker</t>
        </is>
      </c>
      <c r="E373" s="6" t="n">
        <v>40000</v>
      </c>
      <c r="F373" s="6" t="n">
        <v>80</v>
      </c>
      <c r="G373" t="inlineStr">
        <is>
          <t>Superheavy</t>
        </is>
      </c>
      <c r="H373" s="6" t="n">
        <v>1</v>
      </c>
      <c r="I373" s="6" t="n">
        <v>1</v>
      </c>
      <c r="J373" s="6" t="n">
        <v>1</v>
      </c>
      <c r="K373" s="6" t="n"/>
      <c r="P373">
        <f>MAX(P375)</f>
        <v/>
      </c>
      <c r="S373">
        <f>S375</f>
        <v/>
      </c>
      <c r="T373">
        <f>(E373/100000+F373/100+(P373/1000)*J373/5+S373/200)*200*I373*H373</f>
        <v/>
      </c>
      <c r="U373">
        <f>((E373*F373/25000)+((P373/1000)*J373*S373/2.5))*I373*H373</f>
        <v/>
      </c>
      <c r="V373">
        <f>(E373*F373*(P373/1000)*J373*S373*I373*H373)/12500000</f>
        <v/>
      </c>
      <c r="W373">
        <f>(((E373/750000)+(F373/80)+(S373/1600)+((P373/2500)*J373))*1600/4+(((E373/750000)*(F373/80))+(((P373/2500)*J373)*(S373/1600)))*1600/2+((E373/750000)*(F373/80)*((P373/2500)*J373)*(S373/1600))*1600)*(H373/1.0)/3</f>
        <v/>
      </c>
      <c r="X373" s="6" t="n">
        <v>800</v>
      </c>
      <c r="Y373">
        <f>IFERROR(W373-X373,"")</f>
        <v/>
      </c>
      <c r="Z373">
        <f>IFERROR(ABS(Y373)/MAX(X373,1),"")</f>
        <v/>
      </c>
      <c r="AA373">
        <f>IFERROR(ROUND(((3*X373-(((E373/750000)+(F373/80)+(S373/1600))*1600/4+((E373/750000)*(F373/80))*1600/2)*(H373/1.0))/(1600/4+((S373/1600))*1600/2+((E373/750000)*(F373/80)*(S373/1600))*1600)*(H373/1.0)*2500)/J373,-1),"")</f>
        <v/>
      </c>
    </row>
    <row r="374">
      <c r="B374" s="7" t="inlineStr">
        <is>
          <t xml:space="preserve">  ↳ wc2demolitionsquadTargeting</t>
        </is>
      </c>
      <c r="C374" s="7" t="inlineStr">
        <is>
          <t>Armament</t>
        </is>
      </c>
      <c r="L374" s="6" t="n"/>
      <c r="M374" s="6" t="n"/>
      <c r="N374" s="6" t="n">
        <v>1</v>
      </c>
      <c r="O374" s="6" t="n"/>
      <c r="P374" s="6" t="n">
        <v>1536</v>
      </c>
      <c r="Q374" s="6" t="n">
        <v>1</v>
      </c>
      <c r="R374">
        <f>M374+IF(N374&gt;1,N(O374)*(N374-1),0)</f>
        <v/>
      </c>
      <c r="S374">
        <f>IFERROR(L374*MAX(N374,1)/R374*IF(ISBLANK(K373),1,K373),0)</f>
        <v/>
      </c>
      <c r="AB374" s="7" t="inlineStr"/>
    </row>
    <row r="375">
      <c r="B375" s="7" t="inlineStr">
        <is>
          <t xml:space="preserve">  ↳ wc2demolitionsquadMelee</t>
        </is>
      </c>
      <c r="C375" s="7" t="inlineStr">
        <is>
          <t>Armament@Melee</t>
        </is>
      </c>
      <c r="L375" s="6" t="n">
        <v>12000</v>
      </c>
      <c r="M375" s="6" t="n">
        <v>15</v>
      </c>
      <c r="N375" s="6" t="n">
        <v>1</v>
      </c>
      <c r="O375" s="6" t="n"/>
      <c r="P375" s="6" t="n">
        <v>1333</v>
      </c>
      <c r="Q375" s="6" t="n">
        <v>1</v>
      </c>
      <c r="R375">
        <f>M375+IF(N375&gt;1,N(O375)*(N375-1),0)</f>
        <v/>
      </c>
      <c r="S375">
        <f>IFERROR(L375*MAX(N375,1)/R375*IF(ISBLANK(K373),1,K373),0)</f>
        <v/>
      </c>
      <c r="AB375" s="7" t="inlineStr">
        <is>
          <t>^Warhead_Melee_Medium</t>
        </is>
      </c>
    </row>
    <row r="376">
      <c r="A376" t="inlineStr">
        <is>
          <t>warcraft2</t>
        </is>
      </c>
      <c r="B376" t="inlineStr">
        <is>
          <t>wc2_humans_knight</t>
        </is>
      </c>
      <c r="C376" t="inlineStr">
        <is>
          <t>Knight</t>
        </is>
      </c>
      <c r="D376" s="6" t="inlineStr">
        <is>
          <t>LineBreaker</t>
        </is>
      </c>
      <c r="E376" s="6" t="n">
        <v>167500</v>
      </c>
      <c r="F376" s="6" t="n">
        <v>115</v>
      </c>
      <c r="G376" t="inlineStr">
        <is>
          <t>Medium</t>
        </is>
      </c>
      <c r="H376" s="6" t="n">
        <v>0.75</v>
      </c>
      <c r="I376" s="6" t="n">
        <v>1</v>
      </c>
      <c r="J376" s="6" t="n">
        <v>1</v>
      </c>
      <c r="K376" s="6" t="n"/>
      <c r="P376">
        <f>MAX(P377,P378,P379,P380)</f>
        <v/>
      </c>
      <c r="S376">
        <f>S377+S378+S379+S380</f>
        <v/>
      </c>
      <c r="T376">
        <f>(E376/100000+F376/100+(P376/1000)*J376/5+S376/200)*200*I376*H376</f>
        <v/>
      </c>
      <c r="U376">
        <f>((E376*F376/25000)+((P376/1000)*J376*S376/2.5))*I376*H376</f>
        <v/>
      </c>
      <c r="V376">
        <f>(E376*F376*(P376/1000)*J376*S376*I376*H376)/12500000</f>
        <v/>
      </c>
      <c r="W376">
        <f>(((E376/240000)+(F376/95)+(S376/600)+((P376/5500)*J376))*800/4+(((E376/240000)*(F376/95))+(((P376/5500)*J376)*(S376/600)))*800/2+((E376/240000)*(F376/95)*((P376/5500)*J376)*(S376/600))*800)*(H376/1.0)/3</f>
        <v/>
      </c>
      <c r="X376" s="6" t="n">
        <v>1600</v>
      </c>
      <c r="Y376">
        <f>IFERROR(W376-X376,"")</f>
        <v/>
      </c>
      <c r="Z376">
        <f>IFERROR(ABS(Y376)/MAX(X376,1),"")</f>
        <v/>
      </c>
      <c r="AA376">
        <f>IFERROR(ROUND(((3*X376-(((E376/240000)+(F376/95)+(S376/600))*800/4+((E376/240000)*(F376/95))*800/2)*(H376/1.0))/(800/4+((S376/600))*800/2+((E376/240000)*(F376/95)*(S376/600))*800)*(H376/1.0)*5500)/J376,-1),"")</f>
        <v/>
      </c>
    </row>
    <row r="377">
      <c r="B377" s="7" t="inlineStr">
        <is>
          <t xml:space="preserve">  ↳ wc2knightslice</t>
        </is>
      </c>
      <c r="C377" s="7" t="inlineStr">
        <is>
          <t>Armament</t>
        </is>
      </c>
      <c r="L377" s="6" t="n">
        <v>16000</v>
      </c>
      <c r="M377" s="6" t="n">
        <v>12</v>
      </c>
      <c r="N377" s="6" t="n">
        <v>1</v>
      </c>
      <c r="O377" s="6" t="n"/>
      <c r="P377" s="6" t="n">
        <v>1420</v>
      </c>
      <c r="Q377" s="6" t="n">
        <v>1</v>
      </c>
      <c r="R377">
        <f>M377+IF(N377&gt;1,N(O377)*(N377-1),0)</f>
        <v/>
      </c>
      <c r="S377">
        <f>IFERROR(L377*MAX(N377,1)/R377*IF(ISBLANK(K376),1,K376),0)</f>
        <v/>
      </c>
      <c r="AB377" s="7" t="inlineStr">
        <is>
          <t>^Warhead_Melee_Medium</t>
        </is>
      </c>
    </row>
    <row r="378">
      <c r="B378" s="7" t="inlineStr">
        <is>
          <t xml:space="preserve">  ↳ wc2paladinholyvision</t>
        </is>
      </c>
      <c r="C378" s="7" t="inlineStr">
        <is>
          <t>Armament@HOLYVISION</t>
        </is>
      </c>
      <c r="L378" s="6" t="n">
        <v>0</v>
      </c>
      <c r="M378" s="6" t="n">
        <v>60</v>
      </c>
      <c r="N378" s="6" t="n">
        <v>1</v>
      </c>
      <c r="O378" s="6" t="n"/>
      <c r="P378" s="6" t="n">
        <v>512000</v>
      </c>
      <c r="Q378" s="6" t="n">
        <v>1</v>
      </c>
      <c r="R378">
        <f>M378+IF(N378&gt;1,N(O378)*(N378-1),0)</f>
        <v/>
      </c>
      <c r="S378">
        <f>IFERROR(L378*MAX(N378,1)/R378*IF(ISBLANK(K376),1,K376),0)</f>
        <v/>
      </c>
      <c r="AB378" s="7" t="inlineStr"/>
    </row>
    <row r="379">
      <c r="B379" s="7" t="inlineStr">
        <is>
          <t xml:space="preserve">  ↳ wc2paladinhealing</t>
        </is>
      </c>
      <c r="C379" s="7" t="inlineStr">
        <is>
          <t>Armament@HEAL</t>
        </is>
      </c>
      <c r="L379" s="6" t="n">
        <v>-4025</v>
      </c>
      <c r="M379" s="6" t="n">
        <v>60</v>
      </c>
      <c r="N379" s="6" t="n">
        <v>1</v>
      </c>
      <c r="O379" s="6" t="n"/>
      <c r="P379" s="6" t="n">
        <v>5120</v>
      </c>
      <c r="Q379" s="6" t="n">
        <v>1</v>
      </c>
      <c r="R379">
        <f>M379+IF(N379&gt;1,N(O379)*(N379-1),0)</f>
        <v/>
      </c>
      <c r="S379">
        <f>IFERROR(L379*MAX(N379,1)/R379*IF(ISBLANK(K376),1,K376),0)</f>
        <v/>
      </c>
      <c r="AB379" s="7" t="inlineStr"/>
    </row>
    <row r="380">
      <c r="B380" s="7" t="inlineStr">
        <is>
          <t xml:space="preserve">  ↳ wc2paladinexorcism</t>
        </is>
      </c>
      <c r="C380" s="7" t="inlineStr">
        <is>
          <t>Armament@EXORCISM</t>
        </is>
      </c>
      <c r="L380" s="6" t="n">
        <v>4025</v>
      </c>
      <c r="M380" s="6" t="n">
        <v>60</v>
      </c>
      <c r="N380" s="6" t="n">
        <v>1</v>
      </c>
      <c r="O380" s="6" t="n"/>
      <c r="P380" s="6" t="n">
        <v>5120</v>
      </c>
      <c r="Q380" s="6" t="n">
        <v>1</v>
      </c>
      <c r="R380">
        <f>M380+IF(N380&gt;1,N(O380)*(N380-1),0)</f>
        <v/>
      </c>
      <c r="S380">
        <f>IFERROR(L380*MAX(N380,1)/R380*IF(ISBLANK(K376),1,K376),0)</f>
        <v/>
      </c>
      <c r="AB380" s="7" t="inlineStr"/>
    </row>
    <row r="381">
      <c r="A381" t="inlineStr">
        <is>
          <t>warcraft2</t>
        </is>
      </c>
      <c r="B381" t="inlineStr">
        <is>
          <t>wc2_humans_paladin</t>
        </is>
      </c>
      <c r="C381" t="inlineStr">
        <is>
          <t>Paladin</t>
        </is>
      </c>
      <c r="D381" s="6" t="inlineStr">
        <is>
          <t>LineBreaker</t>
        </is>
      </c>
      <c r="E381" s="6" t="n">
        <v>167500</v>
      </c>
      <c r="F381" s="6" t="n">
        <v>115</v>
      </c>
      <c r="G381" t="inlineStr">
        <is>
          <t>Medium</t>
        </is>
      </c>
      <c r="H381" s="6" t="n">
        <v>0.9429</v>
      </c>
      <c r="I381" s="6" t="n">
        <v>1</v>
      </c>
      <c r="J381" s="6" t="n">
        <v>1</v>
      </c>
      <c r="K381" s="6" t="n"/>
      <c r="P381">
        <f>MAX(P382,P383,P384,P385)</f>
        <v/>
      </c>
      <c r="S381">
        <f>S382+S383+S384+S385</f>
        <v/>
      </c>
      <c r="T381">
        <f>(E381/100000+F381/100+(P381/1000)*J381/5+S381/200)*200*I381*H381</f>
        <v/>
      </c>
      <c r="U381">
        <f>((E381*F381/25000)+((P381/1000)*J381*S381/2.5))*I381*H381</f>
        <v/>
      </c>
      <c r="V381">
        <f>(E381*F381*(P381/1000)*J381*S381*I381*H381)/12500000</f>
        <v/>
      </c>
      <c r="W381">
        <f>(((E381/750000)+(F381/80)+(S381/1600)+((P381/2500)*J381))*1600/4+(((E381/750000)*(F381/80))+(((P381/2500)*J381)*(S381/1600)))*1600/2+((E381/750000)*(F381/80)*((P381/2500)*J381)*(S381/1600))*1600)*(H381/1.0)/3</f>
        <v/>
      </c>
      <c r="X381" s="6" t="n">
        <v>1600</v>
      </c>
      <c r="Y381">
        <f>IFERROR(W381-X381,"")</f>
        <v/>
      </c>
      <c r="Z381">
        <f>IFERROR(ABS(Y381)/MAX(X381,1),"")</f>
        <v/>
      </c>
      <c r="AA381">
        <f>IFERROR(ROUND(((3*X381-(((E381/750000)+(F381/80)+(S381/1600))*1600/4+((E381/750000)*(F381/80))*1600/2)*(H381/1.0))/(1600/4+((S381/1600))*1600/2+((E381/750000)*(F381/80)*(S381/1600))*1600)*(H381/1.0)*2500)/J381,-1),"")</f>
        <v/>
      </c>
    </row>
    <row r="382">
      <c r="B382" s="7" t="inlineStr">
        <is>
          <t xml:space="preserve">  ↳ wc2knightslice</t>
        </is>
      </c>
      <c r="C382" s="7" t="inlineStr">
        <is>
          <t>Armament</t>
        </is>
      </c>
      <c r="L382" s="6" t="n">
        <v>16000</v>
      </c>
      <c r="M382" s="6" t="n">
        <v>12</v>
      </c>
      <c r="N382" s="6" t="n">
        <v>1</v>
      </c>
      <c r="O382" s="6" t="n"/>
      <c r="P382" s="6" t="n">
        <v>1420</v>
      </c>
      <c r="Q382" s="6" t="n">
        <v>1</v>
      </c>
      <c r="R382">
        <f>M382+IF(N382&gt;1,N(O382)*(N382-1),0)</f>
        <v/>
      </c>
      <c r="S382">
        <f>IFERROR(L382*MAX(N382,1)/R382*IF(ISBLANK(K381),1,K381),0)</f>
        <v/>
      </c>
      <c r="AB382" s="7" t="inlineStr">
        <is>
          <t>^Warhead_Melee_Medium</t>
        </is>
      </c>
    </row>
    <row r="383">
      <c r="B383" s="7" t="inlineStr">
        <is>
          <t xml:space="preserve">  ↳ wc2paladinholyvision</t>
        </is>
      </c>
      <c r="C383" s="7" t="inlineStr">
        <is>
          <t>Armament@HOLYVISION</t>
        </is>
      </c>
      <c r="L383" s="6" t="n">
        <v>0</v>
      </c>
      <c r="M383" s="6" t="n">
        <v>60</v>
      </c>
      <c r="N383" s="6" t="n">
        <v>1</v>
      </c>
      <c r="O383" s="6" t="n"/>
      <c r="P383" s="6" t="n">
        <v>512000</v>
      </c>
      <c r="Q383" s="6" t="n">
        <v>1</v>
      </c>
      <c r="R383">
        <f>M383+IF(N383&gt;1,N(O383)*(N383-1),0)</f>
        <v/>
      </c>
      <c r="S383">
        <f>IFERROR(L383*MAX(N383,1)/R383*IF(ISBLANK(K381),1,K381),0)</f>
        <v/>
      </c>
      <c r="AB383" s="7" t="inlineStr"/>
    </row>
    <row r="384">
      <c r="B384" s="7" t="inlineStr">
        <is>
          <t xml:space="preserve">  ↳ wc2paladinhealing</t>
        </is>
      </c>
      <c r="C384" s="7" t="inlineStr">
        <is>
          <t>Armament@HEAL</t>
        </is>
      </c>
      <c r="L384" s="6" t="n">
        <v>-4025</v>
      </c>
      <c r="M384" s="6" t="n">
        <v>60</v>
      </c>
      <c r="N384" s="6" t="n">
        <v>1</v>
      </c>
      <c r="O384" s="6" t="n"/>
      <c r="P384" s="6" t="n">
        <v>5120</v>
      </c>
      <c r="Q384" s="6" t="n">
        <v>1</v>
      </c>
      <c r="R384">
        <f>M384+IF(N384&gt;1,N(O384)*(N384-1),0)</f>
        <v/>
      </c>
      <c r="S384">
        <f>IFERROR(L384*MAX(N384,1)/R384*IF(ISBLANK(K381),1,K381),0)</f>
        <v/>
      </c>
      <c r="AB384" s="7" t="inlineStr"/>
    </row>
    <row r="385">
      <c r="B385" s="7" t="inlineStr">
        <is>
          <t xml:space="preserve">  ↳ wc2paladinexorcism</t>
        </is>
      </c>
      <c r="C385" s="7" t="inlineStr">
        <is>
          <t>Armament@EXORCISM</t>
        </is>
      </c>
      <c r="L385" s="6" t="n">
        <v>4025</v>
      </c>
      <c r="M385" s="6" t="n">
        <v>60</v>
      </c>
      <c r="N385" s="6" t="n">
        <v>1</v>
      </c>
      <c r="O385" s="6" t="n"/>
      <c r="P385" s="6" t="n">
        <v>5120</v>
      </c>
      <c r="Q385" s="6" t="n">
        <v>1</v>
      </c>
      <c r="R385">
        <f>M385+IF(N385&gt;1,N(O385)*(N385-1),0)</f>
        <v/>
      </c>
      <c r="S385">
        <f>IFERROR(L385*MAX(N385,1)/R385*IF(ISBLANK(K381),1,K381),0)</f>
        <v/>
      </c>
      <c r="AB385" s="7" t="inlineStr"/>
    </row>
    <row r="386">
      <c r="A386" t="inlineStr">
        <is>
          <t>warcraft2</t>
        </is>
      </c>
      <c r="B386" t="inlineStr">
        <is>
          <t>wc2_humans_warcraft3knight</t>
        </is>
      </c>
      <c r="C386" t="inlineStr">
        <is>
          <t>Warcraft 3 Knight</t>
        </is>
      </c>
      <c r="D386" s="6" t="inlineStr">
        <is>
          <t>LineBreaker</t>
        </is>
      </c>
      <c r="E386" s="6" t="n">
        <v>180000</v>
      </c>
      <c r="F386" s="6" t="n">
        <v>120</v>
      </c>
      <c r="G386" t="inlineStr">
        <is>
          <t>Superheavy</t>
        </is>
      </c>
      <c r="H386" s="6" t="n">
        <v>1</v>
      </c>
      <c r="I386" s="6" t="n">
        <v>1</v>
      </c>
      <c r="J386" s="6" t="n">
        <v>1</v>
      </c>
      <c r="K386" s="6" t="n"/>
      <c r="P386">
        <f>MAX(P387,P388,P389,P390)</f>
        <v/>
      </c>
      <c r="S386">
        <f>S387+S388+S389+S390</f>
        <v/>
      </c>
      <c r="T386">
        <f>(E386/100000+F386/100+(P386/1000)*J386/5+S386/200)*200*I386*H386</f>
        <v/>
      </c>
      <c r="U386">
        <f>((E386*F386/25000)+((P386/1000)*J386*S386/2.5))*I386*H386</f>
        <v/>
      </c>
      <c r="V386">
        <f>(E386*F386*(P386/1000)*J386*S386*I386*H386)/12500000</f>
        <v/>
      </c>
      <c r="W386">
        <f>(((E386/750000)+(F386/80)+(S386/1600)+((P386/2500)*J386))*1600/4+(((E386/750000)*(F386/80))+(((P386/2500)*J386)*(S386/1600)))*1600/2+((E386/750000)*(F386/80)*((P386/2500)*J386)*(S386/1600))*1600)*(H386/1.0)/3</f>
        <v/>
      </c>
      <c r="X386" s="6" t="n">
        <v>2200</v>
      </c>
      <c r="Y386">
        <f>IFERROR(W386-X386,"")</f>
        <v/>
      </c>
      <c r="Z386">
        <f>IFERROR(ABS(Y386)/MAX(X386,1),"")</f>
        <v/>
      </c>
      <c r="AA386">
        <f>IFERROR(ROUND(((3*X386-(((E386/750000)+(F386/80)+(S386/1600))*1600/4+((E386/750000)*(F386/80))*1600/2)*(H386/1.0))/(1600/4+((S386/1600))*1600/2+((E386/750000)*(F386/80)*(S386/1600))*1600)*(H386/1.0)*2500)/J386,-1),"")</f>
        <v/>
      </c>
    </row>
    <row r="387">
      <c r="B387" s="7" t="inlineStr">
        <is>
          <t xml:space="preserve">  ↳ wc2knightslice</t>
        </is>
      </c>
      <c r="C387" s="7" t="inlineStr">
        <is>
          <t>Armament</t>
        </is>
      </c>
      <c r="L387" s="6" t="n">
        <v>16000</v>
      </c>
      <c r="M387" s="6" t="n">
        <v>12</v>
      </c>
      <c r="N387" s="6" t="n">
        <v>1</v>
      </c>
      <c r="O387" s="6" t="n"/>
      <c r="P387" s="6" t="n">
        <v>1420</v>
      </c>
      <c r="Q387" s="6" t="n">
        <v>1</v>
      </c>
      <c r="R387">
        <f>M387+IF(N387&gt;1,N(O387)*(N387-1),0)</f>
        <v/>
      </c>
      <c r="S387">
        <f>IFERROR(L387*MAX(N387,1)/R387*IF(ISBLANK(K386),1,K386),0)</f>
        <v/>
      </c>
      <c r="AB387" s="7" t="inlineStr">
        <is>
          <t>^Warhead_Melee_Medium</t>
        </is>
      </c>
    </row>
    <row r="388">
      <c r="B388" s="7" t="inlineStr">
        <is>
          <t xml:space="preserve">  ↳ wc2paladinholyvision</t>
        </is>
      </c>
      <c r="C388" s="7" t="inlineStr">
        <is>
          <t>Armament@HOLYVISION</t>
        </is>
      </c>
      <c r="L388" s="6" t="n">
        <v>0</v>
      </c>
      <c r="M388" s="6" t="n">
        <v>60</v>
      </c>
      <c r="N388" s="6" t="n">
        <v>1</v>
      </c>
      <c r="O388" s="6" t="n"/>
      <c r="P388" s="6" t="n">
        <v>512000</v>
      </c>
      <c r="Q388" s="6" t="n">
        <v>1</v>
      </c>
      <c r="R388">
        <f>M388+IF(N388&gt;1,N(O388)*(N388-1),0)</f>
        <v/>
      </c>
      <c r="S388">
        <f>IFERROR(L388*MAX(N388,1)/R388*IF(ISBLANK(K386),1,K386),0)</f>
        <v/>
      </c>
      <c r="AB388" s="7" t="inlineStr"/>
    </row>
    <row r="389">
      <c r="B389" s="7" t="inlineStr">
        <is>
          <t xml:space="preserve">  ↳ wc2paladinhealing</t>
        </is>
      </c>
      <c r="C389" s="7" t="inlineStr">
        <is>
          <t>Armament@HEAL</t>
        </is>
      </c>
      <c r="L389" s="6" t="n">
        <v>-4025</v>
      </c>
      <c r="M389" s="6" t="n">
        <v>60</v>
      </c>
      <c r="N389" s="6" t="n">
        <v>1</v>
      </c>
      <c r="O389" s="6" t="n"/>
      <c r="P389" s="6" t="n">
        <v>5120</v>
      </c>
      <c r="Q389" s="6" t="n">
        <v>1</v>
      </c>
      <c r="R389">
        <f>M389+IF(N389&gt;1,N(O389)*(N389-1),0)</f>
        <v/>
      </c>
      <c r="S389">
        <f>IFERROR(L389*MAX(N389,1)/R389*IF(ISBLANK(K386),1,K386),0)</f>
        <v/>
      </c>
      <c r="AB389" s="7" t="inlineStr"/>
    </row>
    <row r="390">
      <c r="B390" s="7" t="inlineStr">
        <is>
          <t xml:space="preserve">  ↳ wc2paladinexorcism</t>
        </is>
      </c>
      <c r="C390" s="7" t="inlineStr">
        <is>
          <t>Armament@EXORCISM</t>
        </is>
      </c>
      <c r="L390" s="6" t="n">
        <v>4025</v>
      </c>
      <c r="M390" s="6" t="n">
        <v>60</v>
      </c>
      <c r="N390" s="6" t="n">
        <v>1</v>
      </c>
      <c r="O390" s="6" t="n"/>
      <c r="P390" s="6" t="n">
        <v>5120</v>
      </c>
      <c r="Q390" s="6" t="n">
        <v>1</v>
      </c>
      <c r="R390">
        <f>M390+IF(N390&gt;1,N(O390)*(N390-1),0)</f>
        <v/>
      </c>
      <c r="S390">
        <f>IFERROR(L390*MAX(N390,1)/R390*IF(ISBLANK(K386),1,K386),0)</f>
        <v/>
      </c>
      <c r="AB390" s="7" t="inlineStr"/>
    </row>
    <row r="391">
      <c r="A391" s="4" t="inlineStr">
        <is>
          <t>LightTank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</row>
    <row r="392">
      <c r="A392" t="inlineStr">
        <is>
          <t>tiberiandawn</t>
        </is>
      </c>
      <c r="B392" t="inlineStr">
        <is>
          <t>td_nod_lighttank</t>
        </is>
      </c>
      <c r="C392" t="inlineStr">
        <is>
          <t>Nod Light Tank</t>
        </is>
      </c>
      <c r="D392" s="6" t="inlineStr">
        <is>
          <t>LightTank</t>
        </is>
      </c>
      <c r="E392" s="6" t="n">
        <v>80000</v>
      </c>
      <c r="F392" s="6" t="n">
        <v>110</v>
      </c>
      <c r="G392" t="inlineStr">
        <is>
          <t>Medium</t>
        </is>
      </c>
      <c r="H392" s="6" t="n">
        <v>1</v>
      </c>
      <c r="I392" s="6" t="n">
        <v>1</v>
      </c>
      <c r="J392" s="6" t="n">
        <v>1</v>
      </c>
      <c r="K392" s="6" t="n"/>
      <c r="P392">
        <f>MAX(P393,P394)</f>
        <v/>
      </c>
      <c r="S392">
        <f>S393+S394</f>
        <v/>
      </c>
      <c r="T392">
        <f>(E392/100000+F392/100+(P392/1000)*J392/5+S392/200)*200*I392*H392</f>
        <v/>
      </c>
      <c r="U392">
        <f>((E392*F392/25000)+((P392/1000)*J392*S392/2.5))*I392*H392</f>
        <v/>
      </c>
      <c r="V392">
        <f>(E392*F392*(P392/1000)*J392*S392*I392*H392)/12500000</f>
        <v/>
      </c>
      <c r="W392">
        <f>(((E392/100000)+(F392/125)+(S392/200)+((P392/5000)*J392))*400/4+(((E392/100000)*(F392/125))+(((P392/5000)*J392)*(S392/200)))*400/2+((E392/100000)*(F392/125)*((P392/5000)*J392)*(S392/200))*400)*(H392/1.0)/3</f>
        <v/>
      </c>
      <c r="X392" s="6" t="n">
        <v>600</v>
      </c>
      <c r="Y392">
        <f>IFERROR(W392-X392,"")</f>
        <v/>
      </c>
      <c r="Z392">
        <f>IFERROR(ABS(Y392)/MAX(X392,1),"")</f>
        <v/>
      </c>
      <c r="AA392">
        <f>IFERROR(ROUND(((3*X392-(((E392/100000)+(F392/125)+(S392/200))*400/4+((E392/100000)*(F392/125))*400/2)*(H392/1.0))/(400/4+((S392/200))*400/2+((E392/100000)*(F392/125)*(S392/200))*400)*(H392/1.0)*5000)/J392,-1),"")</f>
        <v/>
      </c>
    </row>
    <row r="393">
      <c r="B393" s="7" t="inlineStr">
        <is>
          <t xml:space="preserve">  ↳ 70mm</t>
        </is>
      </c>
      <c r="C393" s="7" t="inlineStr">
        <is>
          <t>Armament</t>
        </is>
      </c>
      <c r="L393" s="6" t="n">
        <v>6000</v>
      </c>
      <c r="M393" s="6" t="n">
        <v>45</v>
      </c>
      <c r="N393" s="6" t="n">
        <v>1</v>
      </c>
      <c r="O393" s="6" t="n"/>
      <c r="P393" s="6" t="n">
        <v>4993</v>
      </c>
      <c r="Q393" s="6" t="n">
        <v>1</v>
      </c>
      <c r="R393">
        <f>M393+IF(N393&gt;1,N(O393)*(N393-1),0)</f>
        <v/>
      </c>
      <c r="S393">
        <f>IFERROR(L393*MAX(N393,1)/R393*IF(ISBLANK(K392),1,K392),0)</f>
        <v/>
      </c>
      <c r="AB393" s="7" t="inlineStr">
        <is>
          <t>^Warhead_CannonHE_Medium</t>
        </is>
      </c>
    </row>
    <row r="394">
      <c r="B394" s="7" t="inlineStr">
        <is>
          <t xml:space="preserve">  ↳ LTNKMissiles</t>
        </is>
      </c>
      <c r="C394" s="7" t="inlineStr">
        <is>
          <t>Armament@Missile</t>
        </is>
      </c>
      <c r="L394" s="6" t="n">
        <v>6000</v>
      </c>
      <c r="M394" s="6" t="n">
        <v>45</v>
      </c>
      <c r="N394" s="6" t="n">
        <v>1</v>
      </c>
      <c r="O394" s="6" t="n"/>
      <c r="P394" s="6" t="n">
        <v>4993</v>
      </c>
      <c r="Q394" s="6" t="n">
        <v>1</v>
      </c>
      <c r="R394">
        <f>M394+IF(N394&gt;1,N(O394)*(N394-1),0)</f>
        <v/>
      </c>
      <c r="S394">
        <f>IFERROR(L394*MAX(N394,1)/R394*IF(ISBLANK(K392),1,K392),0)</f>
        <v/>
      </c>
      <c r="AB394" s="7" t="inlineStr">
        <is>
          <t>^Warhead_MissileAP_Medium</t>
        </is>
      </c>
    </row>
    <row r="395">
      <c r="A395" t="inlineStr">
        <is>
          <t>tiberiandawn</t>
        </is>
      </c>
      <c r="B395" t="inlineStr">
        <is>
          <t>td_nod_lighttankmkii</t>
        </is>
      </c>
      <c r="C395" t="inlineStr">
        <is>
          <t>Light Tank Mk. II</t>
        </is>
      </c>
      <c r="D395" s="6" t="inlineStr">
        <is>
          <t>LightTank</t>
        </is>
      </c>
      <c r="E395" s="6" t="n">
        <v>80000</v>
      </c>
      <c r="F395" s="6" t="n">
        <v>100</v>
      </c>
      <c r="G395" t="inlineStr">
        <is>
          <t>Medium</t>
        </is>
      </c>
      <c r="H395" s="6" t="n">
        <v>0.9429</v>
      </c>
      <c r="I395" s="6" t="n">
        <v>1</v>
      </c>
      <c r="J395" s="6" t="n">
        <v>1</v>
      </c>
      <c r="K395" s="6" t="n"/>
      <c r="P395">
        <f>MAX(P396,P397,P398)</f>
        <v/>
      </c>
      <c r="S395">
        <f>S396+S397+S398</f>
        <v/>
      </c>
      <c r="T395">
        <f>(E395/100000+F395/100+(P395/1000)*J395/5+S395/200)*200*I395*H395</f>
        <v/>
      </c>
      <c r="U395">
        <f>((E395*F395/25000)+((P395/1000)*J395*S395/2.5))*I395*H395</f>
        <v/>
      </c>
      <c r="V395">
        <f>(E395*F395*(P395/1000)*J395*S395*I395*H395)/12500000</f>
        <v/>
      </c>
      <c r="W395">
        <f>(((E395/100000)+(F395/125)+(S395/200)+((P395/5000)*J395))*400/4+(((E395/100000)*(F395/125))+(((P395/5000)*J395)*(S395/200)))*400/2+((E395/100000)*(F395/125)*((P395/5000)*J395)*(S395/200))*400)*(H395/1.0)/3</f>
        <v/>
      </c>
      <c r="X395" s="6" t="n">
        <v>800</v>
      </c>
      <c r="Y395">
        <f>IFERROR(W395-X395,"")</f>
        <v/>
      </c>
      <c r="Z395">
        <f>IFERROR(ABS(Y395)/MAX(X395,1),"")</f>
        <v/>
      </c>
      <c r="AA395">
        <f>IFERROR(ROUND(((3*X395-(((E395/100000)+(F395/125)+(S395/200))*400/4+((E395/100000)*(F395/125))*400/2)*(H395/1.0))/(400/4+((S395/200))*400/2+((E395/100000)*(F395/125)*(S395/200))*400)*(H395/1.0)*5000)/J395,-1),"")</f>
        <v/>
      </c>
    </row>
    <row r="396">
      <c r="B396" s="7" t="inlineStr">
        <is>
          <t xml:space="preserve">  ↳ PDLaserLTNK2</t>
        </is>
      </c>
      <c r="C396" s="7" t="inlineStr">
        <is>
          <t>Armament@pointdefense</t>
        </is>
      </c>
      <c r="L396" s="6" t="n">
        <v>1</v>
      </c>
      <c r="M396" s="6" t="n">
        <v>25</v>
      </c>
      <c r="N396" s="6" t="n">
        <v>1</v>
      </c>
      <c r="O396" s="6" t="n"/>
      <c r="P396" s="6" t="n">
        <v>4903</v>
      </c>
      <c r="Q396" s="6" t="n">
        <v>1</v>
      </c>
      <c r="R396">
        <f>M396+IF(N396&gt;1,N(O396)*(N396-1),0)</f>
        <v/>
      </c>
      <c r="S396">
        <f>IFERROR(L396*MAX(N396,1)/R396*IF(ISBLANK(K395),1,K395),0)</f>
        <v/>
      </c>
      <c r="AB396" s="7" t="inlineStr">
        <is>
          <t>PDLaser</t>
        </is>
      </c>
    </row>
    <row r="397">
      <c r="B397" s="7" t="inlineStr">
        <is>
          <t xml:space="preserve">  ↳ LightTank2Cannon</t>
        </is>
      </c>
      <c r="C397" s="7" t="inlineStr">
        <is>
          <t>Armament</t>
        </is>
      </c>
      <c r="L397" s="6" t="n">
        <v>8000</v>
      </c>
      <c r="M397" s="6" t="n">
        <v>35</v>
      </c>
      <c r="N397" s="6" t="n">
        <v>1</v>
      </c>
      <c r="O397" s="6" t="n"/>
      <c r="P397" s="6" t="n">
        <v>4903</v>
      </c>
      <c r="Q397" s="6" t="n">
        <v>1</v>
      </c>
      <c r="R397">
        <f>M397+IF(N397&gt;1,N(O397)*(N397-1),0)</f>
        <v/>
      </c>
      <c r="S397">
        <f>IFERROR(L397*MAX(N397,1)/R397*IF(ISBLANK(K395),1,K395),0)</f>
        <v/>
      </c>
      <c r="AB397" s="7" t="inlineStr">
        <is>
          <t>^LightChemicalWeapon, ^MediumCannon</t>
        </is>
      </c>
    </row>
    <row r="398">
      <c r="B398" s="7" t="inlineStr">
        <is>
          <t xml:space="preserve">  ↳ LightTank2Missiles</t>
        </is>
      </c>
      <c r="C398" s="7" t="inlineStr">
        <is>
          <t>Armament@Missile</t>
        </is>
      </c>
      <c r="L398" s="6" t="n">
        <v>8000</v>
      </c>
      <c r="M398" s="6" t="n">
        <v>35</v>
      </c>
      <c r="N398" s="6" t="n">
        <v>1</v>
      </c>
      <c r="O398" s="6" t="n"/>
      <c r="P398" s="6" t="n">
        <v>4903</v>
      </c>
      <c r="Q398" s="6" t="n">
        <v>0.875</v>
      </c>
      <c r="R398">
        <f>M398+IF(N398&gt;1,N(O398)*(N398-1),0)</f>
        <v/>
      </c>
      <c r="S398">
        <f>IFERROR(L398*MAX(N398,1)/R398*IF(ISBLANK(K395),1,K395),0)</f>
        <v/>
      </c>
      <c r="AB398" s="7" t="inlineStr">
        <is>
          <t>^Warhead_Flame_Light, ^Warhead_MissileAP_Medium</t>
        </is>
      </c>
    </row>
    <row r="399">
      <c r="A399" t="inlineStr">
        <is>
          <t>redalert</t>
        </is>
      </c>
      <c r="B399" t="inlineStr">
        <is>
          <t>japan_shrineminitank</t>
        </is>
      </c>
      <c r="C399" t="inlineStr">
        <is>
          <t>Shrine Minitank</t>
        </is>
      </c>
      <c r="D399" s="6" t="inlineStr">
        <is>
          <t>LightTank</t>
        </is>
      </c>
      <c r="E399" s="6" t="n">
        <v>60000</v>
      </c>
      <c r="F399" s="6" t="n">
        <v>120</v>
      </c>
      <c r="G399" t="inlineStr">
        <is>
          <t>Medium</t>
        </is>
      </c>
      <c r="H399" s="6" t="n">
        <v>0.8683999999999999</v>
      </c>
      <c r="I399" s="6" t="n">
        <v>1</v>
      </c>
      <c r="J399" s="6" t="n">
        <v>1</v>
      </c>
      <c r="K399" s="6" t="n"/>
      <c r="P399">
        <f>MAX(P400)</f>
        <v/>
      </c>
      <c r="S399">
        <f>S400</f>
        <v/>
      </c>
      <c r="T399">
        <f>(E399/100000+F399/100+(P399/1000)*J399/5+S399/200)*200*I399*H399</f>
        <v/>
      </c>
      <c r="U399">
        <f>((E399*F399/25000)+((P399/1000)*J399*S399/2.5))*I399*H399</f>
        <v/>
      </c>
      <c r="V399">
        <f>(E399*F399*(P399/1000)*J399*S399*I399*H399)/12500000</f>
        <v/>
      </c>
      <c r="W399">
        <f>(((E399/100000)+(F399/125)+(S399/200)+((P399/5000)*J399))*400/4+(((E399/100000)*(F399/125))+(((P399/5000)*J399)*(S399/200)))*400/2+((E399/100000)*(F399/125)*((P399/5000)*J399)*(S399/200))*400)*(H399/1.0)/3</f>
        <v/>
      </c>
      <c r="X399" s="6" t="n">
        <v>1600</v>
      </c>
      <c r="Y399">
        <f>IFERROR(W399-X399,"")</f>
        <v/>
      </c>
      <c r="Z399">
        <f>IFERROR(ABS(Y399)/MAX(X399,1),"")</f>
        <v/>
      </c>
      <c r="AA399">
        <f>IFERROR(ROUND(((3*X399-(((E399/100000)+(F399/125)+(S399/200))*400/4+((E399/100000)*(F399/125))*400/2)*(H399/1.0))/(400/4+((S399/200))*400/2+((E399/100000)*(F399/125)*(S399/200))*400)*(H399/1.0)*5000)/J399,-1),"")</f>
        <v/>
      </c>
    </row>
    <row r="400">
      <c r="B400" s="7" t="inlineStr">
        <is>
          <t xml:space="preserve">  ↳ ShrineTankCannon</t>
        </is>
      </c>
      <c r="C400" s="7" t="inlineStr">
        <is>
          <t>Armament</t>
        </is>
      </c>
      <c r="L400" s="6" t="n">
        <v>24000</v>
      </c>
      <c r="M400" s="6" t="n">
        <v>50</v>
      </c>
      <c r="N400" s="6" t="n">
        <v>1</v>
      </c>
      <c r="O400" s="6" t="n"/>
      <c r="P400" s="6" t="n">
        <v>6370</v>
      </c>
      <c r="Q400" s="6" t="n">
        <v>1.25</v>
      </c>
      <c r="R400">
        <f>M400+IF(N400&gt;1,N(O400)*(N400-1),0)</f>
        <v/>
      </c>
      <c r="S400">
        <f>IFERROR(L400*MAX(N400,1)/R400*IF(ISBLANK(K399),1,K399),0)</f>
        <v/>
      </c>
      <c r="AB400" s="7" t="inlineStr">
        <is>
          <t>^Warhead_Magic_Heavy</t>
        </is>
      </c>
    </row>
    <row r="401">
      <c r="A401" t="inlineStr">
        <is>
          <t>redalert</t>
        </is>
      </c>
      <c r="B401" t="inlineStr">
        <is>
          <t>ra1_allies_alliedlighttank</t>
        </is>
      </c>
      <c r="C401" t="inlineStr">
        <is>
          <t>Allied Light Tank</t>
        </is>
      </c>
      <c r="D401" s="6" t="inlineStr">
        <is>
          <t>LightTank</t>
        </is>
      </c>
      <c r="E401" s="6" t="n">
        <v>50000</v>
      </c>
      <c r="F401" s="6" t="n">
        <v>120</v>
      </c>
      <c r="G401" t="inlineStr">
        <is>
          <t>Medium</t>
        </is>
      </c>
      <c r="H401" s="6" t="n">
        <v>1</v>
      </c>
      <c r="I401" s="6" t="n">
        <v>1</v>
      </c>
      <c r="J401" s="6" t="n">
        <v>1</v>
      </c>
      <c r="K401" s="6" t="n">
        <v>0.005</v>
      </c>
      <c r="P401">
        <f>MAX(P402)</f>
        <v/>
      </c>
      <c r="S401">
        <f>S402</f>
        <v/>
      </c>
      <c r="T401">
        <f>(E401/100000+F401/100+(P401/1000)*J401/5+S401/200)*200*I401*H401</f>
        <v/>
      </c>
      <c r="U401">
        <f>((E401*F401/25000)+((P401/1000)*J401*S401/2.5))*I401*H401</f>
        <v/>
      </c>
      <c r="V401">
        <f>(E401*F401*(P401/1000)*J401*S401*I401*H401)/12500000</f>
        <v/>
      </c>
      <c r="W401">
        <f>(((E401/100000)+(F401/125)+(S401/200)+((P401/5000)*J401))*400/4+(((E401/100000)*(F401/125))+(((P401/5000)*J401)*(S401/200)))*400/2+((E401/100000)*(F401/125)*((P401/5000)*J401)*(S401/200))*400)*(H401/1.0)/3</f>
        <v/>
      </c>
      <c r="X401" s="6" t="n">
        <v>500</v>
      </c>
      <c r="Y401">
        <f>IFERROR(W401-X401,"")</f>
        <v/>
      </c>
      <c r="Z401">
        <f>IFERROR(ABS(Y401)/MAX(X401,1),"")</f>
        <v/>
      </c>
      <c r="AA401">
        <f>IFERROR(ROUND(((3*X401-(((E401/100000)+(F401/125)+(S401/200))*400/4+((E401/100000)*(F401/125))*400/2)*(H401/1.0))/(400/4+((S401/200))*400/2+((E401/100000)*(F401/125)*(S401/200))*400)*(H401/1.0)*5000)/J401,-1),"")</f>
        <v/>
      </c>
    </row>
    <row r="402">
      <c r="B402" s="7" t="inlineStr">
        <is>
          <t xml:space="preserve">  ↳ 25mm</t>
        </is>
      </c>
      <c r="C402" s="7" t="inlineStr">
        <is>
          <t>Armament</t>
        </is>
      </c>
      <c r="L402" s="6" t="n">
        <v>12000</v>
      </c>
      <c r="M402" s="6" t="n">
        <v>37</v>
      </c>
      <c r="N402" s="6" t="n">
        <v>1</v>
      </c>
      <c r="O402" s="6" t="n"/>
      <c r="P402" s="6" t="n">
        <v>4720</v>
      </c>
      <c r="Q402" s="6" t="n">
        <v>1</v>
      </c>
      <c r="R402">
        <f>M402+IF(N402&gt;1,N(O402)*(N402-1),0)</f>
        <v/>
      </c>
      <c r="S402">
        <f>IFERROR(L402*MAX(N402,1)/R402*IF(ISBLANK(K401),1,K401),0)</f>
        <v/>
      </c>
      <c r="AB402" s="7" t="inlineStr">
        <is>
          <t>^Warhead_CannonHE_Medium</t>
        </is>
      </c>
    </row>
    <row r="403">
      <c r="A403" t="inlineStr">
        <is>
          <t>redalert</t>
        </is>
      </c>
      <c r="B403" t="inlineStr">
        <is>
          <t>ra1_allies_sheridanassaulttank</t>
        </is>
      </c>
      <c r="C403" t="inlineStr">
        <is>
          <t>Sheridan Assault Tank</t>
        </is>
      </c>
      <c r="D403" s="6" t="inlineStr">
        <is>
          <t>LightTank</t>
        </is>
      </c>
      <c r="E403" s="6" t="n">
        <v>85000</v>
      </c>
      <c r="F403" s="6" t="n">
        <v>85</v>
      </c>
      <c r="G403" t="inlineStr">
        <is>
          <t>Medium</t>
        </is>
      </c>
      <c r="H403" s="6" t="n">
        <v>0.8919</v>
      </c>
      <c r="I403" s="6" t="n">
        <v>1</v>
      </c>
      <c r="J403" s="6" t="n">
        <v>1</v>
      </c>
      <c r="K403" s="6" t="n">
        <v>0.0025</v>
      </c>
      <c r="P403">
        <f>MAX(P404,P405,P406,P407)</f>
        <v/>
      </c>
      <c r="S403">
        <f>S404+S405+S406+S407</f>
        <v/>
      </c>
      <c r="T403">
        <f>(E403/100000+F403/100+(P403/1000)*J403/5+S403/200)*200*I403*H403</f>
        <v/>
      </c>
      <c r="U403">
        <f>((E403*F403/25000)+((P403/1000)*J403*S403/2.5))*I403*H403</f>
        <v/>
      </c>
      <c r="V403">
        <f>(E403*F403*(P403/1000)*J403*S403*I403*H403)/12500000</f>
        <v/>
      </c>
      <c r="W403">
        <f>(((E403/100000)+(F403/125)+(S403/200)+((P403/5000)*J403))*400/4+(((E403/100000)*(F403/125))+(((P403/5000)*J403)*(S403/200)))*400/2+((E403/100000)*(F403/125)*((P403/5000)*J403)*(S403/200))*400)*(H403/1.0)/3</f>
        <v/>
      </c>
      <c r="X403" s="6" t="n">
        <v>600</v>
      </c>
      <c r="Y403">
        <f>IFERROR(W403-X403,"")</f>
        <v/>
      </c>
      <c r="Z403">
        <f>IFERROR(ABS(Y403)/MAX(X403,1),"")</f>
        <v/>
      </c>
      <c r="AA403">
        <f>IFERROR(ROUND(((3*X403-(((E403/100000)+(F403/125)+(S403/200))*400/4+((E403/100000)*(F403/125))*400/2)*(H403/1.0))/(400/4+((S403/200))*400/2+((E403/100000)*(F403/125)*(S403/200))*400)*(H403/1.0)*5000)/J403,-1),"")</f>
        <v/>
      </c>
    </row>
    <row r="404">
      <c r="B404" s="7" t="inlineStr">
        <is>
          <t xml:space="preserve">  ↳ SheridanCannon</t>
        </is>
      </c>
      <c r="C404" s="7" t="inlineStr">
        <is>
          <t>Armament</t>
        </is>
      </c>
      <c r="L404" s="6" t="n">
        <v>16000</v>
      </c>
      <c r="M404" s="6" t="n">
        <v>64</v>
      </c>
      <c r="N404" s="6" t="n">
        <v>1</v>
      </c>
      <c r="O404" s="6" t="n"/>
      <c r="P404" s="6" t="n">
        <v>5023</v>
      </c>
      <c r="Q404" s="6" t="n">
        <v>0.875</v>
      </c>
      <c r="R404">
        <f>M404+IF(N404&gt;1,N(O404)*(N404-1),0)</f>
        <v/>
      </c>
      <c r="S404">
        <f>IFERROR(L404*MAX(N404,1)/R404*IF(ISBLANK(K403),1,K403),0)</f>
        <v/>
      </c>
      <c r="AB404" s="7" t="inlineStr">
        <is>
          <t>^Warhead_CannonAP_Light, ^Warhead_CannonHE_Medium</t>
        </is>
      </c>
    </row>
    <row r="405">
      <c r="B405" s="7" t="inlineStr">
        <is>
          <t xml:space="preserve">  ↳ SheridanMissiles</t>
        </is>
      </c>
      <c r="C405" s="7" t="inlineStr">
        <is>
          <t>Armament@Missile</t>
        </is>
      </c>
      <c r="L405" s="6" t="n">
        <v>16000</v>
      </c>
      <c r="M405" s="6" t="n">
        <v>64</v>
      </c>
      <c r="N405" s="6" t="n">
        <v>1</v>
      </c>
      <c r="O405" s="6" t="n"/>
      <c r="P405" s="6" t="n">
        <v>5023</v>
      </c>
      <c r="Q405" s="6" t="n">
        <v>0.875</v>
      </c>
      <c r="R405">
        <f>M405+IF(N405&gt;1,N(O405)*(N405-1),0)</f>
        <v/>
      </c>
      <c r="S405">
        <f>IFERROR(L405*MAX(N405,1)/R405*IF(ISBLANK(K403),1,K403),0)</f>
        <v/>
      </c>
      <c r="AB405" s="7" t="inlineStr">
        <is>
          <t>^Warhead_MissileHE_Medium, ^Warhead_MissileHE_Light</t>
        </is>
      </c>
    </row>
    <row r="406">
      <c r="B406" s="7" t="inlineStr">
        <is>
          <t xml:space="preserve">  ↳ SheridanMissilesCryo</t>
        </is>
      </c>
      <c r="C406" s="7" t="inlineStr">
        <is>
          <t>Armament@Upgrade</t>
        </is>
      </c>
      <c r="L406" s="6" t="n">
        <v>16000</v>
      </c>
      <c r="M406" s="6" t="n">
        <v>64</v>
      </c>
      <c r="N406" s="6" t="n">
        <v>1</v>
      </c>
      <c r="O406" s="6" t="n"/>
      <c r="P406" s="6" t="n">
        <v>5023</v>
      </c>
      <c r="Q406" s="6" t="n">
        <v>0.875</v>
      </c>
      <c r="R406">
        <f>M406+IF(N406&gt;1,N(O406)*(N406-1),0)</f>
        <v/>
      </c>
      <c r="S406">
        <f>IFERROR(L406*MAX(N406,1)/R406*IF(ISBLANK(K403),1,K403),0)</f>
        <v/>
      </c>
      <c r="AB406" s="7" t="inlineStr">
        <is>
          <t>^Warhead_MissileHE_Medium, ^Warhead_MissileHE_Light</t>
        </is>
      </c>
    </row>
    <row r="407">
      <c r="B407" s="7" t="inlineStr">
        <is>
          <t xml:space="preserve">  ↳ SheridanVulcan</t>
        </is>
      </c>
      <c r="C407" s="7" t="inlineStr">
        <is>
          <t>Armament@MG</t>
        </is>
      </c>
      <c r="L407" s="6" t="n">
        <v>4000</v>
      </c>
      <c r="M407" s="6" t="n">
        <v>58</v>
      </c>
      <c r="N407" s="6" t="n">
        <v>4</v>
      </c>
      <c r="O407" s="6" t="n">
        <v>2</v>
      </c>
      <c r="P407" s="6" t="n">
        <v>5023</v>
      </c>
      <c r="Q407" s="6" t="n">
        <v>0.875</v>
      </c>
      <c r="R407">
        <f>M407+IF(N407&gt;1,N(O407)*(N407-1),0)</f>
        <v/>
      </c>
      <c r="S407">
        <f>IFERROR(L407*MAX(N407,1)/R407*IF(ISBLANK(K403),1,K403),0)</f>
        <v/>
      </c>
      <c r="AB407" s="7" t="inlineStr">
        <is>
          <t>^Warhead_Bullet_Light, ^Warhead_Bullet_Medium</t>
        </is>
      </c>
    </row>
    <row r="408">
      <c r="A408" t="inlineStr">
        <is>
          <t>tiberiansun</t>
        </is>
      </c>
      <c r="B408" t="inlineStr">
        <is>
          <t>cabal_ravager</t>
        </is>
      </c>
      <c r="C408" t="inlineStr">
        <is>
          <t>Ravager</t>
        </is>
      </c>
      <c r="D408" s="6" t="inlineStr">
        <is>
          <t>LightTank</t>
        </is>
      </c>
      <c r="E408" s="6" t="n">
        <v>70000</v>
      </c>
      <c r="F408" s="6" t="n">
        <v>130</v>
      </c>
      <c r="G408" t="inlineStr">
        <is>
          <t>Plate</t>
        </is>
      </c>
      <c r="H408" s="6" t="n">
        <v>1</v>
      </c>
      <c r="I408" s="6" t="n">
        <v>0.8</v>
      </c>
      <c r="J408" s="6" t="n">
        <v>1</v>
      </c>
      <c r="K408" s="6" t="n"/>
      <c r="P408">
        <f>MAX(P409,P410)</f>
        <v/>
      </c>
      <c r="S408">
        <f>S409+S410</f>
        <v/>
      </c>
      <c r="T408">
        <f>(E408/100000+F408/100+(P408/1000)*J408/5+S408/200)*200*I408*H408</f>
        <v/>
      </c>
      <c r="U408">
        <f>((E408*F408/25000)+((P408/1000)*J408*S408/2.5))*I408*H408</f>
        <v/>
      </c>
      <c r="V408">
        <f>(E408*F408*(P408/1000)*J408*S408*I408*H408)/12500000</f>
        <v/>
      </c>
      <c r="W408">
        <f>(((E408/100000)+(F408/125)+(S408/200)+((P408/5000)*J408))*400/4+(((E408/100000)*(F408/125))+(((P408/5000)*J408)*(S408/200)))*400/2+((E408/100000)*(F408/125)*((P408/5000)*J408)*(S408/200))*400)*(H408/1.0)/3</f>
        <v/>
      </c>
      <c r="X408" s="6" t="n">
        <v>1500</v>
      </c>
      <c r="Y408">
        <f>IFERROR(W408-X408,"")</f>
        <v/>
      </c>
      <c r="Z408">
        <f>IFERROR(ABS(Y408)/MAX(X408,1),"")</f>
        <v/>
      </c>
      <c r="AA408">
        <f>IFERROR(ROUND(((3*X408-(((E408/100000)+(F408/125)+(S408/200))*400/4+((E408/100000)*(F408/125))*400/2)*(H408/1.0))/(400/4+((S408/200))*400/2+((E408/100000)*(F408/125)*(S408/200))*400)*(H408/1.0)*5000)/J408,-1),"")</f>
        <v/>
      </c>
    </row>
    <row r="409">
      <c r="B409" s="7" t="inlineStr">
        <is>
          <t xml:space="preserve">  ↳ CabalRavagerPlasma</t>
        </is>
      </c>
      <c r="C409" s="7" t="inlineStr">
        <is>
          <t>Armament@PRIMARY</t>
        </is>
      </c>
      <c r="L409" s="6" t="n">
        <v>32000</v>
      </c>
      <c r="M409" s="6" t="n">
        <v>30</v>
      </c>
      <c r="N409" s="6" t="n">
        <v>1</v>
      </c>
      <c r="O409" s="6" t="n"/>
      <c r="P409" s="6" t="n">
        <v>3000</v>
      </c>
      <c r="Q409" s="6" t="n">
        <v>1</v>
      </c>
      <c r="R409">
        <f>M409+IF(N409&gt;1,N(O409)*(N409-1),0)</f>
        <v/>
      </c>
      <c r="S409">
        <f>IFERROR(L409*MAX(N409,1)/R409*IF(ISBLANK(K408),1,K408),0)</f>
        <v/>
      </c>
      <c r="AB409" s="7" t="inlineStr">
        <is>
          <t>^Warhead_Chemical_Medium</t>
        </is>
      </c>
    </row>
    <row r="410">
      <c r="B410" s="7" t="inlineStr">
        <is>
          <t xml:space="preserve">  ↳ CabalRavagerPlasmaNeutron</t>
        </is>
      </c>
      <c r="C410" s="7" t="inlineStr">
        <is>
          <t>Armament@Upgraded</t>
        </is>
      </c>
      <c r="L410" s="6" t="n">
        <v>32000</v>
      </c>
      <c r="M410" s="6" t="n">
        <v>30</v>
      </c>
      <c r="N410" s="6" t="n">
        <v>1</v>
      </c>
      <c r="O410" s="6" t="n"/>
      <c r="P410" s="6" t="n">
        <v>3000</v>
      </c>
      <c r="Q410" s="6" t="n">
        <v>1</v>
      </c>
      <c r="R410">
        <f>M410+IF(N410&gt;1,N(O410)*(N410-1),0)</f>
        <v/>
      </c>
      <c r="S410">
        <f>IFERROR(L410*MAX(N410,1)/R410*IF(ISBLANK(K408),1,K408),0)</f>
        <v/>
      </c>
      <c r="AB410" s="7" t="inlineStr">
        <is>
          <t>^Warhead_Chemical_Medium</t>
        </is>
      </c>
    </row>
    <row r="411">
      <c r="A411" t="inlineStr">
        <is>
          <t>redalert2</t>
        </is>
      </c>
      <c r="B411" t="inlineStr">
        <is>
          <t>yuri_lashertank</t>
        </is>
      </c>
      <c r="C411" t="inlineStr">
        <is>
          <t>Lasher Tank</t>
        </is>
      </c>
      <c r="D411" s="6" t="inlineStr">
        <is>
          <t>LightTank</t>
        </is>
      </c>
      <c r="E411" s="6" t="n">
        <v>70000</v>
      </c>
      <c r="F411" s="6" t="n">
        <v>105</v>
      </c>
      <c r="G411" t="inlineStr">
        <is>
          <t>Medium</t>
        </is>
      </c>
      <c r="H411" s="6" t="n">
        <v>1</v>
      </c>
      <c r="I411" s="6" t="n">
        <v>1</v>
      </c>
      <c r="J411" s="6" t="n">
        <v>1</v>
      </c>
      <c r="K411" s="6" t="n"/>
      <c r="P411">
        <f>MAX(P412,P413,P414,P415,P416,P417)</f>
        <v/>
      </c>
      <c r="S411">
        <f>S412+S413+S414+S415+S416+S417</f>
        <v/>
      </c>
      <c r="T411">
        <f>(E411/100000+F411/100+(P411/1000)*J411/5+S411/200)*200*I411*H411</f>
        <v/>
      </c>
      <c r="U411">
        <f>((E411*F411/25000)+((P411/1000)*J411*S411/2.5))*I411*H411</f>
        <v/>
      </c>
      <c r="V411">
        <f>(E411*F411*(P411/1000)*J411*S411*I411*H411)/12500000</f>
        <v/>
      </c>
      <c r="W411">
        <f>(((E411/100000)+(F411/125)+(S411/200)+((P411/5000)*J411))*400/4+(((E411/100000)*(F411/125))+(((P411/5000)*J411)*(S411/200)))*400/2+((E411/100000)*(F411/125)*((P411/5000)*J411)*(S411/200))*400)*(H411/1.0)/3</f>
        <v/>
      </c>
      <c r="X411" s="6" t="n">
        <v>600</v>
      </c>
      <c r="Y411">
        <f>IFERROR(W411-X411,"")</f>
        <v/>
      </c>
      <c r="Z411">
        <f>IFERROR(ABS(Y411)/MAX(X411,1),"")</f>
        <v/>
      </c>
      <c r="AA411">
        <f>IFERROR(ROUND(((3*X411-(((E411/100000)+(F411/125)+(S411/200))*400/4+((E411/100000)*(F411/125))*400/2)*(H411/1.0))/(400/4+((S411/200))*400/2+((E411/100000)*(F411/125)*(S411/200))*400)*(H411/1.0)*5000)/J411,-1),"")</f>
        <v/>
      </c>
    </row>
    <row r="412">
      <c r="B412" s="7" t="inlineStr">
        <is>
          <t xml:space="preserve">  ↳ RA2LasherCannon</t>
        </is>
      </c>
      <c r="C412" s="7" t="inlineStr">
        <is>
          <t>Armament@PRIMARY</t>
        </is>
      </c>
      <c r="L412" s="6" t="n">
        <v>12000</v>
      </c>
      <c r="M412" s="6" t="n">
        <v>68</v>
      </c>
      <c r="N412" s="6" t="n">
        <v>1</v>
      </c>
      <c r="O412" s="6" t="n"/>
      <c r="P412" s="6" t="n">
        <v>5201</v>
      </c>
      <c r="Q412" s="6" t="n">
        <v>1</v>
      </c>
      <c r="R412">
        <f>M412+IF(N412&gt;1,N(O412)*(N412-1),0)</f>
        <v/>
      </c>
      <c r="S412">
        <f>IFERROR(L412*MAX(N412,1)/R412*IF(ISBLANK(K411),1,K411),0)</f>
        <v/>
      </c>
      <c r="AB412" s="7" t="inlineStr">
        <is>
          <t>^Warhead_CannonHE_Medium</t>
        </is>
      </c>
    </row>
    <row r="413">
      <c r="B413" s="7" t="inlineStr">
        <is>
          <t xml:space="preserve">  ↳ RA2LasherCannon_elite</t>
        </is>
      </c>
      <c r="C413" s="7" t="inlineStr">
        <is>
          <t>Armament@ELITE</t>
        </is>
      </c>
      <c r="L413" s="6" t="n">
        <v>12000</v>
      </c>
      <c r="M413" s="6" t="n">
        <v>68</v>
      </c>
      <c r="N413" s="6" t="n">
        <v>2</v>
      </c>
      <c r="O413" s="6" t="n">
        <v>3</v>
      </c>
      <c r="P413" s="6" t="n">
        <v>6201</v>
      </c>
      <c r="Q413" s="6" t="n">
        <v>1</v>
      </c>
      <c r="R413">
        <f>M413+IF(N413&gt;1,N(O413)*(N413-1),0)</f>
        <v/>
      </c>
      <c r="S413">
        <f>IFERROR(L413*MAX(N413,1)/R413*IF(ISBLANK(K411),1,K411),0)</f>
        <v/>
      </c>
      <c r="AB413" s="7" t="inlineStr">
        <is>
          <t>^Warhead_CannonHE_Medium</t>
        </is>
      </c>
    </row>
    <row r="414">
      <c r="B414" s="7" t="inlineStr">
        <is>
          <t xml:space="preserve">  ↳ RA2LasherToxicMortar</t>
        </is>
      </c>
      <c r="C414" s="7" t="inlineStr">
        <is>
          <t>Armament@Toxic</t>
        </is>
      </c>
      <c r="L414" s="6" t="n">
        <v>18000</v>
      </c>
      <c r="M414" s="6" t="n">
        <v>105</v>
      </c>
      <c r="N414" s="6" t="n">
        <v>1</v>
      </c>
      <c r="O414" s="6" t="n"/>
      <c r="P414" s="6" t="n">
        <v>9000</v>
      </c>
      <c r="Q414" s="6" t="n">
        <v>1</v>
      </c>
      <c r="R414">
        <f>M414+IF(N414&gt;1,N(O414)*(N414-1),0)</f>
        <v/>
      </c>
      <c r="S414">
        <f>IFERROR(L414*MAX(N414,1)/R414*IF(ISBLANK(K411),1,K411),0)</f>
        <v/>
      </c>
      <c r="AB414" s="7" t="inlineStr">
        <is>
          <t>^Grenade, ^ShrapnelWeapon, ^HeavyBomb, ^LightChemicalWeapon, ^MediumChemicalWeapon, ^HeavyChemicalWeapon, ^TankDestroyerCannon, ^MediumCannon, ^HeavyCannon</t>
        </is>
      </c>
    </row>
    <row r="415">
      <c r="B415" s="7" t="inlineStr">
        <is>
          <t xml:space="preserve">  ↳ RA2LasherToxicMortar_elite</t>
        </is>
      </c>
      <c r="C415" s="7" t="inlineStr">
        <is>
          <t>Armament@ToxicELITE</t>
        </is>
      </c>
      <c r="L415" s="6" t="n">
        <v>42000</v>
      </c>
      <c r="M415" s="6" t="n">
        <v>105</v>
      </c>
      <c r="N415" s="6" t="n">
        <v>1</v>
      </c>
      <c r="O415" s="6" t="n"/>
      <c r="P415" s="6" t="n">
        <v>10000</v>
      </c>
      <c r="Q415" s="6" t="n">
        <v>1</v>
      </c>
      <c r="R415">
        <f>M415+IF(N415&gt;1,N(O415)*(N415-1),0)</f>
        <v/>
      </c>
      <c r="S415">
        <f>IFERROR(L415*MAX(N415,1)/R415*IF(ISBLANK(K411),1,K411),0)</f>
        <v/>
      </c>
      <c r="AB415" s="7" t="inlineStr">
        <is>
          <t>RA2LasherToxicMortar</t>
        </is>
      </c>
    </row>
    <row r="416">
      <c r="B416" s="7" t="inlineStr">
        <is>
          <t xml:space="preserve">  ↳ RA2LasherLaser</t>
        </is>
      </c>
      <c r="C416" s="7" t="inlineStr">
        <is>
          <t>Armament@Laser</t>
        </is>
      </c>
      <c r="L416" s="6" t="n">
        <v>16000</v>
      </c>
      <c r="M416" s="6" t="n">
        <v>81</v>
      </c>
      <c r="N416" s="6" t="n">
        <v>1</v>
      </c>
      <c r="O416" s="6" t="n"/>
      <c r="P416" s="6" t="n">
        <v>7065</v>
      </c>
      <c r="Q416" s="6" t="n">
        <v>1.125</v>
      </c>
      <c r="R416">
        <f>M416+IF(N416&gt;1,N(O416)*(N416-1),0)</f>
        <v/>
      </c>
      <c r="S416">
        <f>IFERROR(L416*MAX(N416,1)/R416*IF(ISBLANK(K411),1,K411),0)</f>
        <v/>
      </c>
      <c r="AB416" s="7" t="inlineStr">
        <is>
          <t>^Warhead_CannonHE_Medium, ^Warhead_Laser_Heavy</t>
        </is>
      </c>
    </row>
    <row r="417">
      <c r="B417" s="7" t="inlineStr">
        <is>
          <t xml:space="preserve">  ↳ RA2LasherLaser_elite</t>
        </is>
      </c>
      <c r="C417" s="7" t="inlineStr">
        <is>
          <t>Armament@LaserELITE</t>
        </is>
      </c>
      <c r="L417" s="6" t="n">
        <v>40000</v>
      </c>
      <c r="M417" s="6" t="n">
        <v>81</v>
      </c>
      <c r="N417" s="6" t="n">
        <v>1</v>
      </c>
      <c r="O417" s="6" t="n"/>
      <c r="P417" s="6" t="n">
        <v>8065</v>
      </c>
      <c r="Q417" s="6" t="n">
        <v>1.125</v>
      </c>
      <c r="R417">
        <f>M417+IF(N417&gt;1,N(O417)*(N417-1),0)</f>
        <v/>
      </c>
      <c r="S417">
        <f>IFERROR(L417*MAX(N417,1)/R417*IF(ISBLANK(K411),1,K411),0)</f>
        <v/>
      </c>
      <c r="AB417" s="7" t="inlineStr">
        <is>
          <t>^Warhead_CannonHE_Medium, ^Warhead_Laser_Heavy</t>
        </is>
      </c>
    </row>
    <row r="418">
      <c r="A418" t="inlineStr">
        <is>
          <t>redalert2mod</t>
        </is>
      </c>
      <c r="B418" t="inlineStr">
        <is>
          <t>asianalliance_quasar</t>
        </is>
      </c>
      <c r="C418" t="inlineStr">
        <is>
          <t>Quasar</t>
        </is>
      </c>
      <c r="D418" s="6" t="inlineStr">
        <is>
          <t>LightTank</t>
        </is>
      </c>
      <c r="E418" s="6" t="n">
        <v>55000</v>
      </c>
      <c r="F418" s="6" t="n">
        <v>125</v>
      </c>
      <c r="G418" t="inlineStr">
        <is>
          <t>Medium</t>
        </is>
      </c>
      <c r="H418" s="6" t="n">
        <v>1</v>
      </c>
      <c r="I418" s="6" t="n">
        <v>1</v>
      </c>
      <c r="J418" s="6" t="n">
        <v>1</v>
      </c>
      <c r="K418" s="6" t="n"/>
      <c r="P418">
        <f>MAX(P419,P420,P421,P422)</f>
        <v/>
      </c>
      <c r="S418">
        <f>S419+S420+S421+S422</f>
        <v/>
      </c>
      <c r="T418">
        <f>(E418/100000+F418/100+(P418/1000)*J418/5+S418/200)*200*I418*H418</f>
        <v/>
      </c>
      <c r="U418">
        <f>((E418*F418/25000)+((P418/1000)*J418*S418/2.5))*I418*H418</f>
        <v/>
      </c>
      <c r="V418">
        <f>(E418*F418*(P418/1000)*J418*S418*I418*H418)/12500000</f>
        <v/>
      </c>
      <c r="W418">
        <f>(((E418/100000)+(F418/125)+(S418/200)+((P418/5000)*J418))*400/4+(((E418/100000)*(F418/125))+(((P418/5000)*J418)*(S418/200)))*400/2+((E418/100000)*(F418/125)*((P418/5000)*J418)*(S418/200))*400)*(H418/1.0)/3</f>
        <v/>
      </c>
      <c r="X418" s="6" t="n">
        <v>900</v>
      </c>
      <c r="Y418">
        <f>IFERROR(W418-X418,"")</f>
        <v/>
      </c>
      <c r="Z418">
        <f>IFERROR(ABS(Y418)/MAX(X418,1),"")</f>
        <v/>
      </c>
      <c r="AA418">
        <f>IFERROR(ROUND(((3*X418-(((E418/100000)+(F418/125)+(S418/200))*400/4+((E418/100000)*(F418/125))*400/2)*(H418/1.0))/(400/4+((S418/200))*400/2+((E418/100000)*(F418/125)*(S418/200))*400)*(H418/1.0)*5000)/J418,-1),"")</f>
        <v/>
      </c>
    </row>
    <row r="419">
      <c r="B419" s="7" t="inlineStr">
        <is>
          <t xml:space="preserve">  ↳ AsianQuasarAG</t>
        </is>
      </c>
      <c r="C419" s="7" t="inlineStr">
        <is>
          <t>Armament@AG</t>
        </is>
      </c>
      <c r="L419" s="6" t="n">
        <v>8000</v>
      </c>
      <c r="M419" s="6" t="n">
        <v>33</v>
      </c>
      <c r="N419" s="6" t="n">
        <v>1</v>
      </c>
      <c r="O419" s="6" t="n"/>
      <c r="P419" s="6" t="n">
        <v>6000</v>
      </c>
      <c r="Q419" s="6" t="n">
        <v>1</v>
      </c>
      <c r="R419">
        <f>M419+IF(N419&gt;1,N(O419)*(N419-1),0)</f>
        <v/>
      </c>
      <c r="S419">
        <f>IFERROR(L419*MAX(N419,1)/R419*IF(ISBLANK(K418),1,K418),0)</f>
        <v/>
      </c>
      <c r="AB419" s="7" t="inlineStr">
        <is>
          <t>AsianPhotonCannon</t>
        </is>
      </c>
    </row>
    <row r="420">
      <c r="B420" s="7" t="inlineStr">
        <is>
          <t xml:space="preserve">  ↳ AsianQuasarAG_EMP</t>
        </is>
      </c>
      <c r="C420" s="7" t="inlineStr">
        <is>
          <t>Armament@UpgradeAG</t>
        </is>
      </c>
      <c r="L420" s="6" t="n">
        <v>8000</v>
      </c>
      <c r="M420" s="6" t="n">
        <v>33</v>
      </c>
      <c r="N420" s="6" t="n">
        <v>1</v>
      </c>
      <c r="O420" s="6" t="n"/>
      <c r="P420" s="6" t="n">
        <v>6000</v>
      </c>
      <c r="Q420" s="6" t="n">
        <v>1</v>
      </c>
      <c r="R420">
        <f>M420+IF(N420&gt;1,N(O420)*(N420-1),0)</f>
        <v/>
      </c>
      <c r="S420">
        <f>IFERROR(L420*MAX(N420,1)/R420*IF(ISBLANK(K418),1,K418),0)</f>
        <v/>
      </c>
      <c r="AB420" s="7" t="inlineStr">
        <is>
          <t>AsianQuasarAG</t>
        </is>
      </c>
    </row>
    <row r="421">
      <c r="B421" s="7" t="inlineStr">
        <is>
          <t xml:space="preserve">  ↳ AsianQuasar_AA</t>
        </is>
      </c>
      <c r="C421" s="7" t="inlineStr">
        <is>
          <t>Armament@AA</t>
        </is>
      </c>
      <c r="L421" s="6" t="n">
        <v>8000</v>
      </c>
      <c r="M421" s="6" t="n">
        <v>33</v>
      </c>
      <c r="N421" s="6" t="n">
        <v>1</v>
      </c>
      <c r="O421" s="6" t="n"/>
      <c r="P421" s="6" t="n">
        <v>9000</v>
      </c>
      <c r="Q421" s="6" t="n">
        <v>1</v>
      </c>
      <c r="R421">
        <f>M421+IF(N421&gt;1,N(O421)*(N421-1),0)</f>
        <v/>
      </c>
      <c r="S421">
        <f>IFERROR(L421*MAX(N421,1)/R421*IF(ISBLANK(K418),1,K418),0)</f>
        <v/>
      </c>
      <c r="AB421" s="7" t="inlineStr">
        <is>
          <t>AsianPhotonCannon</t>
        </is>
      </c>
    </row>
    <row r="422">
      <c r="B422" s="7" t="inlineStr">
        <is>
          <t xml:space="preserve">  ↳ AsianQuasar_EMP_AA</t>
        </is>
      </c>
      <c r="C422" s="7" t="inlineStr">
        <is>
          <t>Armament@UpgradeAA</t>
        </is>
      </c>
      <c r="L422" s="6" t="n">
        <v>8000</v>
      </c>
      <c r="M422" s="6" t="n">
        <v>33</v>
      </c>
      <c r="N422" s="6" t="n">
        <v>1</v>
      </c>
      <c r="O422" s="6" t="n"/>
      <c r="P422" s="6" t="n">
        <v>9000</v>
      </c>
      <c r="Q422" s="6" t="n">
        <v>1</v>
      </c>
      <c r="R422">
        <f>M422+IF(N422&gt;1,N(O422)*(N422-1),0)</f>
        <v/>
      </c>
      <c r="S422">
        <f>IFERROR(L422*MAX(N422,1)/R422*IF(ISBLANK(K418),1,K418),0)</f>
        <v/>
      </c>
      <c r="AB422" s="7" t="inlineStr">
        <is>
          <t>AsianQuasar_AA</t>
        </is>
      </c>
    </row>
    <row r="423">
      <c r="A423" t="inlineStr">
        <is>
          <t>redalert2mod</t>
        </is>
      </c>
      <c r="B423" t="inlineStr">
        <is>
          <t>steelconsortium_manta</t>
        </is>
      </c>
      <c r="C423" t="inlineStr">
        <is>
          <t>Manta</t>
        </is>
      </c>
      <c r="D423" s="6" t="inlineStr">
        <is>
          <t>LightTank</t>
        </is>
      </c>
      <c r="E423" s="6" t="n">
        <v>55000</v>
      </c>
      <c r="F423" s="6" t="n">
        <v>115</v>
      </c>
      <c r="G423" t="inlineStr">
        <is>
          <t>Medium</t>
        </is>
      </c>
      <c r="H423" s="6" t="n">
        <v>1</v>
      </c>
      <c r="I423" s="6" t="n">
        <v>1</v>
      </c>
      <c r="J423" s="6" t="n">
        <v>1</v>
      </c>
      <c r="K423" s="6" t="n">
        <v>0.005</v>
      </c>
      <c r="P423">
        <f>MAX(P424,P425,P426,P427,P428,P429,P430,P431)</f>
        <v/>
      </c>
      <c r="S423">
        <f>S424+S425+S426+S427+S428+S429+S430+S431</f>
        <v/>
      </c>
      <c r="T423">
        <f>(E423/100000+F423/100+(P423/1000)*J423/5+S423/200)*200*I423*H423</f>
        <v/>
      </c>
      <c r="U423">
        <f>((E423*F423/25000)+((P423/1000)*J423*S423/2.5))*I423*H423</f>
        <v/>
      </c>
      <c r="V423">
        <f>(E423*F423*(P423/1000)*J423*S423*I423*H423)/12500000</f>
        <v/>
      </c>
      <c r="W423">
        <f>(((E423/100000)+(F423/125)+(S423/200)+((P423/5000)*J423))*400/4+(((E423/100000)*(F423/125))+(((P423/5000)*J423)*(S423/200)))*400/2+((E423/100000)*(F423/125)*((P423/5000)*J423)*(S423/200))*400)*(H423/1.0)/3</f>
        <v/>
      </c>
      <c r="X423" s="6" t="n">
        <v>850</v>
      </c>
      <c r="Y423">
        <f>IFERROR(W423-X423,"")</f>
        <v/>
      </c>
      <c r="Z423">
        <f>IFERROR(ABS(Y423)/MAX(X423,1),"")</f>
        <v/>
      </c>
      <c r="AA423">
        <f>IFERROR(ROUND(((3*X423-(((E423/100000)+(F423/125)+(S423/200))*400/4+((E423/100000)*(F423/125))*400/2)*(H423/1.0))/(400/4+((S423/200))*400/2+((E423/100000)*(F423/125)*(S423/200))*400)*(H423/1.0)*5000)/J423,-1),"")</f>
        <v/>
      </c>
    </row>
    <row r="424">
      <c r="B424" s="7" t="inlineStr">
        <is>
          <t xml:space="preserve">  ↳ SteelMantaAG</t>
        </is>
      </c>
      <c r="C424" s="7" t="inlineStr">
        <is>
          <t>Armament@AG1</t>
        </is>
      </c>
      <c r="L424" s="6" t="n">
        <v>8000</v>
      </c>
      <c r="M424" s="6" t="n">
        <v>20</v>
      </c>
      <c r="N424" s="6" t="n">
        <v>1</v>
      </c>
      <c r="O424" s="6" t="n"/>
      <c r="P424" s="6" t="n">
        <v>6666</v>
      </c>
      <c r="Q424" s="6" t="n">
        <v>1</v>
      </c>
      <c r="R424">
        <f>M424+IF(N424&gt;1,N(O424)*(N424-1),0)</f>
        <v/>
      </c>
      <c r="S424">
        <f>IFERROR(L424*MAX(N424,1)/R424*IF(ISBLANK(K423),1,K423),0)</f>
        <v/>
      </c>
      <c r="AB424" s="7" t="inlineStr">
        <is>
          <t>^Warhead_MissileAP_Light, ^Warhead_Bullet_Light, ^Warhead_Flak_Medium, ^Warhead_Bullet_Medium</t>
        </is>
      </c>
    </row>
    <row r="425">
      <c r="B425" s="7" t="inlineStr">
        <is>
          <t xml:space="preserve">  ↳ SteelMantaAG</t>
        </is>
      </c>
      <c r="C425" s="7" t="inlineStr">
        <is>
          <t>Armament@AG2</t>
        </is>
      </c>
      <c r="L425" s="6" t="n">
        <v>8000</v>
      </c>
      <c r="M425" s="6" t="n">
        <v>20</v>
      </c>
      <c r="N425" s="6" t="n">
        <v>1</v>
      </c>
      <c r="O425" s="6" t="n"/>
      <c r="P425" s="6" t="n">
        <v>6666</v>
      </c>
      <c r="Q425" s="6" t="n">
        <v>1</v>
      </c>
      <c r="R425">
        <f>M425+IF(N425&gt;1,N(O425)*(N425-1),0)</f>
        <v/>
      </c>
      <c r="S425">
        <f>IFERROR(L425*MAX(N425,1)/R425*IF(ISBLANK(K423),1,K423),0)</f>
        <v/>
      </c>
      <c r="AB425" s="7" t="inlineStr">
        <is>
          <t>^Warhead_MissileAP_Light, ^Warhead_Bullet_Light, ^Warhead_Flak_Medium, ^Warhead_Bullet_Medium</t>
        </is>
      </c>
    </row>
    <row r="426">
      <c r="B426" s="7" t="inlineStr">
        <is>
          <t xml:space="preserve">  ↳ SteelManta_AA</t>
        </is>
      </c>
      <c r="C426" s="7" t="inlineStr">
        <is>
          <t>Armament@AA1</t>
        </is>
      </c>
      <c r="L426" s="6" t="n">
        <v>8000</v>
      </c>
      <c r="M426" s="6" t="n">
        <v>20</v>
      </c>
      <c r="N426" s="6" t="n">
        <v>1</v>
      </c>
      <c r="O426" s="6" t="n"/>
      <c r="P426" s="6" t="n">
        <v>9999</v>
      </c>
      <c r="Q426" s="6" t="n">
        <v>1</v>
      </c>
      <c r="R426">
        <f>M426+IF(N426&gt;1,N(O426)*(N426-1),0)</f>
        <v/>
      </c>
      <c r="S426">
        <f>IFERROR(L426*MAX(N426,1)/R426*IF(ISBLANK(K423),1,K423),0)</f>
        <v/>
      </c>
      <c r="AB426" s="7" t="inlineStr">
        <is>
          <t>^Warhead_MissileAP_Light, ^Warhead_Bullet_Light, ^Warhead_Flak_Medium, ^Warhead_Bullet_Medium</t>
        </is>
      </c>
    </row>
    <row r="427">
      <c r="B427" s="7" t="inlineStr">
        <is>
          <t xml:space="preserve">  ↳ SteelManta_AA</t>
        </is>
      </c>
      <c r="C427" s="7" t="inlineStr">
        <is>
          <t>Armament@AA2</t>
        </is>
      </c>
      <c r="L427" s="6" t="n">
        <v>8000</v>
      </c>
      <c r="M427" s="6" t="n">
        <v>20</v>
      </c>
      <c r="N427" s="6" t="n">
        <v>1</v>
      </c>
      <c r="O427" s="6" t="n"/>
      <c r="P427" s="6" t="n">
        <v>9999</v>
      </c>
      <c r="Q427" s="6" t="n">
        <v>1</v>
      </c>
      <c r="R427">
        <f>M427+IF(N427&gt;1,N(O427)*(N427-1),0)</f>
        <v/>
      </c>
      <c r="S427">
        <f>IFERROR(L427*MAX(N427,1)/R427*IF(ISBLANK(K423),1,K423),0)</f>
        <v/>
      </c>
      <c r="AB427" s="7" t="inlineStr">
        <is>
          <t>^Warhead_MissileAP_Light, ^Warhead_Bullet_Light, ^Warhead_Flak_Medium, ^Warhead_Bullet_Medium</t>
        </is>
      </c>
    </row>
    <row r="428">
      <c r="B428" s="7" t="inlineStr">
        <is>
          <t xml:space="preserve">  ↳ SteelMantaAGResonance</t>
        </is>
      </c>
      <c r="C428" s="7" t="inlineStr">
        <is>
          <t>Armament@UpgradeAG1</t>
        </is>
      </c>
      <c r="L428" s="6" t="n">
        <v>8000</v>
      </c>
      <c r="M428" s="6" t="n">
        <v>20</v>
      </c>
      <c r="N428" s="6" t="n">
        <v>1</v>
      </c>
      <c r="O428" s="6" t="n"/>
      <c r="P428" s="6" t="n">
        <v>6666</v>
      </c>
      <c r="Q428" s="6" t="n">
        <v>1</v>
      </c>
      <c r="R428">
        <f>M428+IF(N428&gt;1,N(O428)*(N428-1),0)</f>
        <v/>
      </c>
      <c r="S428">
        <f>IFERROR(L428*MAX(N428,1)/R428*IF(ISBLANK(K423),1,K423),0)</f>
        <v/>
      </c>
      <c r="AB428" s="7" t="inlineStr">
        <is>
          <t>^Warhead_MissileAP_Light, ^Warhead_Bullet_Light, ^Warhead_Flak_Medium, ^Warhead_Bullet_Medium</t>
        </is>
      </c>
    </row>
    <row r="429">
      <c r="B429" s="7" t="inlineStr">
        <is>
          <t xml:space="preserve">  ↳ SteelMantaAGResonance</t>
        </is>
      </c>
      <c r="C429" s="7" t="inlineStr">
        <is>
          <t>Armament@UpgradeAG2</t>
        </is>
      </c>
      <c r="L429" s="6" t="n">
        <v>8000</v>
      </c>
      <c r="M429" s="6" t="n">
        <v>20</v>
      </c>
      <c r="N429" s="6" t="n">
        <v>1</v>
      </c>
      <c r="O429" s="6" t="n"/>
      <c r="P429" s="6" t="n">
        <v>6666</v>
      </c>
      <c r="Q429" s="6" t="n">
        <v>1</v>
      </c>
      <c r="R429">
        <f>M429+IF(N429&gt;1,N(O429)*(N429-1),0)</f>
        <v/>
      </c>
      <c r="S429">
        <f>IFERROR(L429*MAX(N429,1)/R429*IF(ISBLANK(K423),1,K423),0)</f>
        <v/>
      </c>
      <c r="AB429" s="7" t="inlineStr">
        <is>
          <t>^Warhead_MissileAP_Light, ^Warhead_Bullet_Light, ^Warhead_Flak_Medium, ^Warhead_Bullet_Medium</t>
        </is>
      </c>
    </row>
    <row r="430">
      <c r="B430" s="7" t="inlineStr">
        <is>
          <t xml:space="preserve">  ↳ SteelMantaAAResonance_AA</t>
        </is>
      </c>
      <c r="C430" s="7" t="inlineStr">
        <is>
          <t>Armament@UpgradeAA1</t>
        </is>
      </c>
      <c r="L430" s="6" t="n">
        <v>8000</v>
      </c>
      <c r="M430" s="6" t="n">
        <v>20</v>
      </c>
      <c r="N430" s="6" t="n">
        <v>1</v>
      </c>
      <c r="O430" s="6" t="n"/>
      <c r="P430" s="6" t="n">
        <v>9999</v>
      </c>
      <c r="Q430" s="6" t="n">
        <v>1</v>
      </c>
      <c r="R430">
        <f>M430+IF(N430&gt;1,N(O430)*(N430-1),0)</f>
        <v/>
      </c>
      <c r="S430">
        <f>IFERROR(L430*MAX(N430,1)/R430*IF(ISBLANK(K423),1,K423),0)</f>
        <v/>
      </c>
      <c r="AB430" s="7" t="inlineStr">
        <is>
          <t>^Warhead_MissileAP_Light, ^Warhead_Bullet_Light, ^Warhead_Flak_Medium, ^Warhead_Bullet_Medium</t>
        </is>
      </c>
    </row>
    <row r="431">
      <c r="B431" s="7" t="inlineStr">
        <is>
          <t xml:space="preserve">  ↳ SteelMantaAAResonance_AA</t>
        </is>
      </c>
      <c r="C431" s="7" t="inlineStr">
        <is>
          <t>Armament@UpgradeAA2</t>
        </is>
      </c>
      <c r="L431" s="6" t="n">
        <v>8000</v>
      </c>
      <c r="M431" s="6" t="n">
        <v>20</v>
      </c>
      <c r="N431" s="6" t="n">
        <v>1</v>
      </c>
      <c r="O431" s="6" t="n"/>
      <c r="P431" s="6" t="n">
        <v>9999</v>
      </c>
      <c r="Q431" s="6" t="n">
        <v>1</v>
      </c>
      <c r="R431">
        <f>M431+IF(N431&gt;1,N(O431)*(N431-1),0)</f>
        <v/>
      </c>
      <c r="S431">
        <f>IFERROR(L431*MAX(N431,1)/R431*IF(ISBLANK(K423),1,K423),0)</f>
        <v/>
      </c>
      <c r="AB431" s="7" t="inlineStr">
        <is>
          <t>^Warhead_MissileAP_Light, ^Warhead_Bullet_Light, ^Warhead_Flak_Medium, ^Warhead_Bullet_Medium</t>
        </is>
      </c>
    </row>
    <row r="432">
      <c r="A432" t="inlineStr">
        <is>
          <t>redalert2mod</t>
        </is>
      </c>
      <c r="B432" t="inlineStr">
        <is>
          <t>latinsyndicate_rushertank</t>
        </is>
      </c>
      <c r="C432" t="inlineStr">
        <is>
          <t>Rusher Tank</t>
        </is>
      </c>
      <c r="D432" s="6" t="inlineStr">
        <is>
          <t>LightTank</t>
        </is>
      </c>
      <c r="E432" s="6" t="n">
        <v>75000</v>
      </c>
      <c r="F432" s="6" t="n">
        <v>115</v>
      </c>
      <c r="G432" t="inlineStr">
        <is>
          <t>Medium</t>
        </is>
      </c>
      <c r="H432" s="6" t="n">
        <v>1</v>
      </c>
      <c r="I432" s="6" t="n">
        <v>1</v>
      </c>
      <c r="J432" s="6" t="n">
        <v>1</v>
      </c>
      <c r="K432" s="6" t="n"/>
      <c r="P432">
        <f>MAX(P433,P434,P435,P436)</f>
        <v/>
      </c>
      <c r="S432">
        <f>S433+S434+S435+S436</f>
        <v/>
      </c>
      <c r="T432">
        <f>(E432/100000+F432/100+(P432/1000)*J432/5+S432/200)*200*I432*H432</f>
        <v/>
      </c>
      <c r="U432">
        <f>((E432*F432/25000)+((P432/1000)*J432*S432/2.5))*I432*H432</f>
        <v/>
      </c>
      <c r="V432">
        <f>(E432*F432*(P432/1000)*J432*S432*I432*H432)/12500000</f>
        <v/>
      </c>
      <c r="W432">
        <f>(((E432/100000)+(F432/125)+(S432/200)+((P432/5000)*J432))*400/4+(((E432/100000)*(F432/125))+(((P432/5000)*J432)*(S432/200)))*400/2+((E432/100000)*(F432/125)*((P432/5000)*J432)*(S432/200))*400)*(H432/1.0)/3</f>
        <v/>
      </c>
      <c r="X432" s="6" t="n">
        <v>650</v>
      </c>
      <c r="Y432">
        <f>IFERROR(W432-X432,"")</f>
        <v/>
      </c>
      <c r="Z432">
        <f>IFERROR(ABS(Y432)/MAX(X432,1),"")</f>
        <v/>
      </c>
      <c r="AA432">
        <f>IFERROR(ROUND(((3*X432-(((E432/100000)+(F432/125)+(S432/200))*400/4+((E432/100000)*(F432/125))*400/2)*(H432/1.0))/(400/4+((S432/200))*400/2+((E432/100000)*(F432/125)*(S432/200))*400)*(H432/1.0)*5000)/J432,-1),"")</f>
        <v/>
      </c>
    </row>
    <row r="433">
      <c r="B433" s="7" t="inlineStr">
        <is>
          <t xml:space="preserve">  ↳ RA2Gren60mm</t>
        </is>
      </c>
      <c r="C433" s="7" t="inlineStr">
        <is>
          <t>Armament</t>
        </is>
      </c>
      <c r="L433" s="6" t="n">
        <v>6000</v>
      </c>
      <c r="M433" s="6" t="n">
        <v>38</v>
      </c>
      <c r="N433" s="6" t="n">
        <v>1</v>
      </c>
      <c r="O433" s="6" t="n"/>
      <c r="P433" s="6" t="n">
        <v>5031</v>
      </c>
      <c r="Q433" s="6" t="n">
        <v>1</v>
      </c>
      <c r="R433">
        <f>M433+IF(N433&gt;1,N(O433)*(N433-1),0)</f>
        <v/>
      </c>
      <c r="S433">
        <f>IFERROR(L433*MAX(N433,1)/R433*IF(ISBLANK(K432),1,K432),0)</f>
        <v/>
      </c>
      <c r="AB433" s="7" t="inlineStr">
        <is>
          <t>^Warhead_CannonHE_Heavy, ^Warhead_CannonHE_Medium, ^Warhead_CannonAP_Light</t>
        </is>
      </c>
    </row>
    <row r="434">
      <c r="B434" s="7" t="inlineStr">
        <is>
          <t xml:space="preserve">  ↳ RA2Gren60mm_elite</t>
        </is>
      </c>
      <c r="C434" s="7" t="inlineStr">
        <is>
          <t>Armament@elite</t>
        </is>
      </c>
      <c r="L434" s="6" t="n">
        <v>6000</v>
      </c>
      <c r="M434" s="6" t="n">
        <v>38</v>
      </c>
      <c r="N434" s="6" t="n">
        <v>2</v>
      </c>
      <c r="O434" s="6" t="n">
        <v>3</v>
      </c>
      <c r="P434" s="6" t="n">
        <v>6031</v>
      </c>
      <c r="Q434" s="6" t="n">
        <v>1</v>
      </c>
      <c r="R434">
        <f>M434+IF(N434&gt;1,N(O434)*(N434-1),0)</f>
        <v/>
      </c>
      <c r="S434">
        <f>IFERROR(L434*MAX(N434,1)/R434*IF(ISBLANK(K432),1,K432),0)</f>
        <v/>
      </c>
      <c r="AB434" s="7" t="inlineStr">
        <is>
          <t>^Warhead_CannonHE_Heavy, ^Warhead_CannonHE_Medium, ^Warhead_CannonAP_Light</t>
        </is>
      </c>
    </row>
    <row r="435">
      <c r="B435" s="7" t="inlineStr">
        <is>
          <t xml:space="preserve">  ↳ LatinRusherRocket</t>
        </is>
      </c>
      <c r="C435" s="7" t="inlineStr">
        <is>
          <t>Armament@AA</t>
        </is>
      </c>
      <c r="L435" s="6" t="n">
        <v>16000</v>
      </c>
      <c r="M435" s="6" t="n">
        <v>101</v>
      </c>
      <c r="N435" s="6" t="n">
        <v>1</v>
      </c>
      <c r="O435" s="6" t="n"/>
      <c r="P435" s="6" t="n">
        <v>5031</v>
      </c>
      <c r="Q435" s="6" t="n">
        <v>1</v>
      </c>
      <c r="R435">
        <f>M435+IF(N435&gt;1,N(O435)*(N435-1),0)</f>
        <v/>
      </c>
      <c r="S435">
        <f>IFERROR(L435*MAX(N435,1)/R435*IF(ISBLANK(K432),1,K432),0)</f>
        <v/>
      </c>
      <c r="AB435" s="7" t="inlineStr">
        <is>
          <t>^Warhead_MissileAP_Medium</t>
        </is>
      </c>
    </row>
    <row r="436">
      <c r="B436" s="7" t="inlineStr">
        <is>
          <t xml:space="preserve">  ↳ LatinRusherRocket_elite</t>
        </is>
      </c>
      <c r="C436" s="7" t="inlineStr">
        <is>
          <t>Armament@AAE</t>
        </is>
      </c>
      <c r="L436" s="6" t="n">
        <v>32000</v>
      </c>
      <c r="M436" s="6" t="n">
        <v>101</v>
      </c>
      <c r="N436" s="6" t="n">
        <v>1</v>
      </c>
      <c r="O436" s="6" t="n"/>
      <c r="P436" s="6" t="n">
        <v>6031</v>
      </c>
      <c r="Q436" s="6" t="n">
        <v>1</v>
      </c>
      <c r="R436">
        <f>M436+IF(N436&gt;1,N(O436)*(N436-1),0)</f>
        <v/>
      </c>
      <c r="S436">
        <f>IFERROR(L436*MAX(N436,1)/R436*IF(ISBLANK(K432),1,K432),0)</f>
        <v/>
      </c>
      <c r="AB436" s="7" t="inlineStr">
        <is>
          <t>^Warhead_MissileAP_Medium</t>
        </is>
      </c>
    </row>
    <row r="437">
      <c r="A437" t="inlineStr">
        <is>
          <t>redalert2mod</t>
        </is>
      </c>
      <c r="B437" t="inlineStr">
        <is>
          <t>panzer.nax</t>
        </is>
      </c>
      <c r="C437" t="inlineStr">
        <is>
          <t>Panzer III</t>
        </is>
      </c>
      <c r="D437" s="6" t="inlineStr">
        <is>
          <t>LightTank</t>
        </is>
      </c>
      <c r="E437" s="6" t="n">
        <v>100000</v>
      </c>
      <c r="F437" s="6" t="n">
        <v>100</v>
      </c>
      <c r="G437" t="inlineStr">
        <is>
          <t>Medium</t>
        </is>
      </c>
      <c r="H437" s="6" t="n">
        <v>1</v>
      </c>
      <c r="I437" s="6" t="n">
        <v>1</v>
      </c>
      <c r="J437" s="6" t="n">
        <v>1</v>
      </c>
      <c r="K437" s="6" t="n"/>
      <c r="P437">
        <f>MAX(P438,P439)</f>
        <v/>
      </c>
      <c r="S437">
        <f>S438+S439</f>
        <v/>
      </c>
      <c r="T437">
        <f>(E437/100000+F437/100+(P437/1000)*J437/5+S437/200)*200*I437*H437</f>
        <v/>
      </c>
      <c r="U437">
        <f>((E437*F437/25000)+((P437/1000)*J437*S437/2.5))*I437*H437</f>
        <v/>
      </c>
      <c r="V437">
        <f>(E437*F437*(P437/1000)*J437*S437*I437*H437)/12500000</f>
        <v/>
      </c>
      <c r="W437">
        <f>(((E437/100000)+(F437/125)+(S437/200)+((P437/5000)*J437))*400/4+(((E437/100000)*(F437/125))+(((P437/5000)*J437)*(S437/200)))*400/2+((E437/100000)*(F437/125)*((P437/5000)*J437)*(S437/200))*400)*(H437/1.0)/3</f>
        <v/>
      </c>
      <c r="X437" s="6" t="n">
        <v>600</v>
      </c>
      <c r="Y437">
        <f>IFERROR(W437-X437,"")</f>
        <v/>
      </c>
      <c r="Z437">
        <f>IFERROR(ABS(Y437)/MAX(X437,1),"")</f>
        <v/>
      </c>
      <c r="AA437">
        <f>IFERROR(ROUND(((3*X437-(((E437/100000)+(F437/125)+(S437/200))*400/4+((E437/100000)*(F437/125))*400/2)*(H437/1.0))/(400/4+((S437/200))*400/2+((E437/100000)*(F437/125)*(S437/200))*400)*(H437/1.0)*5000)/J437,-1),"")</f>
        <v/>
      </c>
    </row>
    <row r="438">
      <c r="B438" s="7" t="inlineStr">
        <is>
          <t xml:space="preserve">  ↳ RA2105mm</t>
        </is>
      </c>
      <c r="C438" s="7" t="inlineStr">
        <is>
          <t>Armament</t>
        </is>
      </c>
      <c r="L438" s="6" t="n">
        <v>8000</v>
      </c>
      <c r="M438" s="6" t="n">
        <v>45</v>
      </c>
      <c r="N438" s="6" t="n">
        <v>1</v>
      </c>
      <c r="O438" s="6" t="n"/>
      <c r="P438" s="6" t="n">
        <v>5289</v>
      </c>
      <c r="Q438" s="6" t="n">
        <v>1</v>
      </c>
      <c r="R438">
        <f>M438+IF(N438&gt;1,N(O438)*(N438-1),0)</f>
        <v/>
      </c>
      <c r="S438">
        <f>IFERROR(L438*MAX(N438,1)/R438*IF(ISBLANK(K437),1,K437),0)</f>
        <v/>
      </c>
      <c r="AB438" s="7" t="inlineStr">
        <is>
          <t>^Warhead_CannonHE_Medium</t>
        </is>
      </c>
    </row>
    <row r="439">
      <c r="B439" s="7" t="inlineStr">
        <is>
          <t xml:space="preserve">  ↳ RA2105mm_elite</t>
        </is>
      </c>
      <c r="C439" s="7" t="inlineStr">
        <is>
          <t>Armament@elite</t>
        </is>
      </c>
      <c r="L439" s="6" t="n">
        <v>8000</v>
      </c>
      <c r="M439" s="6" t="n">
        <v>45</v>
      </c>
      <c r="N439" s="6" t="n">
        <v>2</v>
      </c>
      <c r="O439" s="6" t="n">
        <v>3</v>
      </c>
      <c r="P439" s="6" t="n">
        <v>6289</v>
      </c>
      <c r="Q439" s="6" t="n">
        <v>1</v>
      </c>
      <c r="R439">
        <f>M439+IF(N439&gt;1,N(O439)*(N439-1),0)</f>
        <v/>
      </c>
      <c r="S439">
        <f>IFERROR(L439*MAX(N439,1)/R439*IF(ISBLANK(K437),1,K437),0)</f>
        <v/>
      </c>
      <c r="AB439" s="7" t="inlineStr">
        <is>
          <t>^Warhead_CannonHE_Medium</t>
        </is>
      </c>
    </row>
    <row r="440">
      <c r="A440" t="inlineStr">
        <is>
          <t>redalert2mod</t>
        </is>
      </c>
      <c r="B440" t="inlineStr">
        <is>
          <t>schwarzermond_lunarpanzer</t>
        </is>
      </c>
      <c r="C440" t="inlineStr">
        <is>
          <t>Lunar Panzer</t>
        </is>
      </c>
      <c r="D440" s="6" t="inlineStr">
        <is>
          <t>LightTank</t>
        </is>
      </c>
      <c r="E440" s="6" t="n">
        <v>90000</v>
      </c>
      <c r="F440" s="6" t="n">
        <v>90</v>
      </c>
      <c r="G440" t="inlineStr">
        <is>
          <t>Medium</t>
        </is>
      </c>
      <c r="H440" s="6" t="n">
        <v>1</v>
      </c>
      <c r="I440" s="6" t="n">
        <v>1</v>
      </c>
      <c r="J440" s="6" t="n">
        <v>1</v>
      </c>
      <c r="K440" s="6" t="n"/>
      <c r="P440">
        <f>MAX(P441,P442,P443,P444)</f>
        <v/>
      </c>
      <c r="S440">
        <f>S441+S442+S443+S444</f>
        <v/>
      </c>
      <c r="T440">
        <f>(E440/100000+F440/100+(P440/1000)*J440/5+S440/200)*200*I440*H440</f>
        <v/>
      </c>
      <c r="U440">
        <f>((E440*F440/25000)+((P440/1000)*J440*S440/2.5))*I440*H440</f>
        <v/>
      </c>
      <c r="V440">
        <f>(E440*F440*(P440/1000)*J440*S440*I440*H440)/12500000</f>
        <v/>
      </c>
      <c r="W440">
        <f>(((E440/100000)+(F440/125)+(S440/200)+((P440/5000)*J440))*400/4+(((E440/100000)*(F440/125))+(((P440/5000)*J440)*(S440/200)))*400/2+((E440/100000)*(F440/125)*((P440/5000)*J440)*(S440/200))*400)*(H440/1.0)/3</f>
        <v/>
      </c>
      <c r="X440" s="6" t="n">
        <v>650</v>
      </c>
      <c r="Y440">
        <f>IFERROR(W440-X440,"")</f>
        <v/>
      </c>
      <c r="Z440">
        <f>IFERROR(ABS(Y440)/MAX(X440,1),"")</f>
        <v/>
      </c>
      <c r="AA440">
        <f>IFERROR(ROUND(((3*X440-(((E440/100000)+(F440/125)+(S440/200))*400/4+((E440/100000)*(F440/125))*400/2)*(H440/1.0))/(400/4+((S440/200))*400/2+((E440/100000)*(F440/125)*(S440/200))*400)*(H440/1.0)*5000)/J440,-1),"")</f>
        <v/>
      </c>
    </row>
    <row r="441">
      <c r="B441" s="7" t="inlineStr">
        <is>
          <t xml:space="preserve">  ↳ LunarPanzerCannon</t>
        </is>
      </c>
      <c r="C441" s="7" t="inlineStr">
        <is>
          <t>Armament</t>
        </is>
      </c>
      <c r="L441" s="6" t="n">
        <v>10000</v>
      </c>
      <c r="M441" s="6" t="n">
        <v>60</v>
      </c>
      <c r="N441" s="6" t="n">
        <v>1</v>
      </c>
      <c r="O441" s="6" t="n"/>
      <c r="P441" s="6" t="n">
        <v>5121</v>
      </c>
      <c r="Q441" s="6" t="n">
        <v>1</v>
      </c>
      <c r="R441">
        <f>M441+IF(N441&gt;1,N(O441)*(N441-1),0)</f>
        <v/>
      </c>
      <c r="S441">
        <f>IFERROR(L441*MAX(N441,1)/R441*IF(ISBLANK(K440),1,K440),0)</f>
        <v/>
      </c>
      <c r="AB441" s="7" t="inlineStr">
        <is>
          <t>^Warhead_CannonHE_Medium</t>
        </is>
      </c>
    </row>
    <row r="442">
      <c r="B442" s="7" t="inlineStr">
        <is>
          <t xml:space="preserve">  ↳ LunarPanzerCannon_elite</t>
        </is>
      </c>
      <c r="C442" s="7" t="inlineStr">
        <is>
          <t>Armament@elite</t>
        </is>
      </c>
      <c r="L442" s="6" t="n">
        <v>10000</v>
      </c>
      <c r="M442" s="6" t="n">
        <v>60</v>
      </c>
      <c r="N442" s="6" t="n">
        <v>2</v>
      </c>
      <c r="O442" s="6" t="n">
        <v>3</v>
      </c>
      <c r="P442" s="6" t="n">
        <v>6121</v>
      </c>
      <c r="Q442" s="6" t="n">
        <v>1</v>
      </c>
      <c r="R442">
        <f>M442+IF(N442&gt;1,N(O442)*(N442-1),0)</f>
        <v/>
      </c>
      <c r="S442">
        <f>IFERROR(L442*MAX(N442,1)/R442*IF(ISBLANK(K440),1,K440),0)</f>
        <v/>
      </c>
      <c r="AB442" s="7" t="inlineStr">
        <is>
          <t>^Warhead_CannonHE_Medium</t>
        </is>
      </c>
    </row>
    <row r="443">
      <c r="B443" s="7" t="inlineStr">
        <is>
          <t xml:space="preserve">  ↳ Lunar_Green105mm</t>
        </is>
      </c>
      <c r="C443" s="7" t="inlineStr">
        <is>
          <t>Armament@upgraded</t>
        </is>
      </c>
      <c r="L443" s="6" t="n">
        <v>16000</v>
      </c>
      <c r="M443" s="6" t="n">
        <v>50</v>
      </c>
      <c r="N443" s="6" t="n">
        <v>1</v>
      </c>
      <c r="O443" s="6" t="n"/>
      <c r="P443" s="6" t="n">
        <v>5000</v>
      </c>
      <c r="Q443" s="6" t="n">
        <v>1.125</v>
      </c>
      <c r="R443">
        <f>M443+IF(N443&gt;1,N(O443)*(N443-1),0)</f>
        <v/>
      </c>
      <c r="S443">
        <f>IFERROR(L443*MAX(N443,1)/R443*IF(ISBLANK(K440),1,K440),0)</f>
        <v/>
      </c>
      <c r="AB443" s="7" t="inlineStr">
        <is>
          <t>^Warhead_Tesla_Heavy, ^Warhead_CannonHE_Medium</t>
        </is>
      </c>
    </row>
    <row r="444">
      <c r="B444" s="7" t="inlineStr">
        <is>
          <t xml:space="preserve">  ↳ Lunar_Green105mm_elite</t>
        </is>
      </c>
      <c r="C444" s="7" t="inlineStr">
        <is>
          <t>Armament@upgraded-elite</t>
        </is>
      </c>
      <c r="L444" s="6" t="n">
        <v>16000</v>
      </c>
      <c r="M444" s="6" t="n">
        <v>50</v>
      </c>
      <c r="N444" s="6" t="n">
        <v>2</v>
      </c>
      <c r="O444" s="6" t="n">
        <v>5</v>
      </c>
      <c r="P444" s="6" t="n">
        <v>6000</v>
      </c>
      <c r="Q444" s="6" t="n">
        <v>1.125</v>
      </c>
      <c r="R444">
        <f>M444+IF(N444&gt;1,N(O444)*(N444-1),0)</f>
        <v/>
      </c>
      <c r="S444">
        <f>IFERROR(L444*MAX(N444,1)/R444*IF(ISBLANK(K440),1,K440),0)</f>
        <v/>
      </c>
      <c r="AB444" s="7" t="inlineStr">
        <is>
          <t>^Warhead_Tesla_Heavy, ^Warhead_CannonHE_Medium</t>
        </is>
      </c>
    </row>
    <row r="445">
      <c r="A445" t="inlineStr">
        <is>
          <t>redalert2mod</t>
        </is>
      </c>
      <c r="B445" t="inlineStr">
        <is>
          <t>futuretech_robottank</t>
        </is>
      </c>
      <c r="C445" t="inlineStr">
        <is>
          <t>Robot Tank</t>
        </is>
      </c>
      <c r="D445" s="6" t="inlineStr">
        <is>
          <t>LightTank</t>
        </is>
      </c>
      <c r="E445" s="6" t="n">
        <v>50000</v>
      </c>
      <c r="F445" s="6" t="n">
        <v>130</v>
      </c>
      <c r="G445" t="inlineStr">
        <is>
          <t>Medium</t>
        </is>
      </c>
      <c r="H445" s="6" t="n">
        <v>0.6846</v>
      </c>
      <c r="I445" s="6" t="n">
        <v>1</v>
      </c>
      <c r="J445" s="6" t="n">
        <v>1</v>
      </c>
      <c r="K445" s="6" t="n"/>
      <c r="P445">
        <f>MAX(P446,P447)</f>
        <v/>
      </c>
      <c r="S445">
        <f>S446+S447</f>
        <v/>
      </c>
      <c r="T445">
        <f>(E445/100000+F445/100+(P445/1000)*J445/5+S445/200)*200*I445*H445</f>
        <v/>
      </c>
      <c r="U445">
        <f>((E445*F445/25000)+((P445/1000)*J445*S445/2.5))*I445*H445</f>
        <v/>
      </c>
      <c r="V445">
        <f>(E445*F445*(P445/1000)*J445*S445*I445*H445)/12500000</f>
        <v/>
      </c>
      <c r="W445">
        <f>(((E445/100000)+(F445/125)+(S445/200)+((P445/5000)*J445))*400/4+(((E445/100000)*(F445/125))+(((P445/5000)*J445)*(S445/200)))*400/2+((E445/100000)*(F445/125)*((P445/5000)*J445)*(S445/200))*400)*(H445/1.0)/3</f>
        <v/>
      </c>
      <c r="X445" s="6" t="n">
        <v>1600</v>
      </c>
      <c r="Y445">
        <f>IFERROR(W445-X445,"")</f>
        <v/>
      </c>
      <c r="Z445">
        <f>IFERROR(ABS(Y445)/MAX(X445,1),"")</f>
        <v/>
      </c>
      <c r="AA445">
        <f>IFERROR(ROUND(((3*X445-(((E445/100000)+(F445/125)+(S445/200))*400/4+((E445/100000)*(F445/125))*400/2)*(H445/1.0))/(400/4+((S445/200))*400/2+((E445/100000)*(F445/125)*(S445/200))*400)*(H445/1.0)*5000)/J445,-1),"")</f>
        <v/>
      </c>
    </row>
    <row r="446">
      <c r="B446" s="7" t="inlineStr">
        <is>
          <t xml:space="preserve">  ↳ RA2Robotmm</t>
        </is>
      </c>
      <c r="C446" s="7" t="inlineStr">
        <is>
          <t>Armament</t>
        </is>
      </c>
      <c r="L446" s="6" t="n">
        <v>24000</v>
      </c>
      <c r="M446" s="6" t="n">
        <v>48</v>
      </c>
      <c r="N446" s="6" t="n">
        <v>1</v>
      </c>
      <c r="O446" s="6" t="n"/>
      <c r="P446" s="6" t="n">
        <v>5780</v>
      </c>
      <c r="Q446" s="6" t="n">
        <v>1</v>
      </c>
      <c r="R446">
        <f>M446+IF(N446&gt;1,N(O446)*(N446-1),0)</f>
        <v/>
      </c>
      <c r="S446">
        <f>IFERROR(L446*MAX(N446,1)/R446*IF(ISBLANK(K445),1,K445),0)</f>
        <v/>
      </c>
      <c r="AB446" s="7" t="inlineStr">
        <is>
          <t>^Warhead_Tesla_Heavy, ^Warhead_Laser_Heavy, ^Warhead_Railgun_Heavy</t>
        </is>
      </c>
    </row>
    <row r="447">
      <c r="B447" s="7" t="inlineStr">
        <is>
          <t xml:space="preserve">  ↳ RA2Robotmm_elite</t>
        </is>
      </c>
      <c r="C447" s="7" t="inlineStr">
        <is>
          <t>Armament@elite</t>
        </is>
      </c>
      <c r="L447" s="6" t="n">
        <v>24000</v>
      </c>
      <c r="M447" s="6" t="n">
        <v>48</v>
      </c>
      <c r="N447" s="6" t="n">
        <v>1</v>
      </c>
      <c r="O447" s="6" t="n"/>
      <c r="P447" s="6" t="n">
        <v>6780</v>
      </c>
      <c r="Q447" s="6" t="n">
        <v>1</v>
      </c>
      <c r="R447">
        <f>M447+IF(N447&gt;1,N(O447)*(N447-1),0)</f>
        <v/>
      </c>
      <c r="S447">
        <f>IFERROR(L447*MAX(N447,1)/R447*IF(ISBLANK(K445),1,K445),0)</f>
        <v/>
      </c>
      <c r="AB447" s="7" t="inlineStr">
        <is>
          <t>^Warhead_Tesla_Heavy, ^Warhead_Laser_Heavy, ^Warhead_Railgun_Heavy</t>
        </is>
      </c>
    </row>
    <row r="448">
      <c r="A448" t="inlineStr">
        <is>
          <t>d2k</t>
        </is>
      </c>
      <c r="B448" t="inlineStr">
        <is>
          <t>ordos_combattank</t>
        </is>
      </c>
      <c r="C448" t="inlineStr">
        <is>
          <t>Ordos Combat Tank</t>
        </is>
      </c>
      <c r="D448" s="6" t="inlineStr">
        <is>
          <t>LightTank</t>
        </is>
      </c>
      <c r="E448" s="6" t="n">
        <v>85000</v>
      </c>
      <c r="F448" s="6" t="n">
        <v>85</v>
      </c>
      <c r="G448" t="inlineStr">
        <is>
          <t>Medium</t>
        </is>
      </c>
      <c r="H448" s="6" t="n">
        <v>1</v>
      </c>
      <c r="I448" s="6" t="n">
        <v>1</v>
      </c>
      <c r="J448" s="6" t="n">
        <v>1</v>
      </c>
      <c r="K448" s="6" t="n"/>
      <c r="P448">
        <f>MAX(P449)</f>
        <v/>
      </c>
      <c r="S448">
        <f>S449</f>
        <v/>
      </c>
      <c r="T448">
        <f>(E448/100000+F448/100+(P448/1000)*J448/5+S448/200)*200*I448*H448</f>
        <v/>
      </c>
      <c r="U448">
        <f>((E448*F448/25000)+((P448/1000)*J448*S448/2.5))*I448*H448</f>
        <v/>
      </c>
      <c r="V448">
        <f>(E448*F448*(P448/1000)*J448*S448*I448*H448)/12500000</f>
        <v/>
      </c>
      <c r="W448">
        <f>(((E448/100000)+(F448/125)+(S448/200)+((P448/5000)*J448))*400/4+(((E448/100000)*(F448/125))+(((P448/5000)*J448)*(S448/200)))*400/2+((E448/100000)*(F448/125)*((P448/5000)*J448)*(S448/200))*400)*(H448/1.0)/3</f>
        <v/>
      </c>
      <c r="X448" s="6" t="n">
        <v>650</v>
      </c>
      <c r="Y448">
        <f>IFERROR(W448-X448,"")</f>
        <v/>
      </c>
      <c r="Z448">
        <f>IFERROR(ABS(Y448)/MAX(X448,1),"")</f>
        <v/>
      </c>
      <c r="AA448">
        <f>IFERROR(ROUND(((3*X448-(((E448/100000)+(F448/125)+(S448/200))*400/4+((E448/100000)*(F448/125))*400/2)*(H448/1.0))/(400/4+((S448/200))*400/2+((E448/100000)*(F448/125)*(S448/200))*400)*(H448/1.0)*5000)/J448,-1),"")</f>
        <v/>
      </c>
    </row>
    <row r="449">
      <c r="B449" s="7" t="inlineStr">
        <is>
          <t xml:space="preserve">  ↳ OrdosCombatTankCannon</t>
        </is>
      </c>
      <c r="C449" s="7" t="inlineStr">
        <is>
          <t>Armament</t>
        </is>
      </c>
      <c r="L449" s="6" t="n">
        <v>8000</v>
      </c>
      <c r="M449" s="6" t="n">
        <v>44</v>
      </c>
      <c r="N449" s="6" t="n">
        <v>1</v>
      </c>
      <c r="O449" s="6" t="n"/>
      <c r="P449" s="6" t="n">
        <v>5230</v>
      </c>
      <c r="Q449" s="6" t="n">
        <v>1</v>
      </c>
      <c r="R449">
        <f>M449+IF(N449&gt;1,N(O449)*(N449-1),0)</f>
        <v/>
      </c>
      <c r="S449">
        <f>IFERROR(L449*MAX(N449,1)/R449*IF(ISBLANK(K448),1,K448),0)</f>
        <v/>
      </c>
      <c r="AB449" s="7" t="inlineStr">
        <is>
          <t>^Warhead_CannonHE_Medium</t>
        </is>
      </c>
    </row>
    <row r="450">
      <c r="A450" t="inlineStr">
        <is>
          <t>d2k</t>
        </is>
      </c>
      <c r="B450" t="inlineStr">
        <is>
          <t>ixian_shockraider</t>
        </is>
      </c>
      <c r="C450" t="inlineStr">
        <is>
          <t>Shock Raider</t>
        </is>
      </c>
      <c r="D450" s="6" t="inlineStr">
        <is>
          <t>LightTank</t>
        </is>
      </c>
      <c r="E450" s="6" t="n">
        <v>40000</v>
      </c>
      <c r="F450" s="6" t="n">
        <v>120</v>
      </c>
      <c r="G450" t="inlineStr">
        <is>
          <t>Medium</t>
        </is>
      </c>
      <c r="H450" s="6" t="n">
        <v>0.75</v>
      </c>
      <c r="I450" s="6" t="n">
        <v>1</v>
      </c>
      <c r="J450" s="6" t="n">
        <v>1.25</v>
      </c>
      <c r="K450" s="6" t="n"/>
      <c r="P450">
        <f>MAX(P451)</f>
        <v/>
      </c>
      <c r="S450">
        <f>S451</f>
        <v/>
      </c>
      <c r="T450">
        <f>(E450/100000+F450/100+(P450/1000)*J450/5+S450/200)*200*I450*H450</f>
        <v/>
      </c>
      <c r="U450">
        <f>((E450*F450/25000)+((P450/1000)*J450*S450/2.5))*I450*H450</f>
        <v/>
      </c>
      <c r="V450">
        <f>(E450*F450*(P450/1000)*J450*S450*I450*H450)/12500000</f>
        <v/>
      </c>
      <c r="W450">
        <f>(((E450/100000)+(F450/125)+(S450/200)+((P450/5000)*J450))*400/4+(((E450/100000)*(F450/125))+(((P450/5000)*J450)*(S450/200)))*400/2+((E450/100000)*(F450/125)*((P450/5000)*J450)*(S450/200))*400)*(H450/1.0)/3</f>
        <v/>
      </c>
      <c r="X450" s="6" t="n">
        <v>1300</v>
      </c>
      <c r="Y450">
        <f>IFERROR(W450-X450,"")</f>
        <v/>
      </c>
      <c r="Z450">
        <f>IFERROR(ABS(Y450)/MAX(X450,1),"")</f>
        <v/>
      </c>
      <c r="AA450">
        <f>IFERROR(ROUND(((3*X450-(((E450/100000)+(F450/125)+(S450/200))*400/4+((E450/100000)*(F450/125))*400/2)*(H450/1.0))/(400/4+((S450/200))*400/2+((E450/100000)*(F450/125)*(S450/200))*400)*(H450/1.0)*5000)/J450,-1),"")</f>
        <v/>
      </c>
    </row>
    <row r="451">
      <c r="B451" s="7" t="inlineStr">
        <is>
          <t xml:space="preserve">  ↳ D2K_ShockGun</t>
        </is>
      </c>
      <c r="C451" s="7" t="inlineStr">
        <is>
          <t>Armament@damage</t>
        </is>
      </c>
      <c r="L451" s="6" t="n">
        <v>40000</v>
      </c>
      <c r="M451" s="6" t="n">
        <v>100</v>
      </c>
      <c r="N451" s="6" t="n">
        <v>1</v>
      </c>
      <c r="O451" s="6" t="n"/>
      <c r="P451" s="6" t="n">
        <v>7756</v>
      </c>
      <c r="Q451" s="6" t="n">
        <v>1.25</v>
      </c>
      <c r="R451">
        <f>M451+IF(N451&gt;1,N(O451)*(N451-1),0)</f>
        <v/>
      </c>
      <c r="S451">
        <f>IFERROR(L451*MAX(N451,1)/R451*IF(ISBLANK(K450),1,K450),0)</f>
        <v/>
      </c>
      <c r="AB451" s="7" t="inlineStr">
        <is>
          <t>^Warhead_Storm_Heavy</t>
        </is>
      </c>
    </row>
    <row r="452">
      <c r="A452" t="inlineStr">
        <is>
          <t>starcraft</t>
        </is>
      </c>
      <c r="B452" t="inlineStr">
        <is>
          <t>terran_vulture</t>
        </is>
      </c>
      <c r="C452" t="inlineStr">
        <is>
          <t>Vulture</t>
        </is>
      </c>
      <c r="D452" s="6" t="inlineStr">
        <is>
          <t>LightTank</t>
        </is>
      </c>
      <c r="E452" s="6" t="n">
        <v>75000</v>
      </c>
      <c r="F452" s="6" t="n">
        <v>125</v>
      </c>
      <c r="G452" t="inlineStr">
        <is>
          <t>Medium</t>
        </is>
      </c>
      <c r="H452" s="6" t="n">
        <v>1</v>
      </c>
      <c r="I452" s="6" t="n">
        <v>0.5</v>
      </c>
      <c r="J452" s="6" t="n">
        <v>1</v>
      </c>
      <c r="K452" s="6" t="n"/>
      <c r="P452">
        <f>MAX(P453)</f>
        <v/>
      </c>
      <c r="S452">
        <f>S453</f>
        <v/>
      </c>
      <c r="T452">
        <f>(E452/100000+F452/100+(P452/1000)*J452/5+S452/200)*200*I452*H452</f>
        <v/>
      </c>
      <c r="U452">
        <f>((E452*F452/25000)+((P452/1000)*J452*S452/2.5))*I452*H452</f>
        <v/>
      </c>
      <c r="V452">
        <f>(E452*F452*(P452/1000)*J452*S452*I452*H452)/12500000</f>
        <v/>
      </c>
      <c r="W452">
        <f>(((E452/100000)+(F452/125)+(S452/200)+((P452/5000)*J452))*400/4+(((E452/100000)*(F452/125))+(((P452/5000)*J452)*(S452/200)))*400/2+((E452/100000)*(F452/125)*((P452/5000)*J452)*(S452/200))*400)*(H452/1.0)/3</f>
        <v/>
      </c>
      <c r="X452" s="6" t="n">
        <v>900</v>
      </c>
      <c r="Y452">
        <f>IFERROR(W452-X452,"")</f>
        <v/>
      </c>
      <c r="Z452">
        <f>IFERROR(ABS(Y452)/MAX(X452,1),"")</f>
        <v/>
      </c>
      <c r="AA452">
        <f>IFERROR(ROUND(((3*X452-(((E452/100000)+(F452/125)+(S452/200))*400/4+((E452/100000)*(F452/125))*400/2)*(H452/1.0))/(400/4+((S452/200))*400/2+((E452/100000)*(F452/125)*(S452/200))*400)*(H452/1.0)*5000)/J452,-1),"")</f>
        <v/>
      </c>
    </row>
    <row r="453">
      <c r="B453" s="7" t="inlineStr">
        <is>
          <t xml:space="preserve">  ↳ VultureGrenade</t>
        </is>
      </c>
      <c r="C453" s="7" t="inlineStr">
        <is>
          <t>Armament</t>
        </is>
      </c>
      <c r="L453" s="6" t="n">
        <v>20000</v>
      </c>
      <c r="M453" s="6" t="n">
        <v>25</v>
      </c>
      <c r="N453" s="6" t="n">
        <v>1</v>
      </c>
      <c r="O453" s="6" t="n"/>
      <c r="P453" s="6" t="n">
        <v>4800</v>
      </c>
      <c r="Q453" s="6" t="n">
        <v>1</v>
      </c>
      <c r="R453">
        <f>M453+IF(N453&gt;1,N(O453)*(N453-1),0)</f>
        <v/>
      </c>
      <c r="S453">
        <f>IFERROR(L453*MAX(N453,1)/R453*IF(ISBLANK(K452),1,K452),0)</f>
        <v/>
      </c>
      <c r="AB453" s="7" t="inlineStr">
        <is>
          <t>^Warhead_CannonHE_Medium</t>
        </is>
      </c>
    </row>
    <row r="454">
      <c r="A454" s="4" t="inlineStr">
        <is>
          <t>ArtilleryTank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</row>
    <row r="455">
      <c r="A455" t="inlineStr">
        <is>
          <t>tiberiandawn</t>
        </is>
      </c>
      <c r="B455" t="inlineStr">
        <is>
          <t>td_gdi_archerartillery</t>
        </is>
      </c>
      <c r="C455" t="inlineStr">
        <is>
          <t>Archer Artillery</t>
        </is>
      </c>
      <c r="D455" s="6" t="inlineStr">
        <is>
          <t>ArtilleryTank</t>
        </is>
      </c>
      <c r="E455" s="6" t="n">
        <v>35000</v>
      </c>
      <c r="F455" s="6" t="n">
        <v>70</v>
      </c>
      <c r="G455" t="inlineStr">
        <is>
          <t>Medium</t>
        </is>
      </c>
      <c r="H455" s="6" t="n">
        <v>0.75</v>
      </c>
      <c r="I455" s="6" t="n">
        <v>0.5</v>
      </c>
      <c r="J455" s="6" t="n">
        <v>1</v>
      </c>
      <c r="K455" s="6" t="n"/>
      <c r="P455">
        <f>MAX(P456)</f>
        <v/>
      </c>
      <c r="S455">
        <f>S456</f>
        <v/>
      </c>
      <c r="T455">
        <f>(E455/100000+F455/100+(P455/1000)*J455/5+S455/200)*200*I455*H455</f>
        <v/>
      </c>
      <c r="U455">
        <f>((E455*F455/25000)+((P455/1000)*J455*S455/2.5))*I455*H455</f>
        <v/>
      </c>
      <c r="V455">
        <f>(E455*F455*(P455/1000)*J455*S455*I455*H455)/12500000</f>
        <v/>
      </c>
      <c r="W455">
        <f>(((E455/140000)+(F455/85)+(S455/525)+((P455/12000)*J455))*700/4+(((E455/140000)*(F455/85))+(((P455/12000)*J455)*(S455/525)))*700/2+((E455/140000)*(F455/85)*((P455/12000)*J455)*(S455/525))*700)*(H455/1.0)/3</f>
        <v/>
      </c>
      <c r="X455" s="6" t="n">
        <v>750</v>
      </c>
      <c r="Y455">
        <f>IFERROR(W455-X455,"")</f>
        <v/>
      </c>
      <c r="Z455">
        <f>IFERROR(ABS(Y455)/MAX(X455,1),"")</f>
        <v/>
      </c>
      <c r="AA455">
        <f>IFERROR(ROUND(((3*X455-(((E455/140000)+(F455/85)+(S455/525))*700/4+((E455/140000)*(F455/85))*700/2)*(H455/1.0))/(700/4+((S455/525))*700/2+((E455/140000)*(F455/85)*(S455/525))*700)*(H455/1.0)*12000)/J455,-1),"")</f>
        <v/>
      </c>
    </row>
    <row r="456">
      <c r="B456" s="7" t="inlineStr">
        <is>
          <t xml:space="preserve">  ↳ ArcherArtilleryShell</t>
        </is>
      </c>
      <c r="C456" s="7" t="inlineStr">
        <is>
          <t>Armament@PRIMARY</t>
        </is>
      </c>
      <c r="L456" s="6" t="n">
        <v>70000</v>
      </c>
      <c r="M456" s="6" t="n">
        <v>140</v>
      </c>
      <c r="N456" s="6" t="n">
        <v>1</v>
      </c>
      <c r="O456" s="6" t="n"/>
      <c r="P456" s="6" t="n">
        <v>14000</v>
      </c>
      <c r="Q456" s="6" t="n">
        <v>1</v>
      </c>
      <c r="R456">
        <f>M456+IF(N456&gt;1,N(O456)*(N456-1),0)</f>
        <v/>
      </c>
      <c r="S456">
        <f>IFERROR(L456*MAX(N456,1)/R456*IF(ISBLANK(K455),1,K455),0)</f>
        <v/>
      </c>
      <c r="AB456" s="7" t="inlineStr">
        <is>
          <t>^MediumCannon, ^HeavyCannon, ^MediumFlameWeapon, ^ShrapnelWeapon, ^HeavyBomb</t>
        </is>
      </c>
    </row>
    <row r="457">
      <c r="A457" t="inlineStr">
        <is>
          <t>redalert</t>
        </is>
      </c>
      <c r="B457" t="inlineStr">
        <is>
          <t>japan_waveforceartillery</t>
        </is>
      </c>
      <c r="C457" t="inlineStr">
        <is>
          <t>Waveforce Artillery</t>
        </is>
      </c>
      <c r="D457" s="6" t="inlineStr">
        <is>
          <t>ArtilleryTank</t>
        </is>
      </c>
      <c r="E457" s="6" t="n">
        <v>50000</v>
      </c>
      <c r="F457" s="6" t="n">
        <v>55</v>
      </c>
      <c r="G457" t="inlineStr">
        <is>
          <t>Medium</t>
        </is>
      </c>
      <c r="H457" s="6" t="n">
        <v>0.75</v>
      </c>
      <c r="I457" s="6" t="n">
        <v>1</v>
      </c>
      <c r="J457" s="6" t="n">
        <v>1.25</v>
      </c>
      <c r="K457" s="6" t="n">
        <v>0.005</v>
      </c>
      <c r="X457" s="6" t="n">
        <v>2500</v>
      </c>
    </row>
    <row r="458">
      <c r="B458" s="7" t="inlineStr">
        <is>
          <t xml:space="preserve">  ↳ WaveArtilleryShell</t>
        </is>
      </c>
      <c r="C458" s="7" t="inlineStr">
        <is>
          <t>Armament@AG</t>
        </is>
      </c>
      <c r="L458" s="6" t="n"/>
      <c r="M458" s="6" t="n">
        <v>111</v>
      </c>
      <c r="N458" s="6" t="n">
        <v>1</v>
      </c>
      <c r="O458" s="6" t="n"/>
      <c r="P458" s="6" t="n">
        <v>11111</v>
      </c>
      <c r="Q458" s="6" t="n">
        <v>1</v>
      </c>
      <c r="R458">
        <f>M458+IF(N458&gt;1,N(O458)*(N458-1),0)</f>
        <v/>
      </c>
      <c r="S458">
        <f>IFERROR(L458*MAX(N458,1)/R458*IF(ISBLANK(K457),1,K457),0)</f>
        <v/>
      </c>
      <c r="AB458" s="7" t="inlineStr"/>
    </row>
    <row r="459">
      <c r="A459" t="inlineStr">
        <is>
          <t>redalert</t>
        </is>
      </c>
      <c r="B459" t="inlineStr">
        <is>
          <t>ra1_soviets_grad</t>
        </is>
      </c>
      <c r="C459" t="inlineStr">
        <is>
          <t>Grad</t>
        </is>
      </c>
      <c r="D459" s="6" t="inlineStr">
        <is>
          <t>ArtilleryTank</t>
        </is>
      </c>
      <c r="E459" s="6" t="n">
        <v>50000</v>
      </c>
      <c r="F459" s="6" t="n">
        <v>75</v>
      </c>
      <c r="G459" t="inlineStr">
        <is>
          <t>Medium</t>
        </is>
      </c>
      <c r="H459" s="6" t="n">
        <v>0.75</v>
      </c>
      <c r="I459" s="6" t="n">
        <v>0.5</v>
      </c>
      <c r="J459" s="6" t="n">
        <v>1</v>
      </c>
      <c r="K459" s="6" t="n"/>
      <c r="P459">
        <f>MAX(P460,P461)</f>
        <v/>
      </c>
      <c r="S459">
        <f>S460+S461</f>
        <v/>
      </c>
      <c r="T459">
        <f>(E459/100000+F459/100+(P459/1000)*J459/5+S459/200)*200*I459*H459</f>
        <v/>
      </c>
      <c r="U459">
        <f>((E459*F459/25000)+((P459/1000)*J459*S459/2.5))*I459*H459</f>
        <v/>
      </c>
      <c r="V459">
        <f>(E459*F459*(P459/1000)*J459*S459*I459*H459)/12500000</f>
        <v/>
      </c>
      <c r="W459">
        <f>(((E459/140000)+(F459/85)+(S459/525)+((P459/12000)*J459))*700/4+(((E459/140000)*(F459/85))+(((P459/12000)*J459)*(S459/525)))*700/2+((E459/140000)*(F459/85)*((P459/12000)*J459)*(S459/525))*700)*(H459/1.0)/3</f>
        <v/>
      </c>
      <c r="X459" s="6" t="n">
        <v>1400</v>
      </c>
      <c r="Y459">
        <f>IFERROR(W459-X459,"")</f>
        <v/>
      </c>
      <c r="Z459">
        <f>IFERROR(ABS(Y459)/MAX(X459,1),"")</f>
        <v/>
      </c>
      <c r="AA459">
        <f>IFERROR(ROUND(((3*X459-(((E459/140000)+(F459/85)+(S459/525))*700/4+((E459/140000)*(F459/85))*700/2)*(H459/1.0))/(700/4+((S459/525))*700/2+((E459/140000)*(F459/85)*(S459/525))*700)*(H459/1.0)*12000)/J459,-1),"")</f>
        <v/>
      </c>
    </row>
    <row r="460">
      <c r="B460" s="7" t="inlineStr">
        <is>
          <t xml:space="preserve">  ↳ GradRockets</t>
        </is>
      </c>
      <c r="C460" s="7" t="inlineStr">
        <is>
          <t>Armament</t>
        </is>
      </c>
      <c r="L460" s="6" t="n">
        <v>16000</v>
      </c>
      <c r="M460" s="6" t="n">
        <v>115</v>
      </c>
      <c r="N460" s="6" t="n">
        <v>8</v>
      </c>
      <c r="O460" s="6" t="n">
        <v>5</v>
      </c>
      <c r="P460" s="6" t="n">
        <v>13820</v>
      </c>
      <c r="Q460" s="6" t="n">
        <v>1.125</v>
      </c>
      <c r="R460">
        <f>M460+IF(N460&gt;1,N(O460)*(N460-1),0)</f>
        <v/>
      </c>
      <c r="S460">
        <f>IFERROR(L460*MAX(N460,1)/R460*IF(ISBLANK(K459),1,K459),0)</f>
        <v/>
      </c>
      <c r="AB460" s="7" t="inlineStr">
        <is>
          <t>^Warhead_MissileHE_Heavy, ^Warhead_Concussion_Medium</t>
        </is>
      </c>
    </row>
    <row r="461">
      <c r="B461" s="7" t="inlineStr">
        <is>
          <t xml:space="preserve">  ↳ GradHeavyRockets</t>
        </is>
      </c>
      <c r="C461" s="7" t="inlineStr">
        <is>
          <t>Armament@Upgrade</t>
        </is>
      </c>
      <c r="L461" s="6" t="n">
        <v>16000</v>
      </c>
      <c r="M461" s="6" t="n">
        <v>115</v>
      </c>
      <c r="N461" s="6" t="n">
        <v>8</v>
      </c>
      <c r="O461" s="6" t="n">
        <v>5</v>
      </c>
      <c r="P461" s="6" t="n">
        <v>13820</v>
      </c>
      <c r="Q461" s="6" t="n">
        <v>1.125</v>
      </c>
      <c r="R461">
        <f>M461+IF(N461&gt;1,N(O461)*(N461-1),0)</f>
        <v/>
      </c>
      <c r="S461">
        <f>IFERROR(L461*MAX(N461,1)/R461*IF(ISBLANK(K459),1,K459),0)</f>
        <v/>
      </c>
      <c r="AB461" s="7" t="inlineStr">
        <is>
          <t>^Warhead_MissileHE_Heavy, ^Warhead_Concussion_Medium</t>
        </is>
      </c>
    </row>
    <row r="462">
      <c r="A462" t="inlineStr">
        <is>
          <t>tiberiansun</t>
        </is>
      </c>
      <c r="B462" t="inlineStr">
        <is>
          <t>ts_nod_artillery</t>
        </is>
      </c>
      <c r="C462" t="inlineStr">
        <is>
          <t>Artillery</t>
        </is>
      </c>
      <c r="D462" s="6" t="inlineStr">
        <is>
          <t>ArtilleryTank</t>
        </is>
      </c>
      <c r="E462" s="6" t="n">
        <v>30000</v>
      </c>
      <c r="F462" s="6" t="n">
        <v>60</v>
      </c>
      <c r="G462" t="inlineStr">
        <is>
          <t>Medium</t>
        </is>
      </c>
      <c r="H462" s="6" t="n">
        <v>1</v>
      </c>
      <c r="I462" s="6" t="n">
        <v>1</v>
      </c>
      <c r="J462" s="6" t="n">
        <v>1</v>
      </c>
      <c r="K462" s="6" t="n"/>
      <c r="P462">
        <f>MAX(P464,P465)</f>
        <v/>
      </c>
      <c r="S462">
        <f>S464+S465</f>
        <v/>
      </c>
      <c r="T462">
        <f>(E462/100000+F462/100+(P462/1000)*J462/5+S462/200)*200*I462*H462</f>
        <v/>
      </c>
      <c r="U462">
        <f>((E462*F462/25000)+((P462/1000)*J462*S462/2.5))*I462*H462</f>
        <v/>
      </c>
      <c r="V462">
        <f>(E462*F462*(P462/1000)*J462*S462*I462*H462)/12500000</f>
        <v/>
      </c>
      <c r="W462">
        <f>(((E462/140000)+(F462/85)+(S462/525)+((P462/12000)*J462))*700/4+(((E462/140000)*(F462/85))+(((P462/12000)*J462)*(S462/525)))*700/2+((E462/140000)*(F462/85)*((P462/12000)*J462)*(S462/525))*700)*(H462/1.0)/3</f>
        <v/>
      </c>
      <c r="X462" s="6" t="n">
        <v>1300</v>
      </c>
      <c r="Y462">
        <f>IFERROR(W462-X462,"")</f>
        <v/>
      </c>
      <c r="Z462">
        <f>IFERROR(ABS(Y462)/MAX(X462,1),"")</f>
        <v/>
      </c>
      <c r="AA462">
        <f>IFERROR(ROUND(((3*X462-(((E462/140000)+(F462/85)+(S462/525))*700/4+((E462/140000)*(F462/85))*700/2)*(H462/1.0))/(700/4+((S462/525))*700/2+((E462/140000)*(F462/85)*(S462/525))*700)*(H462/1.0)*12000)/J462,-1),"")</f>
        <v/>
      </c>
    </row>
    <row r="463">
      <c r="B463" s="7" t="inlineStr">
        <is>
          <t xml:space="preserve">  ↳ TSArtyTargeting</t>
        </is>
      </c>
      <c r="C463" s="7" t="inlineStr">
        <is>
          <t>Armament@Dummy</t>
        </is>
      </c>
      <c r="L463" s="6" t="n"/>
      <c r="M463" s="6" t="n">
        <v>33</v>
      </c>
      <c r="N463" s="6" t="n">
        <v>1</v>
      </c>
      <c r="O463" s="6" t="n"/>
      <c r="P463" s="6" t="n">
        <v>13083</v>
      </c>
      <c r="Q463" s="6" t="n">
        <v>1</v>
      </c>
      <c r="R463">
        <f>M463+IF(N463&gt;1,N(O463)*(N463-1),0)</f>
        <v/>
      </c>
      <c r="S463">
        <f>IFERROR(L463*MAX(N463,1)/R463*IF(ISBLANK(K462),1,K462),0)</f>
        <v/>
      </c>
      <c r="AB463" s="7" t="inlineStr"/>
    </row>
    <row r="464">
      <c r="B464" s="7" t="inlineStr">
        <is>
          <t xml:space="preserve">  ↳ TS155mm</t>
        </is>
      </c>
      <c r="C464" s="7" t="inlineStr">
        <is>
          <t>Armament@Deployed</t>
        </is>
      </c>
      <c r="L464" s="6" t="n">
        <v>60000</v>
      </c>
      <c r="M464" s="6" t="n">
        <v>135</v>
      </c>
      <c r="N464" s="6" t="n">
        <v>1</v>
      </c>
      <c r="O464" s="6" t="n"/>
      <c r="P464" s="6" t="n">
        <v>13083</v>
      </c>
      <c r="Q464" s="6" t="n">
        <v>1.125</v>
      </c>
      <c r="R464">
        <f>M464+IF(N464&gt;1,N(O464)*(N464-1),0)</f>
        <v/>
      </c>
      <c r="S464">
        <f>IFERROR(L464*MAX(N464,1)/R464*IF(ISBLANK(K462),1,K462),0)</f>
        <v/>
      </c>
      <c r="AB464" s="7" t="inlineStr">
        <is>
          <t>^Warhead_Concussion_Medium, ^Warhead_Demolition_Heavy</t>
        </is>
      </c>
    </row>
    <row r="465">
      <c r="B465" s="7" t="inlineStr">
        <is>
          <t xml:space="preserve">  ↳ TSAux155mm</t>
        </is>
      </c>
      <c r="C465" s="7" t="inlineStr">
        <is>
          <t>Armament@DeployedUpgrade</t>
        </is>
      </c>
      <c r="L465" s="6" t="n">
        <v>60000</v>
      </c>
      <c r="M465" s="6" t="n">
        <v>135</v>
      </c>
      <c r="N465" s="6" t="n">
        <v>1</v>
      </c>
      <c r="O465" s="6" t="n"/>
      <c r="P465" s="6" t="n">
        <v>13083</v>
      </c>
      <c r="Q465" s="6" t="n">
        <v>1.125</v>
      </c>
      <c r="R465">
        <f>M465+IF(N465&gt;1,N(O465)*(N465-1),0)</f>
        <v/>
      </c>
      <c r="S465">
        <f>IFERROR(L465*MAX(N465,1)/R465*IF(ISBLANK(K462),1,K462),0)</f>
        <v/>
      </c>
      <c r="AB465" s="7" t="inlineStr">
        <is>
          <t>^Warhead_Concussion_Medium, ^Warhead_Demolition_Heavy</t>
        </is>
      </c>
    </row>
    <row r="466">
      <c r="A466" t="inlineStr">
        <is>
          <t>tiberiansun</t>
        </is>
      </c>
      <c r="B466" t="inlineStr">
        <is>
          <t>ts_gdi_juggernaut</t>
        </is>
      </c>
      <c r="C466" t="inlineStr">
        <is>
          <t>Juggernaut</t>
        </is>
      </c>
      <c r="D466" s="6" t="inlineStr">
        <is>
          <t>ArtilleryTank</t>
        </is>
      </c>
      <c r="E466" s="6" t="n">
        <v>35000</v>
      </c>
      <c r="F466" s="6" t="n">
        <v>71</v>
      </c>
      <c r="G466" t="inlineStr">
        <is>
          <t>Medium</t>
        </is>
      </c>
      <c r="H466" s="6" t="n">
        <v>0.6471</v>
      </c>
      <c r="I466" s="6" t="n">
        <v>1</v>
      </c>
      <c r="J466" s="6" t="n">
        <v>1</v>
      </c>
      <c r="K466" s="6" t="n"/>
      <c r="P466">
        <f>MAX(P468)</f>
        <v/>
      </c>
      <c r="S466">
        <f>S468</f>
        <v/>
      </c>
      <c r="T466">
        <f>(E466/100000+F466/100+(P466/1000)*J466/5+S466/200)*200*I466*H466</f>
        <v/>
      </c>
      <c r="U466">
        <f>((E466*F466/25000)+((P466/1000)*J466*S466/2.5))*I466*H466</f>
        <v/>
      </c>
      <c r="V466">
        <f>(E466*F466*(P466/1000)*J466*S466*I466*H466)/12500000</f>
        <v/>
      </c>
      <c r="W466">
        <f>(((E466/140000)+(F466/85)+(S466/525)+((P466/12000)*J466))*700/4+(((E466/140000)*(F466/85))+(((P466/12000)*J466)*(S466/525)))*700/2+((E466/140000)*(F466/85)*((P466/12000)*J466)*(S466/525))*700)*(H466/1.0)/3</f>
        <v/>
      </c>
      <c r="X466" s="6" t="n">
        <v>1400</v>
      </c>
      <c r="Y466">
        <f>IFERROR(W466-X466,"")</f>
        <v/>
      </c>
      <c r="Z466">
        <f>IFERROR(ABS(Y466)/MAX(X466,1),"")</f>
        <v/>
      </c>
      <c r="AA466">
        <f>IFERROR(ROUND(((3*X466-(((E466/140000)+(F466/85)+(S466/525))*700/4+((E466/140000)*(F466/85))*700/2)*(H466/1.0))/(700/4+((S466/525))*700/2+((E466/140000)*(F466/85)*(S466/525))*700)*(H466/1.0)*12000)/J466,-1),"")</f>
        <v/>
      </c>
    </row>
    <row r="467">
      <c r="B467" s="7" t="inlineStr">
        <is>
          <t xml:space="preserve">  ↳ TSJuggTargeting</t>
        </is>
      </c>
      <c r="C467" s="7" t="inlineStr">
        <is>
          <t>Armament@Dummy</t>
        </is>
      </c>
      <c r="L467" s="6" t="n"/>
      <c r="M467" s="6" t="n">
        <v>33</v>
      </c>
      <c r="N467" s="6" t="n">
        <v>1</v>
      </c>
      <c r="O467" s="6" t="n"/>
      <c r="P467" s="6" t="n">
        <v>12834</v>
      </c>
      <c r="Q467" s="6" t="n">
        <v>1</v>
      </c>
      <c r="R467">
        <f>M467+IF(N467&gt;1,N(O467)*(N467-1),0)</f>
        <v/>
      </c>
      <c r="S467">
        <f>IFERROR(L467*MAX(N467,1)/R467*IF(ISBLANK(K466),1,K466),0)</f>
        <v/>
      </c>
      <c r="AB467" s="7" t="inlineStr"/>
    </row>
    <row r="468">
      <c r="B468" s="7" t="inlineStr">
        <is>
          <t xml:space="preserve">  ↳ TSJugg90mm</t>
        </is>
      </c>
      <c r="C468" s="7" t="inlineStr">
        <is>
          <t>Armament@Deployed</t>
        </is>
      </c>
      <c r="L468" s="6" t="n">
        <v>30000</v>
      </c>
      <c r="M468" s="6" t="n">
        <v>69</v>
      </c>
      <c r="N468" s="6" t="n">
        <v>3</v>
      </c>
      <c r="O468" s="6" t="n">
        <v>3</v>
      </c>
      <c r="P468" s="6" t="n">
        <v>12834</v>
      </c>
      <c r="Q468" s="6" t="n">
        <v>1</v>
      </c>
      <c r="R468">
        <f>M468+IF(N468&gt;1,N(O468)*(N468-1),0)</f>
        <v/>
      </c>
      <c r="S468">
        <f>IFERROR(L468*MAX(N468,1)/R468*IF(ISBLANK(K466),1,K466),0)</f>
        <v/>
      </c>
      <c r="AB468" s="7" t="inlineStr">
        <is>
          <t>^Warhead_Concussion_Medium</t>
        </is>
      </c>
    </row>
    <row r="469">
      <c r="A469" t="inlineStr">
        <is>
          <t>tiberiansun</t>
        </is>
      </c>
      <c r="B469" t="inlineStr">
        <is>
          <t>forgotten_missilevan</t>
        </is>
      </c>
      <c r="C469" t="inlineStr">
        <is>
          <t>actor_forgotten_missilevan.name</t>
        </is>
      </c>
      <c r="D469" s="6" t="inlineStr">
        <is>
          <t>ArtilleryTank</t>
        </is>
      </c>
      <c r="E469" s="6" t="n">
        <v>35000</v>
      </c>
      <c r="F469" s="6" t="n">
        <v>75</v>
      </c>
      <c r="G469" t="inlineStr">
        <is>
          <t>Medium</t>
        </is>
      </c>
      <c r="H469" s="6" t="n">
        <v>0.7269</v>
      </c>
      <c r="I469" s="6" t="n">
        <v>1</v>
      </c>
      <c r="J469" s="6" t="n">
        <v>1</v>
      </c>
      <c r="K469" s="6" t="n"/>
      <c r="P469">
        <f>MAX(P470,P471)</f>
        <v/>
      </c>
      <c r="S469">
        <f>S470+S471</f>
        <v/>
      </c>
      <c r="T469">
        <f>(E469/100000+F469/100+(P469/1000)*J469/5+S469/200)*200*I469*H469</f>
        <v/>
      </c>
      <c r="U469">
        <f>((E469*F469/25000)+((P469/1000)*J469*S469/2.5))*I469*H469</f>
        <v/>
      </c>
      <c r="V469">
        <f>(E469*F469*(P469/1000)*J469*S469*I469*H469)/12500000</f>
        <v/>
      </c>
      <c r="W469">
        <f>(((E469/140000)+(F469/85)+(S469/525)+((P469/12000)*J469))*700/4+(((E469/140000)*(F469/85))+(((P469/12000)*J469)*(S469/525)))*700/2+((E469/140000)*(F469/85)*((P469/12000)*J469)*(S469/525))*700)*(H469/1.0)/3</f>
        <v/>
      </c>
      <c r="X469" s="6" t="n">
        <v>1200</v>
      </c>
      <c r="Y469">
        <f>IFERROR(W469-X469,"")</f>
        <v/>
      </c>
      <c r="Z469">
        <f>IFERROR(ABS(Y469)/MAX(X469,1),"")</f>
        <v/>
      </c>
      <c r="AA469">
        <f>IFERROR(ROUND(((3*X469-(((E469/140000)+(F469/85)+(S469/525))*700/4+((E469/140000)*(F469/85))*700/2)*(H469/1.0))/(700/4+((S469/525))*700/2+((E469/140000)*(F469/85)*(S469/525))*700)*(H469/1.0)*12000)/J469,-1),"")</f>
        <v/>
      </c>
    </row>
    <row r="470">
      <c r="B470" s="7" t="inlineStr">
        <is>
          <t xml:space="preserve">  ↳ TSVanMissile</t>
        </is>
      </c>
      <c r="C470" s="7" t="inlineStr">
        <is>
          <t>Armament@PRIMARY</t>
        </is>
      </c>
      <c r="L470" s="6" t="n">
        <v>24000</v>
      </c>
      <c r="M470" s="6" t="n">
        <v>32</v>
      </c>
      <c r="N470" s="6" t="n">
        <v>2</v>
      </c>
      <c r="O470" s="6" t="n">
        <v>8</v>
      </c>
      <c r="P470" s="6" t="n">
        <v>10460</v>
      </c>
      <c r="Q470" s="6" t="n">
        <v>1</v>
      </c>
      <c r="R470">
        <f>M470+IF(N470&gt;1,N(O470)*(N470-1),0)</f>
        <v/>
      </c>
      <c r="S470">
        <f>IFERROR(L470*MAX(N470,1)/R470*IF(ISBLANK(K469),1,K469),0)</f>
        <v/>
      </c>
      <c r="AB470" s="7" t="inlineStr">
        <is>
          <t>^Warhead_Concussion_Medium</t>
        </is>
      </c>
    </row>
    <row r="471">
      <c r="B471" s="7" t="inlineStr">
        <is>
          <t xml:space="preserve">  ↳ TSChemVanMissile</t>
        </is>
      </c>
      <c r="C471" s="7" t="inlineStr">
        <is>
          <t>Armament@UPGRADE</t>
        </is>
      </c>
      <c r="L471" s="6" t="n">
        <v>36000</v>
      </c>
      <c r="M471" s="6" t="n">
        <v>32</v>
      </c>
      <c r="N471" s="6" t="n">
        <v>2</v>
      </c>
      <c r="O471" s="6" t="n">
        <v>8</v>
      </c>
      <c r="P471" s="6" t="n">
        <v>10460</v>
      </c>
      <c r="Q471" s="6" t="n">
        <v>1</v>
      </c>
      <c r="R471">
        <f>M471+IF(N471&gt;1,N(O471)*(N471-1),0)</f>
        <v/>
      </c>
      <c r="S471">
        <f>IFERROR(L471*MAX(N471,1)/R471*IF(ISBLANK(K469),1,K469),0)</f>
        <v/>
      </c>
      <c r="AB471" s="7" t="inlineStr">
        <is>
          <t>^MediumChemicalWeapon, ^ShrapnelWeapon</t>
        </is>
      </c>
    </row>
    <row r="472">
      <c r="A472" t="inlineStr">
        <is>
          <t>tiberiansun</t>
        </is>
      </c>
      <c r="B472" t="inlineStr">
        <is>
          <t>forgotten_mlrs</t>
        </is>
      </c>
      <c r="C472" t="inlineStr">
        <is>
          <t>actor_forgotten_mlrs.name</t>
        </is>
      </c>
      <c r="D472" s="6" t="inlineStr">
        <is>
          <t>ArtilleryTank</t>
        </is>
      </c>
      <c r="E472" s="6" t="n">
        <v>40000</v>
      </c>
      <c r="F472" s="6" t="n">
        <v>80</v>
      </c>
      <c r="G472" t="inlineStr">
        <is>
          <t>Medium</t>
        </is>
      </c>
      <c r="H472" s="6" t="n">
        <v>0.7269</v>
      </c>
      <c r="I472" s="6" t="n">
        <v>1</v>
      </c>
      <c r="J472" s="6" t="n">
        <v>1</v>
      </c>
      <c r="K472" s="6" t="n"/>
      <c r="P472">
        <f>MAX(P473,P474)</f>
        <v/>
      </c>
      <c r="S472">
        <f>S473+S474</f>
        <v/>
      </c>
      <c r="T472">
        <f>(E472/100000+F472/100+(P472/1000)*J472/5+S472/200)*200*I472*H472</f>
        <v/>
      </c>
      <c r="U472">
        <f>((E472*F472/25000)+((P472/1000)*J472*S472/2.5))*I472*H472</f>
        <v/>
      </c>
      <c r="V472">
        <f>(E472*F472*(P472/1000)*J472*S472*I472*H472)/12500000</f>
        <v/>
      </c>
      <c r="W472">
        <f>(((E472/140000)+(F472/85)+(S472/525)+((P472/12000)*J472))*700/4+(((E472/140000)*(F472/85))+(((P472/12000)*J472)*(S472/525)))*700/2+((E472/140000)*(F472/85)*((P472/12000)*J472)*(S472/525))*700)*(H472/1.0)/3</f>
        <v/>
      </c>
      <c r="X472" s="6" t="n">
        <v>2750</v>
      </c>
      <c r="Y472">
        <f>IFERROR(W472-X472,"")</f>
        <v/>
      </c>
      <c r="Z472">
        <f>IFERROR(ABS(Y472)/MAX(X472,1),"")</f>
        <v/>
      </c>
      <c r="AA472">
        <f>IFERROR(ROUND(((3*X472-(((E472/140000)+(F472/85)+(S472/525))*700/4+((E472/140000)*(F472/85))*700/2)*(H472/1.0))/(700/4+((S472/525))*700/2+((E472/140000)*(F472/85)*(S472/525))*700)*(H472/1.0)*12000)/J472,-1),"")</f>
        <v/>
      </c>
    </row>
    <row r="473">
      <c r="B473" s="7" t="inlineStr">
        <is>
          <t xml:space="preserve">  ↳ TSMLRSMissile</t>
        </is>
      </c>
      <c r="C473" s="7" t="inlineStr">
        <is>
          <t>Armament@PRIMARY</t>
        </is>
      </c>
      <c r="L473" s="6" t="n">
        <v>24000</v>
      </c>
      <c r="M473" s="6" t="n">
        <v>34</v>
      </c>
      <c r="N473" s="6" t="n">
        <v>4</v>
      </c>
      <c r="O473" s="6" t="n">
        <v>2</v>
      </c>
      <c r="P473" s="6" t="n">
        <v>11913</v>
      </c>
      <c r="Q473" s="6" t="n">
        <v>1</v>
      </c>
      <c r="R473">
        <f>M473+IF(N473&gt;1,N(O473)*(N473-1),0)</f>
        <v/>
      </c>
      <c r="S473">
        <f>IFERROR(L473*MAX(N473,1)/R473*IF(ISBLANK(K472),1,K472),0)</f>
        <v/>
      </c>
      <c r="AB473" s="7" t="inlineStr">
        <is>
          <t>^Warhead_Concussion_Medium</t>
        </is>
      </c>
    </row>
    <row r="474">
      <c r="B474" s="7" t="inlineStr">
        <is>
          <t xml:space="preserve">  ↳ TSChemMLRSMissile</t>
        </is>
      </c>
      <c r="C474" s="7" t="inlineStr">
        <is>
          <t>Armament@UPGRADE</t>
        </is>
      </c>
      <c r="L474" s="6" t="n">
        <v>36000</v>
      </c>
      <c r="M474" s="6" t="n">
        <v>34</v>
      </c>
      <c r="N474" s="6" t="n">
        <v>4</v>
      </c>
      <c r="O474" s="6" t="n">
        <v>2</v>
      </c>
      <c r="P474" s="6" t="n">
        <v>11913</v>
      </c>
      <c r="Q474" s="6" t="n">
        <v>1</v>
      </c>
      <c r="R474">
        <f>M474+IF(N474&gt;1,N(O474)*(N474-1),0)</f>
        <v/>
      </c>
      <c r="S474">
        <f>IFERROR(L474*MAX(N474,1)/R474*IF(ISBLANK(K472),1,K472),0)</f>
        <v/>
      </c>
      <c r="AB474" s="7" t="inlineStr">
        <is>
          <t>^MediumChemicalWeapon, ^ShrapnelWeapon</t>
        </is>
      </c>
    </row>
    <row r="475">
      <c r="A475" t="inlineStr">
        <is>
          <t>redalert2mod</t>
        </is>
      </c>
      <c r="B475" t="inlineStr">
        <is>
          <t>asianalliance_howitzer</t>
        </is>
      </c>
      <c r="C475" t="inlineStr">
        <is>
          <t>Howitzer</t>
        </is>
      </c>
      <c r="D475" s="6" t="inlineStr">
        <is>
          <t>ArtilleryTank</t>
        </is>
      </c>
      <c r="E475" s="6" t="n">
        <v>40000</v>
      </c>
      <c r="F475" s="6" t="n">
        <v>60</v>
      </c>
      <c r="G475" t="inlineStr">
        <is>
          <t>Medium</t>
        </is>
      </c>
      <c r="H475" s="6" t="n">
        <v>0.375</v>
      </c>
      <c r="I475" s="6" t="n">
        <v>1</v>
      </c>
      <c r="J475" s="6" t="n">
        <v>1</v>
      </c>
      <c r="K475" s="6" t="n"/>
      <c r="P475">
        <f>MAX(P476,P477)</f>
        <v/>
      </c>
      <c r="S475">
        <f>S476+S477</f>
        <v/>
      </c>
      <c r="T475">
        <f>(E475/100000+F475/100+(P475/1000)*J475/5+S475/200)*200*I475*H475</f>
        <v/>
      </c>
      <c r="U475">
        <f>((E475*F475/25000)+((P475/1000)*J475*S475/2.5))*I475*H475</f>
        <v/>
      </c>
      <c r="V475">
        <f>(E475*F475*(P475/1000)*J475*S475*I475*H475)/12500000</f>
        <v/>
      </c>
      <c r="W475">
        <f>(((E475/140000)+(F475/85)+(S475/525)+((P475/12000)*J475))*700/4+(((E475/140000)*(F475/85))+(((P475/12000)*J475)*(S475/525)))*700/2+((E475/140000)*(F475/85)*((P475/12000)*J475)*(S475/525))*700)*(H475/1.0)/3</f>
        <v/>
      </c>
      <c r="X475" s="6" t="n">
        <v>1600</v>
      </c>
      <c r="Y475">
        <f>IFERROR(W475-X475,"")</f>
        <v/>
      </c>
      <c r="Z475">
        <f>IFERROR(ABS(Y475)/MAX(X475,1),"")</f>
        <v/>
      </c>
      <c r="AA475">
        <f>IFERROR(ROUND(((3*X475-(((E475/140000)+(F475/85)+(S475/525))*700/4+((E475/140000)*(F475/85))*700/2)*(H475/1.0))/(700/4+((S475/525))*700/2+((E475/140000)*(F475/85)*(S475/525))*700)*(H475/1.0)*12000)/J475,-1),"")</f>
        <v/>
      </c>
    </row>
    <row r="476">
      <c r="B476" s="7" t="inlineStr">
        <is>
          <t xml:space="preserve">  ↳ AsianHowitzerCannon</t>
        </is>
      </c>
      <c r="C476" s="7" t="inlineStr">
        <is>
          <t>Armament</t>
        </is>
      </c>
      <c r="L476" s="6" t="n">
        <v>40000</v>
      </c>
      <c r="M476" s="6" t="n">
        <v>160</v>
      </c>
      <c r="N476" s="6" t="n">
        <v>1</v>
      </c>
      <c r="O476" s="6" t="n"/>
      <c r="P476" s="6" t="n">
        <v>16000</v>
      </c>
      <c r="Q476" s="6" t="n">
        <v>1.125</v>
      </c>
      <c r="R476">
        <f>M476+IF(N476&gt;1,N(O476)*(N476-1),0)</f>
        <v/>
      </c>
      <c r="S476">
        <f>IFERROR(L476*MAX(N476,1)/R476*IF(ISBLANK(K475),1,K475),0)</f>
        <v/>
      </c>
      <c r="AB476" s="7" t="inlineStr">
        <is>
          <t>^Warhead_CannonHE_Medium, ^Warhead_CannonHE_Heavy</t>
        </is>
      </c>
    </row>
    <row r="477">
      <c r="B477" s="7" t="inlineStr">
        <is>
          <t xml:space="preserve">  ↳ AsianHowitzerCannon_elite</t>
        </is>
      </c>
      <c r="C477" s="7" t="inlineStr">
        <is>
          <t>Armament@ELITE</t>
        </is>
      </c>
      <c r="L477" s="6" t="n">
        <v>40000</v>
      </c>
      <c r="M477" s="6" t="n">
        <v>160</v>
      </c>
      <c r="N477" s="6" t="n">
        <v>1</v>
      </c>
      <c r="O477" s="6" t="n"/>
      <c r="P477" s="6" t="n">
        <v>20000</v>
      </c>
      <c r="Q477" s="6" t="n">
        <v>1.125</v>
      </c>
      <c r="R477">
        <f>M477+IF(N477&gt;1,N(O477)*(N477-1),0)</f>
        <v/>
      </c>
      <c r="S477">
        <f>IFERROR(L477*MAX(N477,1)/R477*IF(ISBLANK(K475),1,K475),0)</f>
        <v/>
      </c>
      <c r="AB477" s="7" t="inlineStr">
        <is>
          <t>^Warhead_CannonHE_Medium, ^Warhead_CannonHE_Heavy</t>
        </is>
      </c>
    </row>
    <row r="478">
      <c r="A478" t="inlineStr">
        <is>
          <t>redalert2mod</t>
        </is>
      </c>
      <c r="B478" t="inlineStr">
        <is>
          <t>schwarzermond_lunargrille</t>
        </is>
      </c>
      <c r="C478" t="inlineStr">
        <is>
          <t>Lunar Grille</t>
        </is>
      </c>
      <c r="D478" s="6" t="inlineStr">
        <is>
          <t>ArtilleryTank</t>
        </is>
      </c>
      <c r="E478" s="6" t="n">
        <v>62500</v>
      </c>
      <c r="F478" s="6" t="n">
        <v>90</v>
      </c>
      <c r="G478" t="inlineStr">
        <is>
          <t>Medium</t>
        </is>
      </c>
      <c r="H478" s="6" t="n">
        <v>1</v>
      </c>
      <c r="I478" s="6" t="n">
        <v>0.5</v>
      </c>
      <c r="J478" s="6" t="n">
        <v>1</v>
      </c>
      <c r="K478" s="6" t="n"/>
      <c r="P478">
        <f>MAX(P479,P480,P481,P482)</f>
        <v/>
      </c>
      <c r="S478">
        <f>S479+S480+S481+S482</f>
        <v/>
      </c>
      <c r="T478">
        <f>(E478/100000+F478/100+(P478/1000)*J478/5+S478/200)*200*I478*H478</f>
        <v/>
      </c>
      <c r="U478">
        <f>((E478*F478/25000)+((P478/1000)*J478*S478/2.5))*I478*H478</f>
        <v/>
      </c>
      <c r="V478">
        <f>(E478*F478*(P478/1000)*J478*S478*I478*H478)/12500000</f>
        <v/>
      </c>
      <c r="W478">
        <f>(((E478/140000)+(F478/85)+(S478/525)+((P478/12000)*J478))*700/4+(((E478/140000)*(F478/85))+(((P478/12000)*J478)*(S478/525)))*700/2+((E478/140000)*(F478/85)*((P478/12000)*J478)*(S478/525))*700)*(H478/1.0)/3</f>
        <v/>
      </c>
      <c r="X478" s="6" t="n">
        <v>600</v>
      </c>
      <c r="Y478">
        <f>IFERROR(W478-X478,"")</f>
        <v/>
      </c>
      <c r="Z478">
        <f>IFERROR(ABS(Y478)/MAX(X478,1),"")</f>
        <v/>
      </c>
      <c r="AA478">
        <f>IFERROR(ROUND(((3*X478-(((E478/140000)+(F478/85)+(S478/525))*700/4+((E478/140000)*(F478/85))*700/2)*(H478/1.0))/(700/4+((S478/525))*700/2+((E478/140000)*(F478/85)*(S478/525))*700)*(H478/1.0)*12000)/J478,-1),"")</f>
        <v/>
      </c>
    </row>
    <row r="479">
      <c r="B479" s="7" t="inlineStr">
        <is>
          <t xml:space="preserve">  ↳ NaxGrilleArty</t>
        </is>
      </c>
      <c r="C479" s="7" t="inlineStr">
        <is>
          <t>Armament@AG</t>
        </is>
      </c>
      <c r="L479" s="6" t="n">
        <v>48000</v>
      </c>
      <c r="M479" s="6" t="n">
        <v>111</v>
      </c>
      <c r="N479" s="6" t="n">
        <v>1</v>
      </c>
      <c r="O479" s="6" t="n"/>
      <c r="P479" s="6" t="n">
        <v>12345</v>
      </c>
      <c r="Q479" s="6" t="n">
        <v>1</v>
      </c>
      <c r="R479">
        <f>M479+IF(N479&gt;1,N(O479)*(N479-1),0)</f>
        <v/>
      </c>
      <c r="S479">
        <f>IFERROR(L479*MAX(N479,1)/R479*IF(ISBLANK(K478),1,K478),0)</f>
        <v/>
      </c>
      <c r="AB479" s="7" t="inlineStr">
        <is>
          <t>^Warhead_CannonHE_Heavy, ^Warhead_Concussion_Medium, ^Warhead_Demolition_Light</t>
        </is>
      </c>
    </row>
    <row r="480">
      <c r="B480" s="7" t="inlineStr">
        <is>
          <t xml:space="preserve">  ↳ NaxGrilleArty_elite</t>
        </is>
      </c>
      <c r="C480" s="7" t="inlineStr">
        <is>
          <t>Armament@elite</t>
        </is>
      </c>
      <c r="L480" s="6" t="n">
        <v>48000</v>
      </c>
      <c r="M480" s="6" t="n">
        <v>111</v>
      </c>
      <c r="N480" s="6" t="n">
        <v>2</v>
      </c>
      <c r="O480" s="6" t="n">
        <v>3</v>
      </c>
      <c r="P480" s="6" t="n">
        <v>13333</v>
      </c>
      <c r="Q480" s="6" t="n">
        <v>1</v>
      </c>
      <c r="R480">
        <f>M480+IF(N480&gt;1,N(O480)*(N480-1),0)</f>
        <v/>
      </c>
      <c r="S480">
        <f>IFERROR(L480*MAX(N480,1)/R480*IF(ISBLANK(K478),1,K478),0)</f>
        <v/>
      </c>
      <c r="AB480" s="7" t="inlineStr">
        <is>
          <t>^Warhead_CannonHE_Heavy, ^Warhead_Concussion_Medium, ^Warhead_Demolition_Light</t>
        </is>
      </c>
    </row>
    <row r="481">
      <c r="B481" s="7" t="inlineStr">
        <is>
          <t xml:space="preserve">  ↳ Lunar_GreenGrilleArty</t>
        </is>
      </c>
      <c r="C481" s="7" t="inlineStr">
        <is>
          <t>Armament@upgraded</t>
        </is>
      </c>
      <c r="L481" s="6" t="n">
        <v>64000</v>
      </c>
      <c r="M481" s="6" t="n">
        <v>111</v>
      </c>
      <c r="N481" s="6" t="n">
        <v>1</v>
      </c>
      <c r="O481" s="6" t="n"/>
      <c r="P481" s="6" t="n">
        <v>12345</v>
      </c>
      <c r="Q481" s="6" t="n">
        <v>1</v>
      </c>
      <c r="R481">
        <f>M481+IF(N481&gt;1,N(O481)*(N481-1),0)</f>
        <v/>
      </c>
      <c r="S481">
        <f>IFERROR(L481*MAX(N481,1)/R481*IF(ISBLANK(K478),1,K478),0)</f>
        <v/>
      </c>
      <c r="AB481" s="7" t="inlineStr">
        <is>
          <t>^Warhead_Tesla_Heavy, ^Warhead_CannonHE_Heavy, ^Warhead_Concussion_Medium, ^Warhead_Demolition_Light</t>
        </is>
      </c>
    </row>
    <row r="482">
      <c r="B482" s="7" t="inlineStr">
        <is>
          <t xml:space="preserve">  ↳ Lunar_GreenGrilleArty_elite</t>
        </is>
      </c>
      <c r="C482" s="7" t="inlineStr">
        <is>
          <t>Armament@elite-upgrade</t>
        </is>
      </c>
      <c r="L482" s="6" t="n">
        <v>64000</v>
      </c>
      <c r="M482" s="6" t="n">
        <v>111</v>
      </c>
      <c r="N482" s="6" t="n">
        <v>2</v>
      </c>
      <c r="O482" s="6" t="n">
        <v>3</v>
      </c>
      <c r="P482" s="6" t="n">
        <v>13333</v>
      </c>
      <c r="Q482" s="6" t="n">
        <v>1</v>
      </c>
      <c r="R482">
        <f>M482+IF(N482&gt;1,N(O482)*(N482-1),0)</f>
        <v/>
      </c>
      <c r="S482">
        <f>IFERROR(L482*MAX(N482,1)/R482*IF(ISBLANK(K478),1,K478),0)</f>
        <v/>
      </c>
      <c r="AB482" s="7" t="inlineStr">
        <is>
          <t>^Warhead_Tesla_Heavy, ^Warhead_CannonHE_Heavy, ^Warhead_Concussion_Medium, ^Warhead_Demolition_Light</t>
        </is>
      </c>
    </row>
    <row r="483">
      <c r="A483" t="inlineStr">
        <is>
          <t>redalert2mod</t>
        </is>
      </c>
      <c r="B483" t="inlineStr">
        <is>
          <t>schwarzermond_mars</t>
        </is>
      </c>
      <c r="C483" t="inlineStr">
        <is>
          <t>MARS</t>
        </is>
      </c>
      <c r="D483" s="6" t="inlineStr">
        <is>
          <t>ArtilleryTank</t>
        </is>
      </c>
      <c r="E483" s="6" t="n">
        <v>35000</v>
      </c>
      <c r="F483" s="6" t="n">
        <v>70</v>
      </c>
      <c r="G483" t="inlineStr">
        <is>
          <t>Medium</t>
        </is>
      </c>
      <c r="H483" s="6" t="n">
        <v>0.6846</v>
      </c>
      <c r="I483" s="6" t="n">
        <v>1</v>
      </c>
      <c r="J483" s="6" t="n">
        <v>1</v>
      </c>
      <c r="K483" s="6" t="n">
        <v>0.0125</v>
      </c>
      <c r="X483" s="6" t="n">
        <v>2000</v>
      </c>
    </row>
    <row r="484">
      <c r="B484" s="7" t="inlineStr">
        <is>
          <t xml:space="preserve">  ↳ NaxisBradleyTarget</t>
        </is>
      </c>
      <c r="C484" s="7" t="inlineStr">
        <is>
          <t>Armament</t>
        </is>
      </c>
      <c r="L484" s="6" t="n"/>
      <c r="M484" s="6" t="n">
        <v>135</v>
      </c>
      <c r="N484" s="6" t="n">
        <v>4</v>
      </c>
      <c r="O484" s="6" t="n">
        <v>10</v>
      </c>
      <c r="P484" s="6" t="n">
        <v>17350</v>
      </c>
      <c r="Q484" s="6" t="n">
        <v>1</v>
      </c>
      <c r="R484">
        <f>M484+IF(N484&gt;1,N(O484)*(N484-1),0)</f>
        <v/>
      </c>
      <c r="S484">
        <f>IFERROR(L484*MAX(N484,1)/R484*IF(ISBLANK(K483),1,K483),0)</f>
        <v/>
      </c>
      <c r="AB484" s="7" t="inlineStr"/>
    </row>
    <row r="485">
      <c r="A485" t="inlineStr">
        <is>
          <t>d2k</t>
        </is>
      </c>
      <c r="B485" t="inlineStr">
        <is>
          <t>ordos_cobratank</t>
        </is>
      </c>
      <c r="C485" t="inlineStr">
        <is>
          <t>Cobra Tank</t>
        </is>
      </c>
      <c r="D485" s="6" t="inlineStr">
        <is>
          <t>ArtilleryTank</t>
        </is>
      </c>
      <c r="E485" s="6" t="n">
        <v>45000</v>
      </c>
      <c r="F485" s="6" t="n">
        <v>45</v>
      </c>
      <c r="G485" t="inlineStr">
        <is>
          <t>Medium</t>
        </is>
      </c>
      <c r="H485" s="6" t="n">
        <v>0.7020999999999999</v>
      </c>
      <c r="I485" s="6" t="n">
        <v>1</v>
      </c>
      <c r="J485" s="6" t="n">
        <v>1</v>
      </c>
      <c r="K485" s="6" t="n"/>
      <c r="P485">
        <f>MAX(P486,P487)</f>
        <v/>
      </c>
      <c r="S485">
        <f>S486+S487</f>
        <v/>
      </c>
      <c r="T485">
        <f>(E485/100000+F485/100+(P485/1000)*J485/5+S485/200)*200*I485*H485</f>
        <v/>
      </c>
      <c r="U485">
        <f>((E485*F485/25000)+((P485/1000)*J485*S485/2.5))*I485*H485</f>
        <v/>
      </c>
      <c r="V485">
        <f>(E485*F485*(P485/1000)*J485*S485*I485*H485)/12500000</f>
        <v/>
      </c>
      <c r="W485">
        <f>(((E485/140000)+(F485/85)+(S485/525)+((P485/12000)*J485))*700/4+(((E485/140000)*(F485/85))+(((P485/12000)*J485)*(S485/525)))*700/2+((E485/140000)*(F485/85)*((P485/12000)*J485)*(S485/525))*700)*(H485/1.0)/3</f>
        <v/>
      </c>
      <c r="X485" s="6" t="n">
        <v>1500</v>
      </c>
      <c r="Y485">
        <f>IFERROR(W485-X485,"")</f>
        <v/>
      </c>
      <c r="Z485">
        <f>IFERROR(ABS(Y485)/MAX(X485,1),"")</f>
        <v/>
      </c>
      <c r="AA485">
        <f>IFERROR(ROUND(((3*X485-(((E485/140000)+(F485/85)+(S485/525))*700/4+((E485/140000)*(F485/85))*700/2)*(H485/1.0))/(700/4+((S485/525))*700/2+((E485/140000)*(F485/85)*(S485/525))*700)*(H485/1.0)*12000)/J485,-1),"")</f>
        <v/>
      </c>
    </row>
    <row r="486">
      <c r="B486" s="7" t="inlineStr">
        <is>
          <t xml:space="preserve">  ↳ 120mm_cobra</t>
        </is>
      </c>
      <c r="C486" s="7" t="inlineStr">
        <is>
          <t>Armament@PRIMARY</t>
        </is>
      </c>
      <c r="L486" s="6" t="n">
        <v>120000</v>
      </c>
      <c r="M486" s="6" t="n">
        <v>80</v>
      </c>
      <c r="N486" s="6" t="n">
        <v>1</v>
      </c>
      <c r="O486" s="6" t="n"/>
      <c r="P486" s="6" t="n">
        <v>7640</v>
      </c>
      <c r="Q486" s="6" t="n">
        <v>1</v>
      </c>
      <c r="R486">
        <f>M486+IF(N486&gt;1,N(O486)*(N486-1),0)</f>
        <v/>
      </c>
      <c r="S486">
        <f>IFERROR(L486*MAX(N486,1)/R486*IF(ISBLANK(K485),1,K485),0)</f>
        <v/>
      </c>
      <c r="AB486" s="7" t="inlineStr">
        <is>
          <t>^Warhead_Demolition_Light, ^Warhead_Concussion_Medium, ^Warhead_CannonAP_Light, ^Warhead_CannonHE_Medium</t>
        </is>
      </c>
    </row>
    <row r="487">
      <c r="B487" s="7" t="inlineStr">
        <is>
          <t xml:space="preserve">  ↳ 120mm_cobra_deploy</t>
        </is>
      </c>
      <c r="C487" s="7" t="inlineStr">
        <is>
          <t>Armament@deployed</t>
        </is>
      </c>
      <c r="L487" s="6" t="n">
        <v>120000</v>
      </c>
      <c r="M487" s="6" t="n">
        <v>80</v>
      </c>
      <c r="N487" s="6" t="n">
        <v>1</v>
      </c>
      <c r="O487" s="6" t="n"/>
      <c r="P487" s="6" t="n">
        <v>7640</v>
      </c>
      <c r="Q487" s="6" t="n">
        <v>1</v>
      </c>
      <c r="R487">
        <f>M487+IF(N487&gt;1,N(O487)*(N487-1),0)</f>
        <v/>
      </c>
      <c r="S487">
        <f>IFERROR(L487*MAX(N487,1)/R487*IF(ISBLANK(K485),1,K485),0)</f>
        <v/>
      </c>
      <c r="AB487" s="7" t="inlineStr">
        <is>
          <t>^Warhead_Demolition_Light, ^Warhead_Concussion_Medium, ^Warhead_CannonAP_Light, ^Warhead_CannonHE_Medium</t>
        </is>
      </c>
    </row>
    <row r="488">
      <c r="A488" t="inlineStr">
        <is>
          <t>d2k</t>
        </is>
      </c>
      <c r="B488" t="inlineStr">
        <is>
          <t>ordos_pythontank</t>
        </is>
      </c>
      <c r="C488" t="inlineStr">
        <is>
          <t>Python Tank</t>
        </is>
      </c>
      <c r="D488" s="6" t="inlineStr">
        <is>
          <t>ArtilleryTank</t>
        </is>
      </c>
      <c r="E488" s="6" t="n">
        <v>70000</v>
      </c>
      <c r="F488" s="6" t="n">
        <v>40</v>
      </c>
      <c r="G488" t="inlineStr">
        <is>
          <t>Medium</t>
        </is>
      </c>
      <c r="H488" s="6" t="n">
        <v>0.7020999999999999</v>
      </c>
      <c r="I488" s="6" t="n">
        <v>1</v>
      </c>
      <c r="J488" s="6" t="n">
        <v>1</v>
      </c>
      <c r="K488" s="6" t="n"/>
      <c r="P488">
        <f>MAX(P489,P490)</f>
        <v/>
      </c>
      <c r="S488">
        <f>S489+S490</f>
        <v/>
      </c>
      <c r="T488">
        <f>(E488/100000+F488/100+(P488/1000)*J488/5+S488/200)*200*I488*H488</f>
        <v/>
      </c>
      <c r="U488">
        <f>((E488*F488/25000)+((P488/1000)*J488*S488/2.5))*I488*H488</f>
        <v/>
      </c>
      <c r="V488">
        <f>(E488*F488*(P488/1000)*J488*S488*I488*H488)/12500000</f>
        <v/>
      </c>
      <c r="W488">
        <f>(((E488/140000)+(F488/85)+(S488/525)+((P488/12000)*J488))*700/4+(((E488/140000)*(F488/85))+(((P488/12000)*J488)*(S488/525)))*700/2+((E488/140000)*(F488/85)*((P488/12000)*J488)*(S488/525))*700)*(H488/1.0)/3</f>
        <v/>
      </c>
      <c r="X488" s="6" t="n">
        <v>2500</v>
      </c>
      <c r="Y488">
        <f>IFERROR(W488-X488,"")</f>
        <v/>
      </c>
      <c r="Z488">
        <f>IFERROR(ABS(Y488)/MAX(X488,1),"")</f>
        <v/>
      </c>
      <c r="AA488">
        <f>IFERROR(ROUND(((3*X488-(((E488/140000)+(F488/85)+(S488/525))*700/4+((E488/140000)*(F488/85))*700/2)*(H488/1.0))/(700/4+((S488/525))*700/2+((E488/140000)*(F488/85)*(S488/525))*700)*(H488/1.0)*12000)/J488,-1),"")</f>
        <v/>
      </c>
    </row>
    <row r="489">
      <c r="B489" s="7" t="inlineStr">
        <is>
          <t xml:space="preserve">  ↳ 120mm_python</t>
        </is>
      </c>
      <c r="C489" s="7" t="inlineStr">
        <is>
          <t>Armament@PRIMARY</t>
        </is>
      </c>
      <c r="L489" s="6" t="n">
        <v>120000</v>
      </c>
      <c r="M489" s="6" t="n">
        <v>123</v>
      </c>
      <c r="N489" s="6" t="n">
        <v>2</v>
      </c>
      <c r="O489" s="6" t="n">
        <v>0</v>
      </c>
      <c r="P489" s="6" t="n">
        <v>9380</v>
      </c>
      <c r="Q489" s="6" t="n">
        <v>1</v>
      </c>
      <c r="R489">
        <f>M489+IF(N489&gt;1,N(O489)*(N489-1),0)</f>
        <v/>
      </c>
      <c r="S489">
        <f>IFERROR(L489*MAX(N489,1)/R489*IF(ISBLANK(K488),1,K488),0)</f>
        <v/>
      </c>
      <c r="AB489" s="7" t="inlineStr">
        <is>
          <t>^Warhead_Demolition_Light, ^Warhead_Concussion_Medium, ^Warhead_CannonAP_Light, ^Warhead_CannonHE_Medium</t>
        </is>
      </c>
    </row>
    <row r="490">
      <c r="B490" s="7" t="inlineStr">
        <is>
          <t xml:space="preserve">  ↳ 120mm_python_deploy</t>
        </is>
      </c>
      <c r="C490" s="7" t="inlineStr">
        <is>
          <t>Armament@deployed</t>
        </is>
      </c>
      <c r="L490" s="6" t="n">
        <v>120000</v>
      </c>
      <c r="M490" s="6" t="n">
        <v>123</v>
      </c>
      <c r="N490" s="6" t="n">
        <v>2</v>
      </c>
      <c r="O490" s="6" t="n">
        <v>0</v>
      </c>
      <c r="P490" s="6" t="n">
        <v>9380</v>
      </c>
      <c r="Q490" s="6" t="n">
        <v>1</v>
      </c>
      <c r="R490">
        <f>M490+IF(N490&gt;1,N(O490)*(N490-1),0)</f>
        <v/>
      </c>
      <c r="S490">
        <f>IFERROR(L490*MAX(N490,1)/R490*IF(ISBLANK(K488),1,K488),0)</f>
        <v/>
      </c>
      <c r="AB490" s="7" t="inlineStr">
        <is>
          <t>^Warhead_Demolition_Light, ^Warhead_Concussion_Medium, ^Warhead_CannonAP_Light, ^Warhead_CannonHE_Medium</t>
        </is>
      </c>
    </row>
    <row r="491">
      <c r="A491" t="inlineStr">
        <is>
          <t>d2k</t>
        </is>
      </c>
      <c r="B491" t="inlineStr">
        <is>
          <t>ixian_ixcombatsiege</t>
        </is>
      </c>
      <c r="C491" t="inlineStr">
        <is>
          <t>Ix Combat Siege</t>
        </is>
      </c>
      <c r="D491" s="6" t="inlineStr">
        <is>
          <t>ArtilleryTank</t>
        </is>
      </c>
      <c r="E491" s="6" t="n">
        <v>80000</v>
      </c>
      <c r="F491" s="6" t="n">
        <v>80</v>
      </c>
      <c r="G491" t="inlineStr">
        <is>
          <t>Medium</t>
        </is>
      </c>
      <c r="H491" s="6" t="n">
        <v>1</v>
      </c>
      <c r="I491" s="6" t="n">
        <v>1</v>
      </c>
      <c r="J491" s="6" t="n">
        <v>1</v>
      </c>
      <c r="K491" s="6" t="n"/>
      <c r="P491">
        <f>MAX(P492)</f>
        <v/>
      </c>
      <c r="S491">
        <f>S492</f>
        <v/>
      </c>
      <c r="T491">
        <f>(E491/100000+F491/100+(P491/1000)*J491/5+S491/200)*200*I491*H491</f>
        <v/>
      </c>
      <c r="U491">
        <f>((E491*F491/25000)+((P491/1000)*J491*S491/2.5))*I491*H491</f>
        <v/>
      </c>
      <c r="V491">
        <f>(E491*F491*(P491/1000)*J491*S491*I491*H491)/12500000</f>
        <v/>
      </c>
      <c r="W491">
        <f>(((E491/140000)+(F491/85)+(S491/525)+((P491/12000)*J491))*700/4+(((E491/140000)*(F491/85))+(((P491/12000)*J491)*(S491/525)))*700/2+((E491/140000)*(F491/85)*((P491/12000)*J491)*(S491/525))*700)*(H491/1.0)/3</f>
        <v/>
      </c>
      <c r="X491" s="6" t="n">
        <v>1200</v>
      </c>
      <c r="Y491">
        <f>IFERROR(W491-X491,"")</f>
        <v/>
      </c>
      <c r="Z491">
        <f>IFERROR(ABS(Y491)/MAX(X491,1),"")</f>
        <v/>
      </c>
      <c r="AA491">
        <f>IFERROR(ROUND(((3*X491-(((E491/140000)+(F491/85)+(S491/525))*700/4+((E491/140000)*(F491/85))*700/2)*(H491/1.0))/(700/4+((S491/525))*700/2+((E491/140000)*(F491/85)*(S491/525))*700)*(H491/1.0)*12000)/J491,-1),"")</f>
        <v/>
      </c>
    </row>
    <row r="492">
      <c r="B492" s="7" t="inlineStr">
        <is>
          <t xml:space="preserve">  ↳ D2K_155mm3</t>
        </is>
      </c>
      <c r="C492" s="7" t="inlineStr">
        <is>
          <t>Armament</t>
        </is>
      </c>
      <c r="L492" s="6" t="n">
        <v>24000</v>
      </c>
      <c r="M492" s="6" t="n">
        <v>80</v>
      </c>
      <c r="N492" s="6" t="n">
        <v>1</v>
      </c>
      <c r="O492" s="6" t="n"/>
      <c r="P492" s="6" t="n">
        <v>8686</v>
      </c>
      <c r="Q492" s="6" t="n">
        <v>1</v>
      </c>
      <c r="R492">
        <f>M492+IF(N492&gt;1,N(O492)*(N492-1),0)</f>
        <v/>
      </c>
      <c r="S492">
        <f>IFERROR(L492*MAX(N492,1)/R492*IF(ISBLANK(K491),1,K491),0)</f>
        <v/>
      </c>
      <c r="AB492" s="7" t="inlineStr">
        <is>
          <t>^Warhead_Demolition_Light, ^Warhead_Demolition_Heavy, ^Warhead_Concussion_Medium</t>
        </is>
      </c>
    </row>
    <row r="493">
      <c r="A493" t="inlineStr">
        <is>
          <t>starcraft</t>
        </is>
      </c>
      <c r="B493" t="inlineStr">
        <is>
          <t>terran_siegetank</t>
        </is>
      </c>
      <c r="C493" t="inlineStr">
        <is>
          <t>Siege Tank</t>
        </is>
      </c>
      <c r="D493" s="6" t="inlineStr">
        <is>
          <t>ArtilleryTank</t>
        </is>
      </c>
      <c r="E493" s="6" t="n">
        <v>150000</v>
      </c>
      <c r="F493" s="6" t="n">
        <v>75</v>
      </c>
      <c r="G493" t="inlineStr">
        <is>
          <t>Heavy</t>
        </is>
      </c>
      <c r="H493" s="6" t="n">
        <v>1</v>
      </c>
      <c r="I493" s="6" t="n">
        <v>1</v>
      </c>
      <c r="J493" s="6" t="n">
        <v>1</v>
      </c>
      <c r="K493" s="6" t="n"/>
      <c r="P493">
        <f>MAX(P494,P495)</f>
        <v/>
      </c>
      <c r="S493">
        <f>S494+S495</f>
        <v/>
      </c>
      <c r="T493">
        <f>(E493/100000+F493/100+(P493/1000)*J493/5+S493/200)*200*I493*H493</f>
        <v/>
      </c>
      <c r="U493">
        <f>((E493*F493/25000)+((P493/1000)*J493*S493/2.5))*I493*H493</f>
        <v/>
      </c>
      <c r="V493">
        <f>(E493*F493*(P493/1000)*J493*S493*I493*H493)/12500000</f>
        <v/>
      </c>
      <c r="W493">
        <f>(((E493/140000)+(F493/85)+(S493/525)+((P493/12000)*J493))*700/4+(((E493/140000)*(F493/85))+(((P493/12000)*J493)*(S493/525)))*700/2+((E493/140000)*(F493/85)*((P493/12000)*J493)*(S493/525))*700)*(H493/1.0)/3</f>
        <v/>
      </c>
      <c r="X493" s="6" t="n">
        <v>2800</v>
      </c>
      <c r="Y493">
        <f>IFERROR(W493-X493,"")</f>
        <v/>
      </c>
      <c r="Z493">
        <f>IFERROR(ABS(Y493)/MAX(X493,1),"")</f>
        <v/>
      </c>
      <c r="AA493">
        <f>IFERROR(ROUND(((3*X493-(((E493/140000)+(F493/85)+(S493/525))*700/4+((E493/140000)*(F493/85))*700/2)*(H493/1.0))/(700/4+((S493/525))*700/2+((E493/140000)*(F493/85)*(S493/525))*700)*(H493/1.0)*12000)/J493,-1),"")</f>
        <v/>
      </c>
    </row>
    <row r="494">
      <c r="B494" s="7" t="inlineStr">
        <is>
          <t xml:space="preserve">  ↳ SiegeTankCannon</t>
        </is>
      </c>
      <c r="C494" s="7" t="inlineStr">
        <is>
          <t>Armament</t>
        </is>
      </c>
      <c r="L494" s="6" t="n">
        <v>30000</v>
      </c>
      <c r="M494" s="6" t="n">
        <v>37</v>
      </c>
      <c r="N494" s="6" t="n">
        <v>1</v>
      </c>
      <c r="O494" s="6" t="n"/>
      <c r="P494" s="6" t="n">
        <v>6114</v>
      </c>
      <c r="Q494" s="6" t="n">
        <v>1</v>
      </c>
      <c r="R494">
        <f>M494+IF(N494&gt;1,N(O494)*(N494-1),0)</f>
        <v/>
      </c>
      <c r="S494">
        <f>IFERROR(L494*MAX(N494,1)/R494*IF(ISBLANK(K493),1,K493),0)</f>
        <v/>
      </c>
      <c r="AB494" s="7" t="inlineStr">
        <is>
          <t>^Warhead_CannonHE_Heavy, ^Warhead_CannonHE_Medium, ^Warhead_CannonAP_Light</t>
        </is>
      </c>
    </row>
    <row r="495">
      <c r="B495" s="7" t="inlineStr">
        <is>
          <t xml:space="preserve">  ↳ SiegeTankSiegeCannon</t>
        </is>
      </c>
      <c r="C495" s="7" t="inlineStr">
        <is>
          <t>Armament@DEPLOYED</t>
        </is>
      </c>
      <c r="L495" s="6" t="n">
        <v>140000</v>
      </c>
      <c r="M495" s="6" t="n">
        <v>148</v>
      </c>
      <c r="N495" s="6" t="n">
        <v>1</v>
      </c>
      <c r="O495" s="6" t="n"/>
      <c r="P495" s="6" t="n">
        <v>11775</v>
      </c>
      <c r="Q495" s="6" t="n">
        <v>1</v>
      </c>
      <c r="R495">
        <f>M495+IF(N495&gt;1,N(O495)*(N495-1),0)</f>
        <v/>
      </c>
      <c r="S495">
        <f>IFERROR(L495*MAX(N495,1)/R495*IF(ISBLANK(K493),1,K493),0)</f>
        <v/>
      </c>
      <c r="AB495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9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japan_coreairfield</t>
        </is>
      </c>
      <c r="C3" t="inlineStr">
        <is>
          <t>Core (Airfield)</t>
        </is>
      </c>
      <c r="D3" s="6" t="inlineStr">
        <is>
          <t>Vehicle</t>
        </is>
      </c>
      <c r="E3" s="6" t="n">
        <v>50000</v>
      </c>
      <c r="F3" s="6" t="n">
        <v>75</v>
      </c>
      <c r="G3" t="inlineStr">
        <is>
          <t>Light</t>
        </is>
      </c>
      <c r="H3" s="6" t="n">
        <v>0.6346000000000001</v>
      </c>
      <c r="I3" s="6" t="n">
        <v>1</v>
      </c>
      <c r="J3" s="6" t="n">
        <v>1</v>
      </c>
      <c r="K3" s="6" t="n"/>
      <c r="X3" s="6" t="n">
        <v>1500</v>
      </c>
    </row>
    <row r="4">
      <c r="A4" t="inlineStr">
        <is>
          <t>redalert</t>
        </is>
      </c>
      <c r="B4" t="inlineStr">
        <is>
          <t>japan_corebarracks</t>
        </is>
      </c>
      <c r="C4" t="inlineStr">
        <is>
          <t>Core (Barracks)</t>
        </is>
      </c>
      <c r="D4" s="6" t="inlineStr">
        <is>
          <t>Vehicle</t>
        </is>
      </c>
      <c r="E4" s="6" t="n">
        <v>50000</v>
      </c>
      <c r="F4" s="6" t="n">
        <v>75</v>
      </c>
      <c r="G4" t="inlineStr">
        <is>
          <t>Light</t>
        </is>
      </c>
      <c r="H4" s="6" t="n">
        <v>0.6346000000000001</v>
      </c>
      <c r="I4" s="6" t="n">
        <v>1</v>
      </c>
      <c r="J4" s="6" t="n">
        <v>1</v>
      </c>
      <c r="K4" s="6" t="n"/>
      <c r="X4" s="6" t="n">
        <v>1000</v>
      </c>
    </row>
    <row r="5">
      <c r="A5" t="inlineStr">
        <is>
          <t>redalert</t>
        </is>
      </c>
      <c r="B5" t="inlineStr">
        <is>
          <t>japan_corepowerplant</t>
        </is>
      </c>
      <c r="C5" t="inlineStr">
        <is>
          <t>Core (Power Plant)</t>
        </is>
      </c>
      <c r="D5" s="6" t="inlineStr">
        <is>
          <t>Vehicle</t>
        </is>
      </c>
      <c r="E5" s="6" t="n">
        <v>50000</v>
      </c>
      <c r="F5" s="6" t="n">
        <v>75</v>
      </c>
      <c r="G5" t="inlineStr">
        <is>
          <t>Light</t>
        </is>
      </c>
      <c r="H5" s="6" t="n">
        <v>0.6346000000000001</v>
      </c>
      <c r="I5" s="6" t="n">
        <v>1</v>
      </c>
      <c r="J5" s="6" t="n">
        <v>1</v>
      </c>
      <c r="K5" s="6" t="n"/>
      <c r="X5" s="6" t="n">
        <v>750</v>
      </c>
    </row>
    <row r="6">
      <c r="A6" t="inlineStr">
        <is>
          <t>redalert</t>
        </is>
      </c>
      <c r="B6" t="inlineStr">
        <is>
          <t>japan_coreradar</t>
        </is>
      </c>
      <c r="C6" t="inlineStr">
        <is>
          <t>Core (Radar)</t>
        </is>
      </c>
      <c r="D6" s="6" t="inlineStr">
        <is>
          <t>Vehicle</t>
        </is>
      </c>
      <c r="E6" s="6" t="n">
        <v>50000</v>
      </c>
      <c r="F6" s="6" t="n">
        <v>75</v>
      </c>
      <c r="G6" t="inlineStr">
        <is>
          <t>Light</t>
        </is>
      </c>
      <c r="H6" s="6" t="n">
        <v>0.6346000000000001</v>
      </c>
      <c r="I6" s="6" t="n">
        <v>1</v>
      </c>
      <c r="J6" s="6" t="n">
        <v>1</v>
      </c>
      <c r="K6" s="6" t="n"/>
      <c r="X6" s="6" t="n">
        <v>2500</v>
      </c>
    </row>
    <row r="7">
      <c r="A7" t="inlineStr">
        <is>
          <t>redalert</t>
        </is>
      </c>
      <c r="B7" t="inlineStr">
        <is>
          <t>japan_corerefinery</t>
        </is>
      </c>
      <c r="C7" t="inlineStr">
        <is>
          <t>Core (Refinery)</t>
        </is>
      </c>
      <c r="D7" s="6" t="inlineStr">
        <is>
          <t>Vehicle</t>
        </is>
      </c>
      <c r="E7" s="6" t="n">
        <v>50000</v>
      </c>
      <c r="F7" s="6" t="n">
        <v>75</v>
      </c>
      <c r="G7" t="inlineStr">
        <is>
          <t>Light</t>
        </is>
      </c>
      <c r="H7" s="6" t="n">
        <v>0.6346000000000001</v>
      </c>
      <c r="I7" s="6" t="n">
        <v>1</v>
      </c>
      <c r="J7" s="6" t="n">
        <v>1</v>
      </c>
      <c r="K7" s="6" t="n"/>
      <c r="X7" s="6" t="n">
        <v>3000</v>
      </c>
    </row>
    <row r="8">
      <c r="A8" t="inlineStr">
        <is>
          <t>redalert</t>
        </is>
      </c>
      <c r="B8" t="inlineStr">
        <is>
          <t>japan_coreservicedepot</t>
        </is>
      </c>
      <c r="C8" t="inlineStr">
        <is>
          <t>Core (Service Depot)</t>
        </is>
      </c>
      <c r="D8" s="6" t="inlineStr">
        <is>
          <t>Vehicle</t>
        </is>
      </c>
      <c r="E8" s="6" t="n">
        <v>50000</v>
      </c>
      <c r="F8" s="6" t="n">
        <v>75</v>
      </c>
      <c r="G8" t="inlineStr">
        <is>
          <t>Light</t>
        </is>
      </c>
      <c r="H8" s="6" t="n">
        <v>0.6346000000000001</v>
      </c>
      <c r="I8" s="6" t="n">
        <v>1</v>
      </c>
      <c r="J8" s="6" t="n">
        <v>1</v>
      </c>
      <c r="K8" s="6" t="n"/>
      <c r="X8" s="6" t="n">
        <v>1000</v>
      </c>
    </row>
    <row r="9">
      <c r="A9" t="inlineStr">
        <is>
          <t>redalert</t>
        </is>
      </c>
      <c r="B9" t="inlineStr">
        <is>
          <t>japan_coretechcenter</t>
        </is>
      </c>
      <c r="C9" t="inlineStr">
        <is>
          <t>Core (Tech Center)</t>
        </is>
      </c>
      <c r="D9" s="6" t="inlineStr">
        <is>
          <t>Vehicle</t>
        </is>
      </c>
      <c r="E9" s="6" t="n">
        <v>50000</v>
      </c>
      <c r="F9" s="6" t="n">
        <v>75</v>
      </c>
      <c r="G9" t="inlineStr">
        <is>
          <t>Light</t>
        </is>
      </c>
      <c r="H9" s="6" t="n">
        <v>0.6346000000000001</v>
      </c>
      <c r="I9" s="6" t="n">
        <v>1</v>
      </c>
      <c r="J9" s="6" t="n">
        <v>1</v>
      </c>
      <c r="K9" s="6" t="n"/>
      <c r="X9" s="6" t="n">
        <v>5000</v>
      </c>
    </row>
    <row r="10">
      <c r="A10" t="inlineStr">
        <is>
          <t>redalert</t>
        </is>
      </c>
      <c r="B10" t="inlineStr">
        <is>
          <t>japan_corewarfactory</t>
        </is>
      </c>
      <c r="C10" t="inlineStr">
        <is>
          <t>Core (War Factory)</t>
        </is>
      </c>
      <c r="D10" s="6" t="inlineStr">
        <is>
          <t>Vehicle</t>
        </is>
      </c>
      <c r="E10" s="6" t="n">
        <v>50000</v>
      </c>
      <c r="F10" s="6" t="n">
        <v>75</v>
      </c>
      <c r="G10" t="inlineStr">
        <is>
          <t>Light</t>
        </is>
      </c>
      <c r="H10" s="6" t="n">
        <v>0.6346000000000001</v>
      </c>
      <c r="I10" s="6" t="n">
        <v>1</v>
      </c>
      <c r="J10" s="6" t="n">
        <v>1</v>
      </c>
      <c r="K10" s="6" t="n"/>
      <c r="X10" s="6" t="n">
        <v>2000</v>
      </c>
    </row>
    <row r="11">
      <c r="A11" t="inlineStr">
        <is>
          <t>redalert</t>
        </is>
      </c>
      <c r="B11" t="inlineStr">
        <is>
          <t>ra1_soviets_gorynychtank</t>
        </is>
      </c>
      <c r="C11" t="inlineStr">
        <is>
          <t>Gorynych Tank</t>
        </is>
      </c>
      <c r="D11" s="6" t="inlineStr">
        <is>
          <t>Vehicle</t>
        </is>
      </c>
      <c r="E11" s="6" t="n">
        <v>150000</v>
      </c>
      <c r="F11" s="6" t="n">
        <v>70</v>
      </c>
      <c r="G11" t="inlineStr">
        <is>
          <t>Heavy</t>
        </is>
      </c>
      <c r="H11" s="6" t="n">
        <v>0.8919</v>
      </c>
      <c r="I11" s="6" t="n">
        <v>1</v>
      </c>
      <c r="J11" s="6" t="n">
        <v>1</v>
      </c>
      <c r="K11" s="6" t="n"/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1300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BigFlamer</t>
        </is>
      </c>
      <c r="C12" s="7" t="inlineStr">
        <is>
          <t>Armament</t>
        </is>
      </c>
      <c r="L12" s="6" t="n">
        <v>14000</v>
      </c>
      <c r="M12" s="6" t="n">
        <v>50</v>
      </c>
      <c r="N12" s="6" t="n">
        <v>2</v>
      </c>
      <c r="O12" s="6" t="n">
        <v>10</v>
      </c>
      <c r="P12" s="6" t="n">
        <v>2390</v>
      </c>
      <c r="Q12" s="6" t="n">
        <v>1</v>
      </c>
      <c r="R12">
        <f>M12+IF(N12&gt;1,N(O12)*(N12-1),0)</f>
        <v/>
      </c>
      <c r="S12">
        <f>IFERROR(L12*MAX(N12,1)/R12*IF(ISBLANK(K11),1,K11),0)</f>
        <v/>
      </c>
      <c r="AB12" s="7" t="inlineStr">
        <is>
          <t>^Warhead_Flame_Medium</t>
        </is>
      </c>
    </row>
    <row r="13">
      <c r="A13" t="inlineStr">
        <is>
          <t>redalert</t>
        </is>
      </c>
      <c r="B13" t="inlineStr">
        <is>
          <t>ra1_soviets_nukedemotruck</t>
        </is>
      </c>
      <c r="C13" t="inlineStr">
        <is>
          <t>Nuke Demo Truck</t>
        </is>
      </c>
      <c r="D13" s="6" t="inlineStr">
        <is>
          <t>Vehicle</t>
        </is>
      </c>
      <c r="E13" s="6" t="n">
        <v>20000</v>
      </c>
      <c r="F13" s="6" t="n">
        <v>100</v>
      </c>
      <c r="G13" t="inlineStr">
        <is>
          <t>Light</t>
        </is>
      </c>
      <c r="H13" s="6" t="n">
        <v>0.4925</v>
      </c>
      <c r="I13" s="6" t="n">
        <v>1</v>
      </c>
      <c r="J13" s="6" t="n">
        <v>1</v>
      </c>
      <c r="K13" s="6" t="n"/>
      <c r="X13" s="6" t="n">
        <v>1500</v>
      </c>
    </row>
    <row r="14">
      <c r="B14" s="7" t="inlineStr">
        <is>
          <t xml:space="preserve">  ↳ DemoTruckTargeting</t>
        </is>
      </c>
      <c r="C14" s="7" t="inlineStr">
        <is>
          <t>Armament@PRIMARY</t>
        </is>
      </c>
      <c r="L14" s="6" t="n"/>
      <c r="M14" s="6" t="n"/>
      <c r="N14" s="6" t="n">
        <v>1</v>
      </c>
      <c r="O14" s="6" t="n"/>
      <c r="P14" s="6" t="n">
        <v>2000</v>
      </c>
      <c r="Q14" s="6" t="n">
        <v>1</v>
      </c>
      <c r="R14">
        <f>M14+IF(N14&gt;1,N(O14)*(N14-1),0)</f>
        <v/>
      </c>
      <c r="S14">
        <f>IFERROR(L14*MAX(N14,1)/R14*IF(ISBLANK(K13),1,K13),0)</f>
        <v/>
      </c>
      <c r="AB14" s="7" t="inlineStr"/>
    </row>
    <row r="15">
      <c r="A15" t="inlineStr">
        <is>
          <t>redalert</t>
        </is>
      </c>
      <c r="B15" t="inlineStr">
        <is>
          <t>ra1_allies_minelayer</t>
        </is>
      </c>
      <c r="C15" t="inlineStr">
        <is>
          <t>Minelayer</t>
        </is>
      </c>
      <c r="D15" s="6" t="inlineStr">
        <is>
          <t>Vehicle</t>
        </is>
      </c>
      <c r="E15" s="6" t="n">
        <v>30000</v>
      </c>
      <c r="F15" s="6" t="n">
        <v>128</v>
      </c>
      <c r="G15" t="inlineStr">
        <is>
          <t>Heavy</t>
        </is>
      </c>
      <c r="H15" s="6" t="n">
        <v>0.8048999999999999</v>
      </c>
      <c r="I15" s="6" t="n">
        <v>1</v>
      </c>
      <c r="J15" s="6" t="n">
        <v>1</v>
      </c>
      <c r="K15" s="6" t="n"/>
      <c r="X15" s="6" t="n">
        <v>800</v>
      </c>
    </row>
    <row r="16">
      <c r="A16" t="inlineStr">
        <is>
          <t>redalert</t>
        </is>
      </c>
      <c r="B16" t="inlineStr">
        <is>
          <t>ra1_allies_mobilegapgenerator</t>
        </is>
      </c>
      <c r="C16" t="inlineStr">
        <is>
          <t>Mobile Gap Generator</t>
        </is>
      </c>
      <c r="D16" s="6" t="inlineStr">
        <is>
          <t>Vehicle</t>
        </is>
      </c>
      <c r="E16" s="6" t="n">
        <v>25000</v>
      </c>
      <c r="F16" s="6" t="n">
        <v>75</v>
      </c>
      <c r="G16" t="inlineStr">
        <is>
          <t>Light</t>
        </is>
      </c>
      <c r="H16" s="6" t="n">
        <v>0.4925</v>
      </c>
      <c r="I16" s="6" t="n">
        <v>1</v>
      </c>
      <c r="J16" s="6" t="n">
        <v>1</v>
      </c>
      <c r="K16" s="6" t="n"/>
      <c r="X16" s="6" t="n">
        <v>5000</v>
      </c>
    </row>
    <row r="17">
      <c r="B17" s="7" t="inlineStr">
        <is>
          <t xml:space="preserve">  ↳ dummytargeting</t>
        </is>
      </c>
      <c r="C17" s="7" t="inlineStr">
        <is>
          <t>Armament</t>
        </is>
      </c>
      <c r="L17" s="6" t="n"/>
      <c r="M17" s="6" t="n"/>
      <c r="N17" s="6" t="n">
        <v>1</v>
      </c>
      <c r="O17" s="6" t="n"/>
      <c r="P17" s="6" t="n">
        <v>10000</v>
      </c>
      <c r="Q17" s="6" t="n">
        <v>1</v>
      </c>
      <c r="R17">
        <f>M17+IF(N17&gt;1,N(O17)*(N17-1),0)</f>
        <v/>
      </c>
      <c r="S17">
        <f>IFERROR(L17*MAX(N17,1)/R17*IF(ISBLANK(K16),1,K16),0)</f>
        <v/>
      </c>
      <c r="AB17" s="7" t="inlineStr"/>
    </row>
    <row r="18">
      <c r="A18" t="inlineStr">
        <is>
          <t>redalert</t>
        </is>
      </c>
      <c r="B18" t="inlineStr">
        <is>
          <t>ra1_allies_mobileradarjammer</t>
        </is>
      </c>
      <c r="C18" t="inlineStr">
        <is>
          <t>Mobile Radar Jammer</t>
        </is>
      </c>
      <c r="D18" s="6" t="inlineStr">
        <is>
          <t>Vehicle</t>
        </is>
      </c>
      <c r="E18" s="6" t="n">
        <v>25000</v>
      </c>
      <c r="F18" s="6" t="n">
        <v>100</v>
      </c>
      <c r="G18" t="inlineStr">
        <is>
          <t>Light</t>
        </is>
      </c>
      <c r="H18" s="6" t="n">
        <v>0.4925</v>
      </c>
      <c r="I18" s="6" t="n">
        <v>1</v>
      </c>
      <c r="J18" s="6" t="n">
        <v>1</v>
      </c>
      <c r="K18" s="6" t="n"/>
      <c r="X18" s="6" t="n">
        <v>5000</v>
      </c>
    </row>
    <row r="19">
      <c r="B19" s="7" t="inlineStr">
        <is>
          <t xml:space="preserve">  ↳ RadarJammer</t>
        </is>
      </c>
      <c r="C19" s="7" t="inlineStr">
        <is>
          <t>Armament</t>
        </is>
      </c>
      <c r="L19" s="6" t="n"/>
      <c r="M19" s="6" t="n">
        <v>150</v>
      </c>
      <c r="N19" s="6" t="n">
        <v>1</v>
      </c>
      <c r="O19" s="6" t="n"/>
      <c r="P19" s="6" t="n">
        <v>10000</v>
      </c>
      <c r="Q19" s="6" t="n">
        <v>1</v>
      </c>
      <c r="R19">
        <f>M19+IF(N19&gt;1,N(O19)*(N19-1),0)</f>
        <v/>
      </c>
      <c r="S19">
        <f>IFERROR(L19*MAX(N19,1)/R19*IF(ISBLANK(K18),1,K18),0)</f>
        <v/>
      </c>
      <c r="AB19" s="7" t="inlineStr"/>
    </row>
    <row r="20">
      <c r="A20" t="inlineStr">
        <is>
          <t>tiberiansun</t>
        </is>
      </c>
      <c r="B20" t="inlineStr">
        <is>
          <t>ts_nod_mobilerepairvehicle</t>
        </is>
      </c>
      <c r="C20" t="inlineStr">
        <is>
          <t>Mobile Repair Vehicle</t>
        </is>
      </c>
      <c r="D20" s="6" t="inlineStr">
        <is>
          <t>Vehicle</t>
        </is>
      </c>
      <c r="E20" s="6" t="n">
        <v>50000</v>
      </c>
      <c r="F20" s="6" t="n">
        <v>75</v>
      </c>
      <c r="G20" t="inlineStr">
        <is>
          <t>Heavy</t>
        </is>
      </c>
      <c r="H20" s="6" t="n">
        <v>1</v>
      </c>
      <c r="I20" s="6" t="n">
        <v>1</v>
      </c>
      <c r="J20" s="6" t="n">
        <v>1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1000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ts_nod_mobilerepairvehicle</t>
        </is>
      </c>
      <c r="C21" s="7" t="inlineStr">
        <is>
          <t>Armament</t>
        </is>
      </c>
      <c r="L21" s="6" t="n">
        <v>-3000</v>
      </c>
      <c r="M21" s="6" t="n">
        <v>50</v>
      </c>
      <c r="N21" s="6" t="n">
        <v>10</v>
      </c>
      <c r="O21" s="6" t="n">
        <v>1</v>
      </c>
      <c r="P21" s="6" t="n">
        <v>5000</v>
      </c>
      <c r="Q21" s="6" t="n">
        <v>1</v>
      </c>
      <c r="R21">
        <f>M21+IF(N21&gt;1,N(O21)*(N21-1),0)</f>
        <v/>
      </c>
      <c r="S21">
        <f>IFERROR(L21*MAX(N21,1)/R21*IF(ISBLANK(K20),1,K20),0)</f>
        <v/>
      </c>
      <c r="AB21" s="7" t="inlineStr">
        <is>
          <t>RA2IFVRepair</t>
        </is>
      </c>
    </row>
    <row r="22">
      <c r="A22" t="inlineStr">
        <is>
          <t>tiberiansun</t>
        </is>
      </c>
      <c r="B22" t="inlineStr">
        <is>
          <t>ts_nod_mobilestealthgenerator</t>
        </is>
      </c>
      <c r="C22" t="inlineStr">
        <is>
          <t>Mobile Stealth Generator</t>
        </is>
      </c>
      <c r="D22" s="6" t="inlineStr">
        <is>
          <t>Vehicle</t>
        </is>
      </c>
      <c r="E22" s="6" t="n">
        <v>20000</v>
      </c>
      <c r="F22" s="6" t="n">
        <v>56</v>
      </c>
      <c r="G22" t="inlineStr">
        <is>
          <t>Wood</t>
        </is>
      </c>
      <c r="H22" s="6" t="n">
        <v>0.5375</v>
      </c>
      <c r="I22" s="6" t="n">
        <v>1</v>
      </c>
      <c r="J22" s="6" t="n">
        <v>1</v>
      </c>
      <c r="K22" s="6" t="n"/>
      <c r="X22" s="6" t="n">
        <v>1500</v>
      </c>
    </row>
    <row r="23">
      <c r="A23" t="inlineStr">
        <is>
          <t>tiberiansun</t>
        </is>
      </c>
      <c r="B23" t="inlineStr">
        <is>
          <t>ts_gdi_mobilesensorarray</t>
        </is>
      </c>
      <c r="C23" t="inlineStr">
        <is>
          <t>Mobile Sensor Array</t>
        </is>
      </c>
      <c r="D23" s="6" t="inlineStr">
        <is>
          <t>Vehicle</t>
        </is>
      </c>
      <c r="E23" s="6" t="n">
        <v>60000</v>
      </c>
      <c r="F23" s="6" t="n">
        <v>85</v>
      </c>
      <c r="G23" t="inlineStr">
        <is>
          <t>Wood</t>
        </is>
      </c>
      <c r="H23" s="6" t="n">
        <v>1</v>
      </c>
      <c r="I23" s="6" t="n">
        <v>1</v>
      </c>
      <c r="J23" s="6" t="n">
        <v>1</v>
      </c>
      <c r="K23" s="6" t="n"/>
      <c r="X23" s="6" t="n">
        <v>1100</v>
      </c>
    </row>
    <row r="24">
      <c r="A24" t="inlineStr">
        <is>
          <t>redalert2mod</t>
        </is>
      </c>
      <c r="B24" t="inlineStr">
        <is>
          <t>asianalliance_oiltruck</t>
        </is>
      </c>
      <c r="C24" t="inlineStr">
        <is>
          <t>Oil Truck</t>
        </is>
      </c>
      <c r="D24" s="6" t="inlineStr">
        <is>
          <t>Vehicle</t>
        </is>
      </c>
      <c r="E24" s="6" t="n">
        <v>20000</v>
      </c>
      <c r="F24" s="6" t="n">
        <v>100</v>
      </c>
      <c r="G24" t="inlineStr">
        <is>
          <t>Light</t>
        </is>
      </c>
      <c r="H24" s="6" t="n">
        <v>0.4459</v>
      </c>
      <c r="I24" s="6" t="n">
        <v>1</v>
      </c>
      <c r="J24" s="6" t="n">
        <v>1</v>
      </c>
      <c r="K24" s="6" t="n"/>
      <c r="X24" s="6" t="n">
        <v>1000</v>
      </c>
    </row>
    <row r="25">
      <c r="B25" s="7" t="inlineStr">
        <is>
          <t xml:space="preserve">  ↳ DemoTruckTargeting</t>
        </is>
      </c>
      <c r="C25" s="7" t="inlineStr">
        <is>
          <t>Armament@PRIMARY</t>
        </is>
      </c>
      <c r="L25" s="6" t="n"/>
      <c r="M25" s="6" t="n"/>
      <c r="N25" s="6" t="n">
        <v>1</v>
      </c>
      <c r="O25" s="6" t="n"/>
      <c r="P25" s="6" t="n">
        <v>2000</v>
      </c>
      <c r="Q25" s="6" t="n">
        <v>1</v>
      </c>
      <c r="R25">
        <f>M25+IF(N25&gt;1,N(O25)*(N25-1),0)</f>
        <v/>
      </c>
      <c r="S25">
        <f>IFERROR(L25*MAX(N25,1)/R25*IF(ISBLANK(K24),1,K24),0)</f>
        <v/>
      </c>
      <c r="AB25" s="7" t="inlineStr"/>
    </row>
    <row r="26">
      <c r="A26" t="inlineStr">
        <is>
          <t>redalert2mod</t>
        </is>
      </c>
      <c r="B26" t="inlineStr">
        <is>
          <t>latinsyndicate_demolitiontruck</t>
        </is>
      </c>
      <c r="C26" t="inlineStr">
        <is>
          <t>Demolition Truck</t>
        </is>
      </c>
      <c r="D26" s="6" t="inlineStr">
        <is>
          <t>Vehicle</t>
        </is>
      </c>
      <c r="E26" s="6" t="n">
        <v>30000</v>
      </c>
      <c r="F26" s="6" t="n">
        <v>100</v>
      </c>
      <c r="G26" t="inlineStr">
        <is>
          <t>Light</t>
        </is>
      </c>
      <c r="H26" s="6" t="n">
        <v>0.6735</v>
      </c>
      <c r="I26" s="6" t="n">
        <v>1</v>
      </c>
      <c r="J26" s="6" t="n">
        <v>1</v>
      </c>
      <c r="K26" s="6" t="n">
        <v>0.02</v>
      </c>
      <c r="X26" s="6" t="n">
        <v>1500</v>
      </c>
    </row>
    <row r="27">
      <c r="B27" s="7" t="inlineStr">
        <is>
          <t xml:space="preserve">  ↳ DemoTruckTargeting</t>
        </is>
      </c>
      <c r="C27" s="7" t="inlineStr">
        <is>
          <t>Armament@PRIMARY</t>
        </is>
      </c>
      <c r="L27" s="6" t="n"/>
      <c r="M27" s="6" t="n"/>
      <c r="N27" s="6" t="n">
        <v>1</v>
      </c>
      <c r="O27" s="6" t="n"/>
      <c r="P27" s="6" t="n">
        <v>2000</v>
      </c>
      <c r="Q27" s="6" t="n">
        <v>1</v>
      </c>
      <c r="R27">
        <f>M27+IF(N27&gt;1,N(O27)*(N27-1),0)</f>
        <v/>
      </c>
      <c r="S27">
        <f>IFERROR(L27*MAX(N27,1)/R27*IF(ISBLANK(K26),1,K26),0)</f>
        <v/>
      </c>
      <c r="AB27" s="7" t="inlineStr"/>
    </row>
    <row r="28">
      <c r="A28" t="inlineStr">
        <is>
          <t>redalert2mod</t>
        </is>
      </c>
      <c r="B28" t="inlineStr">
        <is>
          <t>scrapcar.latin</t>
        </is>
      </c>
      <c r="C28" t="inlineStr">
        <is>
          <t>Civilian Vehicle</t>
        </is>
      </c>
      <c r="D28" s="6" t="inlineStr">
        <is>
          <t>Vehicle</t>
        </is>
      </c>
      <c r="E28" s="6" t="n">
        <v>20000</v>
      </c>
      <c r="F28" s="6" t="n">
        <v>100</v>
      </c>
      <c r="G28" t="inlineStr">
        <is>
          <t>Light</t>
        </is>
      </c>
      <c r="H28" s="6" t="n">
        <v>1</v>
      </c>
      <c r="I28" s="6" t="n">
        <v>1</v>
      </c>
      <c r="J28" s="6" t="n">
        <v>1</v>
      </c>
      <c r="K28" s="6" t="n"/>
      <c r="X28" s="6" t="n">
        <v>0</v>
      </c>
    </row>
    <row r="29">
      <c r="A29" t="inlineStr">
        <is>
          <t>redalert2mod</t>
        </is>
      </c>
      <c r="B29" t="inlineStr">
        <is>
          <t>scrapcar2.latin</t>
        </is>
      </c>
      <c r="C29" t="inlineStr">
        <is>
          <t>Civilian Vehicle</t>
        </is>
      </c>
      <c r="D29" s="6" t="inlineStr">
        <is>
          <t>Vehicle</t>
        </is>
      </c>
      <c r="E29" s="6" t="n">
        <v>20000</v>
      </c>
      <c r="F29" s="6" t="n">
        <v>100</v>
      </c>
      <c r="G29" t="inlineStr">
        <is>
          <t>Light</t>
        </is>
      </c>
      <c r="H29" s="6" t="n">
        <v>1</v>
      </c>
      <c r="I29" s="6" t="n">
        <v>1</v>
      </c>
      <c r="J29" s="6" t="n">
        <v>1</v>
      </c>
      <c r="K29" s="6" t="n"/>
      <c r="X29" s="6" t="n">
        <v>0</v>
      </c>
    </row>
    <row r="30">
      <c r="A30" t="inlineStr">
        <is>
          <t>redalert2mod</t>
        </is>
      </c>
      <c r="B30" t="inlineStr">
        <is>
          <t>scrapcar2_demo.latin</t>
        </is>
      </c>
      <c r="C30" t="inlineStr">
        <is>
          <t>Bomb Car</t>
        </is>
      </c>
      <c r="D30" s="6" t="inlineStr">
        <is>
          <t>Vehicle</t>
        </is>
      </c>
      <c r="E30" s="6" t="n">
        <v>20000</v>
      </c>
      <c r="F30" s="6" t="n">
        <v>100</v>
      </c>
      <c r="G30" t="inlineStr">
        <is>
          <t>Light</t>
        </is>
      </c>
      <c r="H30" s="6" t="n">
        <v>1</v>
      </c>
      <c r="I30" s="6" t="n">
        <v>1</v>
      </c>
      <c r="J30" s="6" t="n">
        <v>1</v>
      </c>
      <c r="K30" s="6" t="n"/>
      <c r="X30" s="6" t="n">
        <v>500</v>
      </c>
    </row>
    <row r="31">
      <c r="B31" s="7" t="inlineStr">
        <is>
          <t xml:space="preserve">  ↳ DemoTruckTargeting</t>
        </is>
      </c>
      <c r="C31" s="7" t="inlineStr">
        <is>
          <t>Armament@PRIMARY</t>
        </is>
      </c>
      <c r="L31" s="6" t="n"/>
      <c r="M31" s="6" t="n"/>
      <c r="N31" s="6" t="n">
        <v>1</v>
      </c>
      <c r="O31" s="6" t="n"/>
      <c r="P31" s="6" t="n">
        <v>2000</v>
      </c>
      <c r="Q31" s="6" t="n">
        <v>1</v>
      </c>
      <c r="R31">
        <f>M31+IF(N31&gt;1,N(O31)*(N31-1),0)</f>
        <v/>
      </c>
      <c r="S31">
        <f>IFERROR(L31*MAX(N31,1)/R31*IF(ISBLANK(K30),1,K30),0)</f>
        <v/>
      </c>
      <c r="AB31" s="7" t="inlineStr"/>
    </row>
    <row r="32">
      <c r="A32" t="inlineStr">
        <is>
          <t>redalert2mod</t>
        </is>
      </c>
      <c r="B32" t="inlineStr">
        <is>
          <t>scrapcar_demo.latin</t>
        </is>
      </c>
      <c r="C32" t="inlineStr">
        <is>
          <t>Bomb Car</t>
        </is>
      </c>
      <c r="D32" s="6" t="inlineStr">
        <is>
          <t>Vehicle</t>
        </is>
      </c>
      <c r="E32" s="6" t="n">
        <v>20000</v>
      </c>
      <c r="F32" s="6" t="n">
        <v>100</v>
      </c>
      <c r="G32" t="inlineStr">
        <is>
          <t>Light</t>
        </is>
      </c>
      <c r="H32" s="6" t="n">
        <v>1</v>
      </c>
      <c r="I32" s="6" t="n">
        <v>1</v>
      </c>
      <c r="J32" s="6" t="n">
        <v>1</v>
      </c>
      <c r="K32" s="6" t="n"/>
      <c r="X32" s="6" t="n">
        <v>500</v>
      </c>
    </row>
    <row r="33">
      <c r="B33" s="7" t="inlineStr">
        <is>
          <t xml:space="preserve">  ↳ DemoTruckTargeting</t>
        </is>
      </c>
      <c r="C33" s="7" t="inlineStr">
        <is>
          <t>Armament@PRIMARY</t>
        </is>
      </c>
      <c r="L33" s="6" t="n"/>
      <c r="M33" s="6" t="n"/>
      <c r="N33" s="6" t="n">
        <v>1</v>
      </c>
      <c r="O33" s="6" t="n"/>
      <c r="P33" s="6" t="n">
        <v>2000</v>
      </c>
      <c r="Q33" s="6" t="n">
        <v>1</v>
      </c>
      <c r="R33">
        <f>M33+IF(N33&gt;1,N(O33)*(N33-1),0)</f>
        <v/>
      </c>
      <c r="S33">
        <f>IFERROR(L33*MAX(N33,1)/R33*IF(ISBLANK(K32),1,K32),0)</f>
        <v/>
      </c>
      <c r="AB33" s="7" t="inlineStr"/>
    </row>
    <row r="34">
      <c r="A34" t="inlineStr">
        <is>
          <t>d2k</t>
        </is>
      </c>
      <c r="B34" t="inlineStr">
        <is>
          <t>devastator</t>
        </is>
      </c>
      <c r="C34" t="inlineStr">
        <is>
          <t>Harkonnen Devastator Tank</t>
        </is>
      </c>
      <c r="D34" s="6" t="inlineStr">
        <is>
          <t>Vehicle</t>
        </is>
      </c>
      <c r="E34" s="6" t="n">
        <v>550000</v>
      </c>
      <c r="F34" s="6" t="n">
        <v>31</v>
      </c>
      <c r="G34" t="inlineStr">
        <is>
          <t>Superheavy</t>
        </is>
      </c>
      <c r="H34" s="6" t="n">
        <v>0.4925</v>
      </c>
      <c r="I34" s="6" t="n">
        <v>1</v>
      </c>
      <c r="J34" s="6" t="n">
        <v>1</v>
      </c>
      <c r="K34" s="6" t="n"/>
      <c r="P34">
        <f>MAX(P35)</f>
        <v/>
      </c>
      <c r="S34">
        <f>S35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3000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DevBullet</t>
        </is>
      </c>
      <c r="C35" s="7" t="inlineStr">
        <is>
          <t>Armament</t>
        </is>
      </c>
      <c r="L35" s="6" t="n">
        <v>80000</v>
      </c>
      <c r="M35" s="6" t="n">
        <v>100</v>
      </c>
      <c r="N35" s="6" t="n">
        <v>1</v>
      </c>
      <c r="O35" s="6" t="n"/>
      <c r="P35" s="6" t="n">
        <v>6666</v>
      </c>
      <c r="Q35" s="6" t="n">
        <v>1</v>
      </c>
      <c r="R35">
        <f>M35+IF(N35&gt;1,N(O35)*(N35-1),0)</f>
        <v/>
      </c>
      <c r="S35">
        <f>IFERROR(L35*MAX(N35,1)/R35*IF(ISBLANK(K34),1,K34),0)</f>
        <v/>
      </c>
      <c r="AB35" s="7" t="inlineStr">
        <is>
          <t>^Warhead_CannonHE_Medium</t>
        </is>
      </c>
    </row>
    <row r="36">
      <c r="A36" s="4" t="inlineStr">
        <is>
          <t>ScoutVehicle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</row>
    <row r="37">
      <c r="A37" t="inlineStr">
        <is>
          <t>tiberiandawn</t>
        </is>
      </c>
      <c r="B37" t="inlineStr">
        <is>
          <t>td_gdi_humvee</t>
        </is>
      </c>
      <c r="C37" t="inlineStr">
        <is>
          <t>GDI Humvee</t>
        </is>
      </c>
      <c r="D37" s="6" t="inlineStr">
        <is>
          <t>ScoutVehicle</t>
        </is>
      </c>
      <c r="E37" s="6" t="n">
        <v>27500</v>
      </c>
      <c r="F37" s="6" t="n">
        <v>150</v>
      </c>
      <c r="G37" t="inlineStr">
        <is>
          <t>Scout</t>
        </is>
      </c>
      <c r="H37" s="6" t="n">
        <v>1</v>
      </c>
      <c r="I37" s="6" t="n">
        <v>0.333</v>
      </c>
      <c r="J37" s="6" t="n">
        <v>1</v>
      </c>
      <c r="K37" s="6" t="n"/>
      <c r="P37">
        <f>MAX(P38,P39)</f>
        <v/>
      </c>
      <c r="S37">
        <f>S38+S39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(((E37/30000)+(F37/200)+(S37/450)+((P37/4500)*J37))*300/4+(((E37/30000)*(F37/200))+(((P37/4500)*J37)*(S37/450)))*300/2+((E37/30000)*(F37/200)*((P37/4500)*J37)*(S37/450))*300)*(H37/1.0)/3</f>
        <v/>
      </c>
      <c r="X37" s="6" t="n">
        <v>400</v>
      </c>
      <c r="Y37">
        <f>IFERROR(W37-X37,"")</f>
        <v/>
      </c>
      <c r="Z37">
        <f>IFERROR(ABS(Y37)/MAX(X37,1),"")</f>
        <v/>
      </c>
      <c r="AA37">
        <f>IFERROR(ROUND(((3*X37-(((E37/30000)+(F37/200)+(S37/450))*300/4+((E37/30000)*(F37/200))*300/2)*(H37/1.0))/(300/4+((S37/450))*300/2+((E37/30000)*(F37/200)*(S37/450))*300)*(H37/1.0)*4500)/J37,-1),"")</f>
        <v/>
      </c>
    </row>
    <row r="38">
      <c r="B38" s="7" t="inlineStr">
        <is>
          <t xml:space="preserve">  ↳ MachineGunH</t>
        </is>
      </c>
      <c r="C38" s="7" t="inlineStr">
        <is>
          <t>Armament</t>
        </is>
      </c>
      <c r="L38" s="6" t="n">
        <v>6000</v>
      </c>
      <c r="M38" s="6" t="n">
        <v>9</v>
      </c>
      <c r="N38" s="6" t="n">
        <v>3</v>
      </c>
      <c r="O38" s="6" t="n">
        <v>6</v>
      </c>
      <c r="P38" s="6" t="n">
        <v>4792</v>
      </c>
      <c r="Q38" s="6" t="n">
        <v>0.75</v>
      </c>
      <c r="R38">
        <f>M38+IF(N38&gt;1,N(O38)*(N38-1),0)</f>
        <v/>
      </c>
      <c r="S38">
        <f>IFERROR(L38*MAX(N38,1)/R38*IF(ISBLANK(K37),1,K37),0)</f>
        <v/>
      </c>
      <c r="AB38" s="7" t="inlineStr">
        <is>
          <t>^Warhead_Bullet_Light</t>
        </is>
      </c>
    </row>
    <row r="39">
      <c r="B39" s="7" t="inlineStr">
        <is>
          <t xml:space="preserve">  ↳ MachineGunAPH</t>
        </is>
      </c>
      <c r="C39" s="7" t="inlineStr">
        <is>
          <t>Armament@Upgrade</t>
        </is>
      </c>
      <c r="L39" s="6" t="n">
        <v>6000</v>
      </c>
      <c r="M39" s="6" t="n">
        <v>9</v>
      </c>
      <c r="N39" s="6" t="n">
        <v>3</v>
      </c>
      <c r="O39" s="6" t="n">
        <v>6</v>
      </c>
      <c r="P39" s="6" t="n">
        <v>4792</v>
      </c>
      <c r="Q39" s="6" t="n">
        <v>1</v>
      </c>
      <c r="R39">
        <f>M39+IF(N39&gt;1,N(O39)*(N39-1),0)</f>
        <v/>
      </c>
      <c r="S39">
        <f>IFERROR(L39*MAX(N39,1)/R39*IF(ISBLANK(K37),1,K37),0)</f>
        <v/>
      </c>
      <c r="AB39" s="7" t="inlineStr">
        <is>
          <t>^Warhead_Bullet_Medium</t>
        </is>
      </c>
    </row>
    <row r="40">
      <c r="A40" t="inlineStr">
        <is>
          <t>tiberiandawn</t>
        </is>
      </c>
      <c r="B40" t="inlineStr">
        <is>
          <t>td_gdi_humveemkii</t>
        </is>
      </c>
      <c r="C40" t="inlineStr">
        <is>
          <t>Humvee Mk. II</t>
        </is>
      </c>
      <c r="D40" s="6" t="inlineStr">
        <is>
          <t>ScoutVehicle</t>
        </is>
      </c>
      <c r="E40" s="6" t="n">
        <v>37500</v>
      </c>
      <c r="F40" s="6" t="n">
        <v>115</v>
      </c>
      <c r="G40" t="inlineStr">
        <is>
          <t>Scout</t>
        </is>
      </c>
      <c r="H40" s="6" t="n">
        <v>0.8919</v>
      </c>
      <c r="I40" s="6" t="n">
        <v>1</v>
      </c>
      <c r="J40" s="6" t="n">
        <v>1</v>
      </c>
      <c r="K40" s="6" t="n">
        <v>0.005</v>
      </c>
      <c r="P40">
        <f>MAX(P41,P42,P43,P44,P45,P46,P47,P48)</f>
        <v/>
      </c>
      <c r="S40">
        <f>S41+S42+S43+S44+S45+S46+S47+S48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(((E40/30000)+(F40/200)+(S40/450)+((P40/4500)*J40))*300/4+(((E40/30000)*(F40/200))+(((P40/4500)*J40)*(S40/450)))*300/2+((E40/30000)*(F40/200)*((P40/4500)*J40)*(S40/450))*300)*(H40/1.0)/3</f>
        <v/>
      </c>
      <c r="X40" s="6" t="n">
        <v>600</v>
      </c>
      <c r="Y40">
        <f>IFERROR(W40-X40,"")</f>
        <v/>
      </c>
      <c r="Z40">
        <f>IFERROR(ABS(Y40)/MAX(X40,1),"")</f>
        <v/>
      </c>
      <c r="AA40">
        <f>IFERROR(ROUND(((3*X40-(((E40/30000)+(F40/200)+(S40/450))*300/4+((E40/30000)*(F40/200))*300/2)*(H40/1.0))/(300/4+((S40/450))*300/2+((E40/30000)*(F40/200)*(S40/450))*300)*(H40/1.0)*4500)/J40,-1),"")</f>
        <v/>
      </c>
    </row>
    <row r="41">
      <c r="B41" s="7" t="inlineStr">
        <is>
          <t xml:space="preserve">  ↳ MachineGunHumvee2</t>
        </is>
      </c>
      <c r="C41" s="7" t="inlineStr">
        <is>
          <t>Armament</t>
        </is>
      </c>
      <c r="L41" s="6" t="n">
        <v>2000</v>
      </c>
      <c r="M41" s="6" t="n">
        <v>30</v>
      </c>
      <c r="N41" s="6" t="n">
        <v>4</v>
      </c>
      <c r="O41" s="6" t="n">
        <v>4</v>
      </c>
      <c r="P41" s="6" t="n">
        <v>5598</v>
      </c>
      <c r="Q41" s="6" t="n">
        <v>0.75</v>
      </c>
      <c r="R41">
        <f>M41+IF(N41&gt;1,N(O41)*(N41-1),0)</f>
        <v/>
      </c>
      <c r="S41">
        <f>IFERROR(L41*MAX(N41,1)/R41*IF(ISBLANK(K40),1,K40),0)</f>
        <v/>
      </c>
      <c r="AB41" s="7" t="inlineStr">
        <is>
          <t>^Warhead_Bullet_Light</t>
        </is>
      </c>
    </row>
    <row r="42">
      <c r="B42" s="7" t="inlineStr">
        <is>
          <t xml:space="preserve">  ↳ MachineGunHumvee2AP</t>
        </is>
      </c>
      <c r="C42" s="7" t="inlineStr">
        <is>
          <t>Armament@Upgrade</t>
        </is>
      </c>
      <c r="L42" s="6" t="n">
        <v>2000</v>
      </c>
      <c r="M42" s="6" t="n">
        <v>30</v>
      </c>
      <c r="N42" s="6" t="n">
        <v>4</v>
      </c>
      <c r="O42" s="6" t="n">
        <v>4</v>
      </c>
      <c r="P42" s="6" t="n">
        <v>5598</v>
      </c>
      <c r="Q42" s="6" t="n">
        <v>1</v>
      </c>
      <c r="R42">
        <f>M42+IF(N42&gt;1,N(O42)*(N42-1),0)</f>
        <v/>
      </c>
      <c r="S42">
        <f>IFERROR(L42*MAX(N42,1)/R42*IF(ISBLANK(K40),1,K40),0)</f>
        <v/>
      </c>
      <c r="AB42" s="7" t="inlineStr">
        <is>
          <t>^Warhead_Bullet_Medium</t>
        </is>
      </c>
    </row>
    <row r="43">
      <c r="B43" s="7" t="inlineStr">
        <is>
          <t xml:space="preserve">  ↳ MachineGunHumvee2_AA</t>
        </is>
      </c>
      <c r="C43" s="7" t="inlineStr">
        <is>
          <t>Armament@AA</t>
        </is>
      </c>
      <c r="L43" s="6" t="n">
        <v>2000</v>
      </c>
      <c r="M43" s="6" t="n">
        <v>30</v>
      </c>
      <c r="N43" s="6" t="n">
        <v>4</v>
      </c>
      <c r="O43" s="6" t="n">
        <v>4</v>
      </c>
      <c r="P43" s="6" t="n">
        <v>8397</v>
      </c>
      <c r="Q43" s="6" t="n">
        <v>0.75</v>
      </c>
      <c r="R43">
        <f>M43+IF(N43&gt;1,N(O43)*(N43-1),0)</f>
        <v/>
      </c>
      <c r="S43">
        <f>IFERROR(L43*MAX(N43,1)/R43*IF(ISBLANK(K40),1,K40),0)</f>
        <v/>
      </c>
      <c r="AB43" s="7" t="inlineStr">
        <is>
          <t>^Warhead_Bullet_Light</t>
        </is>
      </c>
    </row>
    <row r="44">
      <c r="B44" s="7" t="inlineStr">
        <is>
          <t xml:space="preserve">  ↳ MachineGunHumvee2AP_AA</t>
        </is>
      </c>
      <c r="C44" s="7" t="inlineStr">
        <is>
          <t>Armament@UpgradeAA</t>
        </is>
      </c>
      <c r="L44" s="6" t="n">
        <v>2000</v>
      </c>
      <c r="M44" s="6" t="n">
        <v>30</v>
      </c>
      <c r="N44" s="6" t="n">
        <v>4</v>
      </c>
      <c r="O44" s="6" t="n">
        <v>4</v>
      </c>
      <c r="P44" s="6" t="n">
        <v>8397</v>
      </c>
      <c r="Q44" s="6" t="n">
        <v>1</v>
      </c>
      <c r="R44">
        <f>M44+IF(N44&gt;1,N(O44)*(N44-1),0)</f>
        <v/>
      </c>
      <c r="S44">
        <f>IFERROR(L44*MAX(N44,1)/R44*IF(ISBLANK(K40),1,K40),0)</f>
        <v/>
      </c>
      <c r="AB44" s="7" t="inlineStr">
        <is>
          <t>^Warhead_Bullet_Medium</t>
        </is>
      </c>
    </row>
    <row r="45">
      <c r="B45" s="7" t="inlineStr">
        <is>
          <t xml:space="preserve">  ↳ RocketsHumvee2</t>
        </is>
      </c>
      <c r="C45" s="7" t="inlineStr">
        <is>
          <t>Armament@Rockets</t>
        </is>
      </c>
      <c r="L45" s="6" t="n">
        <v>16000</v>
      </c>
      <c r="M45" s="6" t="n">
        <v>84</v>
      </c>
      <c r="N45" s="6" t="n">
        <v>1</v>
      </c>
      <c r="O45" s="6" t="n"/>
      <c r="P45" s="6" t="n">
        <v>5598</v>
      </c>
      <c r="Q45" s="6" t="n">
        <v>0.75</v>
      </c>
      <c r="R45">
        <f>M45+IF(N45&gt;1,N(O45)*(N45-1),0)</f>
        <v/>
      </c>
      <c r="S45">
        <f>IFERROR(L45*MAX(N45,1)/R45*IF(ISBLANK(K40),1,K40),0)</f>
        <v/>
      </c>
      <c r="AB45" s="7" t="inlineStr">
        <is>
          <t>^Warhead_MissileAP_Light</t>
        </is>
      </c>
    </row>
    <row r="46">
      <c r="B46" s="7" t="inlineStr">
        <is>
          <t xml:space="preserve">  ↳ RocketsHumvee2_AA</t>
        </is>
      </c>
      <c r="C46" s="7" t="inlineStr">
        <is>
          <t>Armament@RocketsAA</t>
        </is>
      </c>
      <c r="L46" s="6" t="n">
        <v>16000</v>
      </c>
      <c r="M46" s="6" t="n">
        <v>84</v>
      </c>
      <c r="N46" s="6" t="n">
        <v>1</v>
      </c>
      <c r="O46" s="6" t="n"/>
      <c r="P46" s="6" t="n">
        <v>8397</v>
      </c>
      <c r="Q46" s="6" t="n">
        <v>0.75</v>
      </c>
      <c r="R46">
        <f>M46+IF(N46&gt;1,N(O46)*(N46-1),0)</f>
        <v/>
      </c>
      <c r="S46">
        <f>IFERROR(L46*MAX(N46,1)/R46*IF(ISBLANK(K40),1,K40),0)</f>
        <v/>
      </c>
      <c r="AB46" s="7" t="inlineStr">
        <is>
          <t>^Warhead_MissileAP_Light</t>
        </is>
      </c>
    </row>
    <row r="47">
      <c r="B47" s="7" t="inlineStr">
        <is>
          <t xml:space="preserve">  ↳ RocketsHumvee2AMT</t>
        </is>
      </c>
      <c r="C47" s="7" t="inlineStr">
        <is>
          <t>Armament@AdvancedMissileTargeting</t>
        </is>
      </c>
      <c r="L47" s="6" t="n">
        <v>32000</v>
      </c>
      <c r="M47" s="6" t="n">
        <v>84</v>
      </c>
      <c r="N47" s="6" t="n">
        <v>1</v>
      </c>
      <c r="O47" s="6" t="n"/>
      <c r="P47" s="6" t="n">
        <v>5598</v>
      </c>
      <c r="Q47" s="6" t="n">
        <v>1</v>
      </c>
      <c r="R47">
        <f>M47+IF(N47&gt;1,N(O47)*(N47-1),0)</f>
        <v/>
      </c>
      <c r="S47">
        <f>IFERROR(L47*MAX(N47,1)/R47*IF(ISBLANK(K40),1,K40),0)</f>
        <v/>
      </c>
      <c r="AB47" s="7" t="inlineStr">
        <is>
          <t>^Warhead_MissileAP_Heavy, ^Warhead_MissileAP_Light</t>
        </is>
      </c>
    </row>
    <row r="48">
      <c r="B48" s="7" t="inlineStr">
        <is>
          <t xml:space="preserve">  ↳ RocketsHumvee2AMT_AA</t>
        </is>
      </c>
      <c r="C48" s="7" t="inlineStr">
        <is>
          <t>Armament@AdvancedMissileTargetingAA</t>
        </is>
      </c>
      <c r="L48" s="6" t="n">
        <v>32000</v>
      </c>
      <c r="M48" s="6" t="n">
        <v>84</v>
      </c>
      <c r="N48" s="6" t="n">
        <v>1</v>
      </c>
      <c r="O48" s="6" t="n"/>
      <c r="P48" s="6" t="n">
        <v>8397</v>
      </c>
      <c r="Q48" s="6" t="n">
        <v>1</v>
      </c>
      <c r="R48">
        <f>M48+IF(N48&gt;1,N(O48)*(N48-1),0)</f>
        <v/>
      </c>
      <c r="S48">
        <f>IFERROR(L48*MAX(N48,1)/R48*IF(ISBLANK(K40),1,K40),0)</f>
        <v/>
      </c>
      <c r="AB48" s="7" t="inlineStr">
        <is>
          <t>^Warhead_MissileAP_Heavy, ^Warhead_MissileAP_Light</t>
        </is>
      </c>
    </row>
    <row r="49">
      <c r="A49" t="inlineStr">
        <is>
          <t>tiberiandawn</t>
        </is>
      </c>
      <c r="B49" t="inlineStr">
        <is>
          <t>td_nod_buggy</t>
        </is>
      </c>
      <c r="C49" t="inlineStr">
        <is>
          <t>Nod Buggy</t>
        </is>
      </c>
      <c r="D49" s="6" t="inlineStr">
        <is>
          <t>ScoutVehicle</t>
        </is>
      </c>
      <c r="E49" s="6" t="n">
        <v>20000</v>
      </c>
      <c r="F49" s="6" t="n">
        <v>200</v>
      </c>
      <c r="G49" t="inlineStr">
        <is>
          <t>Scout</t>
        </is>
      </c>
      <c r="H49" s="6" t="n">
        <v>1</v>
      </c>
      <c r="I49" s="6" t="n">
        <v>0.333</v>
      </c>
      <c r="J49" s="6" t="n">
        <v>1</v>
      </c>
      <c r="K49" s="6" t="n"/>
      <c r="P49">
        <f>MAX(P50,P51)</f>
        <v/>
      </c>
      <c r="S49">
        <f>S50+S51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(((E49/30000)+(F49/200)+(S49/450)+((P49/4500)*J49))*300/4+(((E49/30000)*(F49/200))+(((P49/4500)*J49)*(S49/450)))*300/2+((E49/30000)*(F49/200)*((P49/4500)*J49)*(S49/450))*300)*(H49/1.0)/3</f>
        <v/>
      </c>
      <c r="X49" s="6" t="n">
        <v>300</v>
      </c>
      <c r="Y49">
        <f>IFERROR(W49-X49,"")</f>
        <v/>
      </c>
      <c r="Z49">
        <f>IFERROR(ABS(Y49)/MAX(X49,1),"")</f>
        <v/>
      </c>
      <c r="AA49">
        <f>IFERROR(ROUND(((3*X49-(((E49/30000)+(F49/200)+(S49/450))*300/4+((E49/30000)*(F49/200))*300/2)*(H49/1.0))/(300/4+((S49/450))*300/2+((E49/30000)*(F49/200)*(S49/450))*300)*(H49/1.0)*4500)/J49,-1),"")</f>
        <v/>
      </c>
    </row>
    <row r="50">
      <c r="B50" s="7" t="inlineStr">
        <is>
          <t xml:space="preserve">  ↳ MachineGun</t>
        </is>
      </c>
      <c r="C50" s="7" t="inlineStr">
        <is>
          <t>Armament</t>
        </is>
      </c>
      <c r="L50" s="6" t="n">
        <v>4000</v>
      </c>
      <c r="M50" s="6" t="n">
        <v>10</v>
      </c>
      <c r="N50" s="6" t="n">
        <v>3</v>
      </c>
      <c r="O50" s="6" t="n">
        <v>5</v>
      </c>
      <c r="P50" s="6" t="n">
        <v>4540</v>
      </c>
      <c r="Q50" s="6" t="n">
        <v>0.75</v>
      </c>
      <c r="R50">
        <f>M50+IF(N50&gt;1,N(O50)*(N50-1),0)</f>
        <v/>
      </c>
      <c r="S50">
        <f>IFERROR(L50*MAX(N50,1)/R50*IF(ISBLANK(K49),1,K49),0)</f>
        <v/>
      </c>
      <c r="AB50" s="7" t="inlineStr">
        <is>
          <t>^Warhead_Bullet_Light</t>
        </is>
      </c>
    </row>
    <row r="51">
      <c r="B51" s="7" t="inlineStr">
        <is>
          <t xml:space="preserve">  ↳ FireballLauncherBuggy</t>
        </is>
      </c>
      <c r="C51" s="7" t="inlineStr">
        <is>
          <t>Armament@Upgrade</t>
        </is>
      </c>
      <c r="L51" s="6" t="n">
        <v>2000</v>
      </c>
      <c r="M51" s="6" t="n">
        <v>10</v>
      </c>
      <c r="N51" s="6" t="n">
        <v>3</v>
      </c>
      <c r="O51" s="6" t="n">
        <v>5</v>
      </c>
      <c r="P51" s="6" t="n">
        <v>4540</v>
      </c>
      <c r="Q51" s="6" t="n">
        <v>0.75</v>
      </c>
      <c r="R51">
        <f>M51+IF(N51&gt;1,N(O51)*(N51-1),0)</f>
        <v/>
      </c>
      <c r="S51">
        <f>IFERROR(L51*MAX(N51,1)/R51*IF(ISBLANK(K49),1,K49),0)</f>
        <v/>
      </c>
      <c r="AB51" s="7" t="inlineStr">
        <is>
          <t>^Warhead_Flame_Light</t>
        </is>
      </c>
    </row>
    <row r="52">
      <c r="A52" t="inlineStr">
        <is>
          <t>tiberiandawn</t>
        </is>
      </c>
      <c r="B52" t="inlineStr">
        <is>
          <t>td_nod_buggymkii</t>
        </is>
      </c>
      <c r="C52" t="inlineStr">
        <is>
          <t>Nod Buggy Mk. II</t>
        </is>
      </c>
      <c r="D52" s="6" t="inlineStr">
        <is>
          <t>ScoutVehicle</t>
        </is>
      </c>
      <c r="E52" s="6" t="n">
        <v>25000</v>
      </c>
      <c r="F52" s="6" t="n">
        <v>120</v>
      </c>
      <c r="G52" t="inlineStr">
        <is>
          <t>Scout</t>
        </is>
      </c>
      <c r="H52" s="6" t="n">
        <v>0.9429</v>
      </c>
      <c r="I52" s="6" t="n">
        <v>1</v>
      </c>
      <c r="J52" s="6" t="n">
        <v>1</v>
      </c>
      <c r="K52" s="6" t="n">
        <v>0.005</v>
      </c>
      <c r="P52">
        <f>MAX(P53,P54,P55,P56,P57,P58,P59,P60,P61)</f>
        <v/>
      </c>
      <c r="S52">
        <f>S53+S54+S55+S56+S57+S58+S59+S60+S61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(((E52/30000)+(F52/200)+(S52/450)+((P52/4500)*J52))*300/4+(((E52/30000)*(F52/200))+(((P52/4500)*J52)*(S52/450)))*300/2+((E52/30000)*(F52/200)*((P52/4500)*J52)*(S52/450))*300)*(H52/1.0)/3</f>
        <v/>
      </c>
      <c r="X52" s="6" t="n">
        <v>500</v>
      </c>
      <c r="Y52">
        <f>IFERROR(W52-X52,"")</f>
        <v/>
      </c>
      <c r="Z52">
        <f>IFERROR(ABS(Y52)/MAX(X52,1),"")</f>
        <v/>
      </c>
      <c r="AA52">
        <f>IFERROR(ROUND(((3*X52-(((E52/30000)+(F52/200)+(S52/450))*300/4+((E52/30000)*(F52/200))*300/2)*(H52/1.0))/(300/4+((S52/450))*300/2+((E52/30000)*(F52/200)*(S52/450))*300)*(H52/1.0)*4500)/J52,-1),"")</f>
        <v/>
      </c>
    </row>
    <row r="53">
      <c r="B53" s="7" t="inlineStr">
        <is>
          <t xml:space="preserve">  ↳ MachineGunBuggy2</t>
        </is>
      </c>
      <c r="C53" s="7" t="inlineStr">
        <is>
          <t>Armament</t>
        </is>
      </c>
      <c r="L53" s="6" t="n">
        <v>6000</v>
      </c>
      <c r="M53" s="6" t="n">
        <v>60</v>
      </c>
      <c r="N53" s="6" t="n">
        <v>3</v>
      </c>
      <c r="O53" s="6" t="n">
        <v>4</v>
      </c>
      <c r="P53" s="6" t="n">
        <v>5274</v>
      </c>
      <c r="Q53" s="6" t="n">
        <v>1</v>
      </c>
      <c r="R53">
        <f>M53+IF(N53&gt;1,N(O53)*(N53-1),0)</f>
        <v/>
      </c>
      <c r="S53">
        <f>IFERROR(L53*MAX(N53,1)/R53*IF(ISBLANK(K52),1,K52),0)</f>
        <v/>
      </c>
      <c r="AB53" s="7" t="inlineStr">
        <is>
          <t>^HeavyCannon, ^SmallArms, ^Chaingun</t>
        </is>
      </c>
    </row>
    <row r="54">
      <c r="B54" s="7" t="inlineStr">
        <is>
          <t xml:space="preserve">  ↳ FireballLauncherBuggy2</t>
        </is>
      </c>
      <c r="C54" s="7" t="inlineStr">
        <is>
          <t>Armament@Upgrade</t>
        </is>
      </c>
      <c r="L54" s="6" t="n">
        <v>6000</v>
      </c>
      <c r="M54" s="6" t="n">
        <v>60</v>
      </c>
      <c r="N54" s="6" t="n">
        <v>3</v>
      </c>
      <c r="O54" s="6" t="n">
        <v>4</v>
      </c>
      <c r="P54" s="6" t="n">
        <v>5274</v>
      </c>
      <c r="Q54" s="6" t="n">
        <v>1</v>
      </c>
      <c r="R54">
        <f>M54+IF(N54&gt;1,N(O54)*(N54-1),0)</f>
        <v/>
      </c>
      <c r="S54">
        <f>IFERROR(L54*MAX(N54,1)/R54*IF(ISBLANK(K52),1,K52),0)</f>
        <v/>
      </c>
      <c r="AB54" s="7" t="inlineStr">
        <is>
          <t>^Warhead_Flame_Light, ^Warhead_Flame_Heavy, ^Warhead_Flame_Medium</t>
        </is>
      </c>
    </row>
    <row r="55">
      <c r="B55" s="7" t="inlineStr">
        <is>
          <t xml:space="preserve">  ↳ MachineGunBuggy2_AA</t>
        </is>
      </c>
      <c r="C55" s="7" t="inlineStr">
        <is>
          <t>Armament@AA</t>
        </is>
      </c>
      <c r="L55" s="6" t="n">
        <v>6000</v>
      </c>
      <c r="M55" s="6" t="n">
        <v>60</v>
      </c>
      <c r="N55" s="6" t="n">
        <v>3</v>
      </c>
      <c r="O55" s="6" t="n">
        <v>4</v>
      </c>
      <c r="P55" s="6" t="n">
        <v>7911</v>
      </c>
      <c r="Q55" s="6" t="n">
        <v>1</v>
      </c>
      <c r="R55">
        <f>M55+IF(N55&gt;1,N(O55)*(N55-1),0)</f>
        <v/>
      </c>
      <c r="S55">
        <f>IFERROR(L55*MAX(N55,1)/R55*IF(ISBLANK(K52),1,K52),0)</f>
        <v/>
      </c>
      <c r="AB55" s="7" t="inlineStr">
        <is>
          <t>MachineGunBuggy2</t>
        </is>
      </c>
    </row>
    <row r="56">
      <c r="B56" s="7" t="inlineStr">
        <is>
          <t xml:space="preserve">  ↳ LaserBuggy2</t>
        </is>
      </c>
      <c r="C56" s="7" t="inlineStr">
        <is>
          <t>Armament@LaserBase</t>
        </is>
      </c>
      <c r="L56" s="6" t="n">
        <v>6000</v>
      </c>
      <c r="M56" s="6" t="n">
        <v>60</v>
      </c>
      <c r="N56" s="6" t="n">
        <v>3</v>
      </c>
      <c r="O56" s="6" t="n">
        <v>4</v>
      </c>
      <c r="P56" s="6" t="n">
        <v>5274</v>
      </c>
      <c r="Q56" s="6" t="n">
        <v>0.75</v>
      </c>
      <c r="R56">
        <f>M56+IF(N56&gt;1,N(O56)*(N56-1),0)</f>
        <v/>
      </c>
      <c r="S56">
        <f>IFERROR(L56*MAX(N56,1)/R56*IF(ISBLANK(K52),1,K52),0)</f>
        <v/>
      </c>
      <c r="AB56" s="7" t="inlineStr">
        <is>
          <t>^Warhead_Laser_Light</t>
        </is>
      </c>
    </row>
    <row r="57">
      <c r="B57" s="7" t="inlineStr">
        <is>
          <t xml:space="preserve">  ↳ LaserBuggy2Inferno</t>
        </is>
      </c>
      <c r="C57" s="7" t="inlineStr">
        <is>
          <t>Armament@LaserElite</t>
        </is>
      </c>
      <c r="L57" s="6" t="n">
        <v>6000</v>
      </c>
      <c r="M57" s="6" t="n">
        <v>60</v>
      </c>
      <c r="N57" s="6" t="n">
        <v>3</v>
      </c>
      <c r="O57" s="6" t="n">
        <v>4</v>
      </c>
      <c r="P57" s="6" t="n">
        <v>5274</v>
      </c>
      <c r="Q57" s="6" t="n">
        <v>0.75</v>
      </c>
      <c r="R57">
        <f>M57+IF(N57&gt;1,N(O57)*(N57-1),0)</f>
        <v/>
      </c>
      <c r="S57">
        <f>IFERROR(L57*MAX(N57,1)/R57*IF(ISBLANK(K52),1,K52),0)</f>
        <v/>
      </c>
      <c r="AB57" s="7" t="inlineStr">
        <is>
          <t>^Warhead_Inferno_Light</t>
        </is>
      </c>
    </row>
    <row r="58">
      <c r="B58" s="7" t="inlineStr">
        <is>
          <t xml:space="preserve">  ↳ LaserBuggy2Burning</t>
        </is>
      </c>
      <c r="C58" s="7" t="inlineStr">
        <is>
          <t>Armament@LaserBurning</t>
        </is>
      </c>
      <c r="L58" s="6" t="n">
        <v>6000</v>
      </c>
      <c r="M58" s="6" t="n">
        <v>60</v>
      </c>
      <c r="N58" s="6" t="n">
        <v>10</v>
      </c>
      <c r="O58" s="6" t="n">
        <v>1</v>
      </c>
      <c r="P58" s="6" t="n">
        <v>5274</v>
      </c>
      <c r="Q58" s="6" t="n">
        <v>0.75</v>
      </c>
      <c r="R58">
        <f>M58+IF(N58&gt;1,N(O58)*(N58-1),0)</f>
        <v/>
      </c>
      <c r="S58">
        <f>IFERROR(L58*MAX(N58,1)/R58*IF(ISBLANK(K52),1,K52),0)</f>
        <v/>
      </c>
      <c r="AB58" s="7" t="inlineStr">
        <is>
          <t>^Warhead_Inferno_Light</t>
        </is>
      </c>
    </row>
    <row r="59">
      <c r="B59" s="7" t="inlineStr">
        <is>
          <t xml:space="preserve">  ↳ LaserBuggy2_AA</t>
        </is>
      </c>
      <c r="C59" s="7" t="inlineStr">
        <is>
          <t>Armament@LaserAABase</t>
        </is>
      </c>
      <c r="L59" s="6" t="n">
        <v>6000</v>
      </c>
      <c r="M59" s="6" t="n">
        <v>60</v>
      </c>
      <c r="N59" s="6" t="n">
        <v>3</v>
      </c>
      <c r="O59" s="6" t="n">
        <v>4</v>
      </c>
      <c r="P59" s="6" t="n">
        <v>7911</v>
      </c>
      <c r="Q59" s="6" t="n">
        <v>0.75</v>
      </c>
      <c r="R59">
        <f>M59+IF(N59&gt;1,N(O59)*(N59-1),0)</f>
        <v/>
      </c>
      <c r="S59">
        <f>IFERROR(L59*MAX(N59,1)/R59*IF(ISBLANK(K52),1,K52),0)</f>
        <v/>
      </c>
      <c r="AB59" s="7" t="inlineStr">
        <is>
          <t>^Warhead_Laser_Light</t>
        </is>
      </c>
    </row>
    <row r="60">
      <c r="B60" s="7" t="inlineStr">
        <is>
          <t xml:space="preserve">  ↳ LaserBuggy2_AAInferno</t>
        </is>
      </c>
      <c r="C60" s="7" t="inlineStr">
        <is>
          <t>Armament@LaserAAElite</t>
        </is>
      </c>
      <c r="L60" s="6" t="n">
        <v>6000</v>
      </c>
      <c r="M60" s="6" t="n">
        <v>60</v>
      </c>
      <c r="N60" s="6" t="n">
        <v>3</v>
      </c>
      <c r="O60" s="6" t="n">
        <v>4</v>
      </c>
      <c r="P60" s="6" t="n">
        <v>7911</v>
      </c>
      <c r="Q60" s="6" t="n">
        <v>0.75</v>
      </c>
      <c r="R60">
        <f>M60+IF(N60&gt;1,N(O60)*(N60-1),0)</f>
        <v/>
      </c>
      <c r="S60">
        <f>IFERROR(L60*MAX(N60,1)/R60*IF(ISBLANK(K52),1,K52),0)</f>
        <v/>
      </c>
      <c r="AB60" s="7" t="inlineStr">
        <is>
          <t>^Warhead_Inferno_Light</t>
        </is>
      </c>
    </row>
    <row r="61">
      <c r="B61" s="7" t="inlineStr">
        <is>
          <t xml:space="preserve">  ↳ LaserBuggy2_AABurning</t>
        </is>
      </c>
      <c r="C61" s="7" t="inlineStr">
        <is>
          <t>Armament@LaserAABurning</t>
        </is>
      </c>
      <c r="L61" s="6" t="n">
        <v>6000</v>
      </c>
      <c r="M61" s="6" t="n">
        <v>60</v>
      </c>
      <c r="N61" s="6" t="n">
        <v>10</v>
      </c>
      <c r="O61" s="6" t="n">
        <v>1</v>
      </c>
      <c r="P61" s="6" t="n">
        <v>7911</v>
      </c>
      <c r="Q61" s="6" t="n">
        <v>0.75</v>
      </c>
      <c r="R61">
        <f>M61+IF(N61&gt;1,N(O61)*(N61-1),0)</f>
        <v/>
      </c>
      <c r="S61">
        <f>IFERROR(L61*MAX(N61,1)/R61*IF(ISBLANK(K52),1,K52),0)</f>
        <v/>
      </c>
      <c r="AB61" s="7" t="inlineStr">
        <is>
          <t>^Warhead_Inferno_Light</t>
        </is>
      </c>
    </row>
    <row r="62">
      <c r="A62" t="inlineStr">
        <is>
          <t>redalert</t>
        </is>
      </c>
      <c r="B62" t="inlineStr">
        <is>
          <t>japan_grenadebuggy</t>
        </is>
      </c>
      <c r="C62" t="inlineStr">
        <is>
          <t>Grenade Buggy</t>
        </is>
      </c>
      <c r="D62" s="6" t="inlineStr">
        <is>
          <t>ScoutVehicle</t>
        </is>
      </c>
      <c r="E62" s="6" t="n">
        <v>60000</v>
      </c>
      <c r="F62" s="6" t="n">
        <v>120</v>
      </c>
      <c r="G62" t="inlineStr">
        <is>
          <t>Scout</t>
        </is>
      </c>
      <c r="H62" s="6" t="n">
        <v>1</v>
      </c>
      <c r="I62" s="6" t="n">
        <v>0.5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(((E62/30000)+(F62/200)+(S62/450)+((P62/4500)*J62))*300/4+(((E62/30000)*(F62/200))+(((P62/4500)*J62)*(S62/450)))*300/2+((E62/30000)*(F62/200)*((P62/4500)*J62)*(S62/450))*300)*(H62/1.0)/3</f>
        <v/>
      </c>
      <c r="X62" s="6" t="n">
        <v>900</v>
      </c>
      <c r="Y62">
        <f>IFERROR(W62-X62,"")</f>
        <v/>
      </c>
      <c r="Z62">
        <f>IFERROR(ABS(Y62)/MAX(X62,1),"")</f>
        <v/>
      </c>
      <c r="AA62">
        <f>IFERROR(ROUND(((3*X62-(((E62/30000)+(F62/200)+(S62/450))*300/4+((E62/30000)*(F62/200))*300/2)*(H62/1.0))/(300/4+((S62/450))*300/2+((E62/30000)*(F62/200)*(S62/450))*300)*(H62/1.0)*4500)/J62,-1),"")</f>
        <v/>
      </c>
    </row>
    <row r="63">
      <c r="B63" s="7" t="inlineStr">
        <is>
          <t xml:space="preserve">  ↳ BuggyGrenade</t>
        </is>
      </c>
      <c r="C63" s="7" t="inlineStr">
        <is>
          <t>Armament</t>
        </is>
      </c>
      <c r="L63" s="6" t="n">
        <v>60000</v>
      </c>
      <c r="M63" s="6" t="n">
        <v>60</v>
      </c>
      <c r="N63" s="6" t="n">
        <v>1</v>
      </c>
      <c r="O63" s="6" t="n"/>
      <c r="P63" s="6" t="n">
        <v>5184</v>
      </c>
      <c r="Q63" s="6" t="n">
        <v>0.75</v>
      </c>
      <c r="R63">
        <f>M63+IF(N63&gt;1,N(O63)*(N63-1),0)</f>
        <v/>
      </c>
      <c r="S63">
        <f>IFERROR(L63*MAX(N63,1)/R63*IF(ISBLANK(K62),1,K62),0)</f>
        <v/>
      </c>
      <c r="AB63" s="7" t="inlineStr">
        <is>
          <t>^Warhead_Demolition_Light</t>
        </is>
      </c>
    </row>
    <row r="64">
      <c r="B64" s="7" t="inlineStr">
        <is>
          <t xml:space="preserve">  ↳ BuggyPlasmaGrenade</t>
        </is>
      </c>
      <c r="C64" s="7" t="inlineStr">
        <is>
          <t>Armament@Upgrade</t>
        </is>
      </c>
      <c r="L64" s="6" t="n">
        <v>60000</v>
      </c>
      <c r="M64" s="6" t="n">
        <v>60</v>
      </c>
      <c r="N64" s="6" t="n">
        <v>1</v>
      </c>
      <c r="O64" s="6" t="n"/>
      <c r="P64" s="6" t="n">
        <v>5184</v>
      </c>
      <c r="Q64" s="6" t="n">
        <v>0.75</v>
      </c>
      <c r="R64">
        <f>M64+IF(N64&gt;1,N(O64)*(N64-1),0)</f>
        <v/>
      </c>
      <c r="S64">
        <f>IFERROR(L64*MAX(N64,1)/R64*IF(ISBLANK(K62),1,K62),0)</f>
        <v/>
      </c>
      <c r="AB64" s="7" t="inlineStr">
        <is>
          <t>^Warhead_Demolition_Light</t>
        </is>
      </c>
    </row>
    <row r="65">
      <c r="A65" t="inlineStr">
        <is>
          <t>redalert</t>
        </is>
      </c>
      <c r="B65" t="inlineStr">
        <is>
          <t>japan_scoutcar</t>
        </is>
      </c>
      <c r="C65" t="inlineStr">
        <is>
          <t>Scout Car</t>
        </is>
      </c>
      <c r="D65" s="6" t="inlineStr">
        <is>
          <t>ScoutVehicle</t>
        </is>
      </c>
      <c r="E65" s="6" t="n">
        <v>25000</v>
      </c>
      <c r="F65" s="6" t="n">
        <v>160</v>
      </c>
      <c r="G65" t="inlineStr">
        <is>
          <t>Scout</t>
        </is>
      </c>
      <c r="H65" s="6" t="n">
        <v>1</v>
      </c>
      <c r="I65" s="6" t="n">
        <v>0.333</v>
      </c>
      <c r="J65" s="6" t="n">
        <v>1</v>
      </c>
      <c r="K65" s="6" t="n"/>
      <c r="P65">
        <f>MAX(P66,P67)</f>
        <v/>
      </c>
      <c r="S65">
        <f>S66+S67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(((E65/30000)+(F65/200)+(S65/450)+((P65/4500)*J65))*300/4+(((E65/30000)*(F65/200))+(((P65/4500)*J65)*(S65/450)))*300/2+((E65/30000)*(F65/200)*((P65/4500)*J65)*(S65/450))*300)*(H65/1.0)/3</f>
        <v/>
      </c>
      <c r="X65" s="6" t="n">
        <v>300</v>
      </c>
      <c r="Y65">
        <f>IFERROR(W65-X65,"")</f>
        <v/>
      </c>
      <c r="Z65">
        <f>IFERROR(ABS(Y65)/MAX(X65,1),"")</f>
        <v/>
      </c>
      <c r="AA65">
        <f>IFERROR(ROUND(((3*X65-(((E65/30000)+(F65/200)+(S65/450))*300/4+((E65/30000)*(F65/200))*300/2)*(H65/1.0))/(300/4+((S65/450))*300/2+((E65/30000)*(F65/200)*(S65/450))*300)*(H65/1.0)*4500)/J65,-1),"")</f>
        <v/>
      </c>
    </row>
    <row r="66">
      <c r="B66" s="7" t="inlineStr">
        <is>
          <t xml:space="preserve">  ↳ NambuMG</t>
        </is>
      </c>
      <c r="C66" s="7" t="inlineStr">
        <is>
          <t>Armament</t>
        </is>
      </c>
      <c r="L66" s="6" t="n">
        <v>4000</v>
      </c>
      <c r="M66" s="6" t="n">
        <v>15</v>
      </c>
      <c r="N66" s="6" t="n">
        <v>5</v>
      </c>
      <c r="O66" s="6" t="n">
        <v>5</v>
      </c>
      <c r="P66" s="6" t="n">
        <v>5004</v>
      </c>
      <c r="Q66" s="6" t="n">
        <v>0.75</v>
      </c>
      <c r="R66">
        <f>M66+IF(N66&gt;1,N(O66)*(N66-1),0)</f>
        <v/>
      </c>
      <c r="S66">
        <f>IFERROR(L66*MAX(N66,1)/R66*IF(ISBLANK(K65),1,K65),0)</f>
        <v/>
      </c>
      <c r="AB66" s="7" t="inlineStr">
        <is>
          <t>^Warhead_Bullet_Light</t>
        </is>
      </c>
    </row>
    <row r="67">
      <c r="B67" s="7" t="inlineStr">
        <is>
          <t xml:space="preserve">  ↳ NambuMGWaveforce</t>
        </is>
      </c>
      <c r="C67" s="7" t="inlineStr">
        <is>
          <t>Armament@Upgrade</t>
        </is>
      </c>
      <c r="L67" s="6" t="n">
        <v>4000</v>
      </c>
      <c r="M67" s="6" t="n">
        <v>15</v>
      </c>
      <c r="N67" s="6" t="n">
        <v>5</v>
      </c>
      <c r="O67" s="6" t="n">
        <v>5</v>
      </c>
      <c r="P67" s="6" t="n">
        <v>5004</v>
      </c>
      <c r="Q67" s="6" t="n">
        <v>1</v>
      </c>
      <c r="R67">
        <f>M67+IF(N67&gt;1,N(O67)*(N67-1),0)</f>
        <v/>
      </c>
      <c r="S67">
        <f>IFERROR(L67*MAX(N67,1)/R67*IF(ISBLANK(K65),1,K65),0)</f>
        <v/>
      </c>
      <c r="AB67" s="7" t="inlineStr">
        <is>
          <t>^Warhead_Railgun_Heavy, ^Warhead_Bullet_Light</t>
        </is>
      </c>
    </row>
    <row r="68">
      <c r="A68" t="inlineStr">
        <is>
          <t>redalert</t>
        </is>
      </c>
      <c r="B68" t="inlineStr">
        <is>
          <t>ra1_allies_ranger</t>
        </is>
      </c>
      <c r="C68" t="inlineStr">
        <is>
          <t>Ranger</t>
        </is>
      </c>
      <c r="D68" s="6" t="inlineStr">
        <is>
          <t>ScoutVehicle</t>
        </is>
      </c>
      <c r="E68" s="6" t="n">
        <v>22500</v>
      </c>
      <c r="F68" s="6" t="n">
        <v>175</v>
      </c>
      <c r="G68" t="inlineStr">
        <is>
          <t>Scout</t>
        </is>
      </c>
      <c r="H68" s="6" t="n">
        <v>0.8919</v>
      </c>
      <c r="I68" s="6" t="n">
        <v>1</v>
      </c>
      <c r="J68" s="6" t="n">
        <v>1</v>
      </c>
      <c r="K68" s="6" t="n"/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(((E68/30000)+(F68/200)+(S68/450)+((P68/4500)*J68))*300/4+(((E68/30000)*(F68/200))+(((P68/4500)*J68)*(S68/450)))*300/2+((E68/30000)*(F68/200)*((P68/4500)*J68)*(S68/450))*300)*(H68/1.0)/3</f>
        <v/>
      </c>
      <c r="X68" s="6" t="n">
        <v>300</v>
      </c>
      <c r="Y68">
        <f>IFERROR(W68-X68,"")</f>
        <v/>
      </c>
      <c r="Z68">
        <f>IFERROR(ABS(Y68)/MAX(X68,1),"")</f>
        <v/>
      </c>
      <c r="AA68">
        <f>IFERROR(ROUND(((3*X68-(((E68/30000)+(F68/200)+(S68/450))*300/4+((E68/30000)*(F68/200))*300/2)*(H68/1.0))/(300/4+((S68/450))*300/2+((E68/30000)*(F68/200)*(S68/450))*300)*(H68/1.0)*4500)/J68,-1),"")</f>
        <v/>
      </c>
    </row>
    <row r="69">
      <c r="B69" s="7" t="inlineStr">
        <is>
          <t xml:space="preserve">  ↳ M60mg</t>
        </is>
      </c>
      <c r="C69" s="7" t="inlineStr">
        <is>
          <t>Armament</t>
        </is>
      </c>
      <c r="L69" s="6" t="n">
        <v>4000</v>
      </c>
      <c r="M69" s="6" t="n">
        <v>10</v>
      </c>
      <c r="N69" s="6" t="n">
        <v>4</v>
      </c>
      <c r="O69" s="6" t="n">
        <v>5</v>
      </c>
      <c r="P69" s="6" t="n">
        <v>4359</v>
      </c>
      <c r="Q69" s="6" t="n">
        <v>0.75</v>
      </c>
      <c r="R69">
        <f>M69+IF(N69&gt;1,N(O69)*(N69-1),0)</f>
        <v/>
      </c>
      <c r="S69">
        <f>IFERROR(L69*MAX(N69,1)/R69*IF(ISBLANK(K68),1,K68),0)</f>
        <v/>
      </c>
      <c r="AB69" s="7" t="inlineStr">
        <is>
          <t>^Warhead_Bullet_Light</t>
        </is>
      </c>
    </row>
    <row r="70">
      <c r="A70" t="inlineStr">
        <is>
          <t>tiberiansun</t>
        </is>
      </c>
      <c r="B70" t="inlineStr">
        <is>
          <t>ts_nod_attackbuggy</t>
        </is>
      </c>
      <c r="C70" t="inlineStr">
        <is>
          <t>Attack Buggy</t>
        </is>
      </c>
      <c r="D70" s="6" t="inlineStr">
        <is>
          <t>ScoutVehicle</t>
        </is>
      </c>
      <c r="E70" s="6" t="n">
        <v>30000</v>
      </c>
      <c r="F70" s="6" t="n">
        <v>160</v>
      </c>
      <c r="G70" t="inlineStr">
        <is>
          <t>Scout</t>
        </is>
      </c>
      <c r="H70" s="6" t="n">
        <v>1</v>
      </c>
      <c r="I70" s="6" t="n">
        <v>0.333</v>
      </c>
      <c r="J70" s="6" t="n">
        <v>1</v>
      </c>
      <c r="K70" s="6" t="n"/>
      <c r="P70">
        <f>MAX(P71,P72,P73)</f>
        <v/>
      </c>
      <c r="S70">
        <f>S71+S72+S73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(((E70/30000)+(F70/200)+(S70/450)+((P70/4500)*J70))*300/4+(((E70/30000)*(F70/200))+(((P70/4500)*J70)*(S70/450)))*300/2+((E70/30000)*(F70/200)*((P70/4500)*J70)*(S70/450))*300)*(H70/1.0)/3</f>
        <v/>
      </c>
      <c r="X70" s="6" t="n">
        <v>450</v>
      </c>
      <c r="Y70">
        <f>IFERROR(W70-X70,"")</f>
        <v/>
      </c>
      <c r="Z70">
        <f>IFERROR(ABS(Y70)/MAX(X70,1),"")</f>
        <v/>
      </c>
      <c r="AA70">
        <f>IFERROR(ROUND(((3*X70-(((E70/30000)+(F70/200)+(S70/450))*300/4+((E70/30000)*(F70/200))*300/2)*(H70/1.0))/(300/4+((S70/450))*300/2+((E70/30000)*(F70/200)*(S70/450))*300)*(H70/1.0)*4500)/J70,-1),"")</f>
        <v/>
      </c>
    </row>
    <row r="71">
      <c r="B71" s="7" t="inlineStr">
        <is>
          <t xml:space="preserve">  ↳ TSRaiderCannon</t>
        </is>
      </c>
      <c r="C71" s="7" t="inlineStr">
        <is>
          <t>Armament@PRIMARY</t>
        </is>
      </c>
      <c r="L71" s="6" t="n">
        <v>6000</v>
      </c>
      <c r="M71" s="6" t="n">
        <v>20</v>
      </c>
      <c r="N71" s="6" t="n">
        <v>4</v>
      </c>
      <c r="O71" s="6" t="n">
        <v>2</v>
      </c>
      <c r="P71" s="6" t="n">
        <v>4787</v>
      </c>
      <c r="Q71" s="6" t="n">
        <v>0.75</v>
      </c>
      <c r="R71">
        <f>M71+IF(N71&gt;1,N(O71)*(N71-1),0)</f>
        <v/>
      </c>
      <c r="S71">
        <f>IFERROR(L71*MAX(N71,1)/R71*IF(ISBLANK(K70),1,K70),0)</f>
        <v/>
      </c>
      <c r="AB71" s="7" t="inlineStr">
        <is>
          <t>^Warhead_Bullet_Light</t>
        </is>
      </c>
    </row>
    <row r="72">
      <c r="B72" s="7" t="inlineStr">
        <is>
          <t xml:space="preserve">  ↳ TSLaserRaiderCannon</t>
        </is>
      </c>
      <c r="C72" s="7" t="inlineStr">
        <is>
          <t>Armament@UPGRADE</t>
        </is>
      </c>
      <c r="L72" s="6" t="n">
        <v>12000</v>
      </c>
      <c r="M72" s="6" t="n">
        <v>20</v>
      </c>
      <c r="N72" s="6" t="n">
        <v>3</v>
      </c>
      <c r="O72" s="6" t="n">
        <v>2</v>
      </c>
      <c r="P72" s="6" t="n">
        <v>4964</v>
      </c>
      <c r="Q72" s="6" t="n">
        <v>1</v>
      </c>
      <c r="R72">
        <f>M72+IF(N72&gt;1,N(O72)*(N72-1),0)</f>
        <v/>
      </c>
      <c r="S72">
        <f>IFERROR(L72*MAX(N72,1)/R72*IF(ISBLANK(K70),1,K70),0)</f>
        <v/>
      </c>
      <c r="AB72" s="7" t="inlineStr">
        <is>
          <t>^Warhead_Bullet_Light, ^Warhead_Laser_Heavy</t>
        </is>
      </c>
    </row>
    <row r="73">
      <c r="B73" s="7" t="inlineStr">
        <is>
          <t xml:space="preserve">  ↳ TSRaiderGrenade</t>
        </is>
      </c>
      <c r="C73" s="7" t="inlineStr">
        <is>
          <t>Armament@SECONDARY</t>
        </is>
      </c>
      <c r="L73" s="6" t="n">
        <v>36000</v>
      </c>
      <c r="M73" s="6" t="n">
        <v>52</v>
      </c>
      <c r="N73" s="6" t="n">
        <v>1</v>
      </c>
      <c r="O73" s="6" t="n"/>
      <c r="P73" s="6" t="n">
        <v>4787</v>
      </c>
      <c r="Q73" s="6" t="n">
        <v>0.75</v>
      </c>
      <c r="R73">
        <f>M73+IF(N73&gt;1,N(O73)*(N73-1),0)</f>
        <v/>
      </c>
      <c r="S73">
        <f>IFERROR(L73*MAX(N73,1)/R73*IF(ISBLANK(K70),1,K70),0)</f>
        <v/>
      </c>
      <c r="AB73" s="7" t="inlineStr">
        <is>
          <t>^Warhead_Demolition_Light</t>
        </is>
      </c>
    </row>
    <row r="74">
      <c r="A74" t="inlineStr">
        <is>
          <t>tiberiansun</t>
        </is>
      </c>
      <c r="B74" t="inlineStr">
        <is>
          <t>ts_gdi_pitbull</t>
        </is>
      </c>
      <c r="C74" t="inlineStr">
        <is>
          <t>Pitbull</t>
        </is>
      </c>
      <c r="D74" s="6" t="inlineStr">
        <is>
          <t>ScoutVehicle</t>
        </is>
      </c>
      <c r="E74" s="6" t="n">
        <v>27500</v>
      </c>
      <c r="F74" s="6" t="n">
        <v>150</v>
      </c>
      <c r="G74" t="inlineStr">
        <is>
          <t>Scout</t>
        </is>
      </c>
      <c r="H74" s="6" t="n">
        <v>1</v>
      </c>
      <c r="I74" s="6" t="n">
        <v>1</v>
      </c>
      <c r="J74" s="6" t="n">
        <v>1</v>
      </c>
      <c r="K74" s="6" t="n"/>
      <c r="P74">
        <f>MAX(P75)</f>
        <v/>
      </c>
      <c r="S74">
        <f>S75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(((E74/30000)+(F74/200)+(S74/450)+((P74/4500)*J74))*300/4+(((E74/30000)*(F74/200))+(((P74/4500)*J74)*(S74/450)))*300/2+((E74/30000)*(F74/200)*((P74/4500)*J74)*(S74/450))*300)*(H74/1.0)/3</f>
        <v/>
      </c>
      <c r="X74" s="6" t="n">
        <v>400</v>
      </c>
      <c r="Y74">
        <f>IFERROR(W74-X74,"")</f>
        <v/>
      </c>
      <c r="Z74">
        <f>IFERROR(ABS(Y74)/MAX(X74,1),"")</f>
        <v/>
      </c>
      <c r="AA74">
        <f>IFERROR(ROUND(((3*X74-(((E74/30000)+(F74/200)+(S74/450))*300/4+((E74/30000)*(F74/200))*300/2)*(H74/1.0))/(300/4+((S74/450))*300/2+((E74/30000)*(F74/200)*(S74/450))*300)*(H74/1.0)*4500)/J74,-1),"")</f>
        <v/>
      </c>
    </row>
    <row r="75">
      <c r="B75" s="7" t="inlineStr">
        <is>
          <t xml:space="preserve">  ↳ PitbullRockets</t>
        </is>
      </c>
      <c r="C75" s="7" t="inlineStr">
        <is>
          <t>Armament</t>
        </is>
      </c>
      <c r="L75" s="6" t="n">
        <v>20000</v>
      </c>
      <c r="M75" s="6" t="n">
        <v>55</v>
      </c>
      <c r="N75" s="6" t="n">
        <v>2</v>
      </c>
      <c r="O75" s="6" t="n">
        <v>5</v>
      </c>
      <c r="P75" s="6" t="n">
        <v>6379</v>
      </c>
      <c r="Q75" s="6" t="n">
        <v>0.75</v>
      </c>
      <c r="R75">
        <f>M75+IF(N75&gt;1,N(O75)*(N75-1),0)</f>
        <v/>
      </c>
      <c r="S75">
        <f>IFERROR(L75*MAX(N75,1)/R75*IF(ISBLANK(K74),1,K74),0)</f>
        <v/>
      </c>
      <c r="AB75" s="7" t="inlineStr">
        <is>
          <t>^Warhead_MissileAP_Light</t>
        </is>
      </c>
    </row>
    <row r="76">
      <c r="A76" t="inlineStr">
        <is>
          <t>tiberiansun</t>
        </is>
      </c>
      <c r="B76" t="inlineStr">
        <is>
          <t>forgotten_bowler</t>
        </is>
      </c>
      <c r="C76" t="inlineStr">
        <is>
          <t>actor_forgotten_bowler.name</t>
        </is>
      </c>
      <c r="D76" s="6" t="inlineStr">
        <is>
          <t>ScoutVehicle</t>
        </is>
      </c>
      <c r="E76" s="6" t="n">
        <v>40000</v>
      </c>
      <c r="F76" s="6" t="n">
        <v>120</v>
      </c>
      <c r="G76" t="inlineStr">
        <is>
          <t>Scout</t>
        </is>
      </c>
      <c r="H76" s="6" t="n">
        <v>1</v>
      </c>
      <c r="I76" s="6" t="n">
        <v>1</v>
      </c>
      <c r="J76" s="6" t="n">
        <v>1</v>
      </c>
      <c r="K76" s="6" t="n"/>
      <c r="P76">
        <f>MAX(P77)</f>
        <v/>
      </c>
      <c r="S76">
        <f>S77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(((E76/30000)+(F76/200)+(S76/450)+((P76/4500)*J76))*300/4+(((E76/30000)*(F76/200))+(((P76/4500)*J76)*(S76/450)))*300/2+((E76/30000)*(F76/200)*((P76/4500)*J76)*(S76/450))*300)*(H76/1.0)/3</f>
        <v/>
      </c>
      <c r="X76" s="6" t="n">
        <v>850</v>
      </c>
      <c r="Y76">
        <f>IFERROR(W76-X76,"")</f>
        <v/>
      </c>
      <c r="Z76">
        <f>IFERROR(ABS(Y76)/MAX(X76,1),"")</f>
        <v/>
      </c>
      <c r="AA76">
        <f>IFERROR(ROUND(((3*X76-(((E76/30000)+(F76/200)+(S76/450))*300/4+((E76/30000)*(F76/200))*300/2)*(H76/1.0))/(300/4+((S76/450))*300/2+((E76/30000)*(F76/200)*(S76/450))*300)*(H76/1.0)*4500)/J76,-1),"")</f>
        <v/>
      </c>
    </row>
    <row r="77">
      <c r="B77" s="7" t="inlineStr">
        <is>
          <t xml:space="preserve">  ↳ TSBowlerCannon</t>
        </is>
      </c>
      <c r="C77" s="7" t="inlineStr">
        <is>
          <t>Armament</t>
        </is>
      </c>
      <c r="L77" s="6" t="n">
        <v>4000</v>
      </c>
      <c r="M77" s="6" t="n">
        <v>5</v>
      </c>
      <c r="N77" s="6" t="n">
        <v>1</v>
      </c>
      <c r="O77" s="6" t="n"/>
      <c r="P77" s="6" t="n">
        <v>6603</v>
      </c>
      <c r="Q77" s="6" t="n">
        <v>0.875</v>
      </c>
      <c r="R77">
        <f>M77+IF(N77&gt;1,N(O77)*(N77-1),0)</f>
        <v/>
      </c>
      <c r="S77">
        <f>IFERROR(L77*MAX(N77,1)/R77*IF(ISBLANK(K76),1,K76),0)</f>
        <v/>
      </c>
      <c r="AB77" s="7" t="inlineStr">
        <is>
          <t>^Warhead_Bullet_Light, ^Warhead_Bullet_Medium</t>
        </is>
      </c>
    </row>
    <row r="78">
      <c r="A78" t="inlineStr">
        <is>
          <t>tiberiansun</t>
        </is>
      </c>
      <c r="B78" t="inlineStr">
        <is>
          <t>forgotten_raidercar</t>
        </is>
      </c>
      <c r="C78" t="inlineStr">
        <is>
          <t>actor_forgotten_raidercar.name</t>
        </is>
      </c>
      <c r="D78" s="6" t="inlineStr">
        <is>
          <t>ScoutVehicle</t>
        </is>
      </c>
      <c r="E78" s="6" t="n">
        <v>22500</v>
      </c>
      <c r="F78" s="6" t="n">
        <v>180</v>
      </c>
      <c r="G78" t="inlineStr">
        <is>
          <t>Scout</t>
        </is>
      </c>
      <c r="H78" s="6" t="n">
        <v>1</v>
      </c>
      <c r="I78" s="6" t="n">
        <v>1</v>
      </c>
      <c r="J78" s="6" t="n">
        <v>1</v>
      </c>
      <c r="K78" s="6" t="n"/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(((E78/30000)+(F78/200)+(S78/450)+((P78/4500)*J78))*300/4+(((E78/30000)*(F78/200))+(((P78/4500)*J78)*(S78/450)))*300/2+((E78/30000)*(F78/200)*((P78/4500)*J78)*(S78/450))*300)*(H78/1.0)/3</f>
        <v/>
      </c>
      <c r="X78" s="6" t="n">
        <v>300</v>
      </c>
      <c r="Y78">
        <f>IFERROR(W78-X78,"")</f>
        <v/>
      </c>
      <c r="Z78">
        <f>IFERROR(ABS(Y78)/MAX(X78,1),"")</f>
        <v/>
      </c>
      <c r="AA78">
        <f>IFERROR(ROUND(((3*X78-(((E78/30000)+(F78/200)+(S78/450))*300/4+((E78/30000)*(F78/200))*300/2)*(H78/1.0))/(300/4+((S78/450))*300/2+((E78/30000)*(F78/200)*(S78/450))*300)*(H78/1.0)*4500)/J78,-1),"")</f>
        <v/>
      </c>
    </row>
    <row r="79">
      <c r="B79" s="7" t="inlineStr">
        <is>
          <t xml:space="preserve">  ↳ TSRaiderCarCannon</t>
        </is>
      </c>
      <c r="C79" s="7" t="inlineStr">
        <is>
          <t>Armament</t>
        </is>
      </c>
      <c r="L79" s="6" t="n">
        <v>4000</v>
      </c>
      <c r="M79" s="6" t="n">
        <v>20</v>
      </c>
      <c r="N79" s="6" t="n">
        <v>4</v>
      </c>
      <c r="O79" s="6" t="n">
        <v>2</v>
      </c>
      <c r="P79" s="6" t="n">
        <v>4475</v>
      </c>
      <c r="Q79" s="6" t="n">
        <v>0.75</v>
      </c>
      <c r="R79">
        <f>M79+IF(N79&gt;1,N(O79)*(N79-1),0)</f>
        <v/>
      </c>
      <c r="S79">
        <f>IFERROR(L79*MAX(N79,1)/R79*IF(ISBLANK(K78),1,K78),0)</f>
        <v/>
      </c>
      <c r="AB79" s="7" t="inlineStr">
        <is>
          <t>^Warhead_Bullet_Light</t>
        </is>
      </c>
    </row>
    <row r="80">
      <c r="A80" t="inlineStr">
        <is>
          <t>tiberiansun</t>
        </is>
      </c>
      <c r="B80" t="inlineStr">
        <is>
          <t>forgotten_ruiner</t>
        </is>
      </c>
      <c r="C80" t="inlineStr">
        <is>
          <t>actor_forgotten_ruiner.name</t>
        </is>
      </c>
      <c r="D80" s="6" t="inlineStr">
        <is>
          <t>ScoutVehicle</t>
        </is>
      </c>
      <c r="E80" s="6" t="n">
        <v>35000</v>
      </c>
      <c r="F80" s="6" t="n">
        <v>150</v>
      </c>
      <c r="G80" t="inlineStr">
        <is>
          <t>Scout</t>
        </is>
      </c>
      <c r="H80" s="6" t="n">
        <v>1</v>
      </c>
      <c r="I80" s="6" t="n">
        <v>1</v>
      </c>
      <c r="J80" s="6" t="n">
        <v>1</v>
      </c>
      <c r="K80" s="6" t="n"/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(((E80/30000)+(F80/200)+(S80/450)+((P80/4500)*J80))*300/4+(((E80/30000)*(F80/200))+(((P80/4500)*J80)*(S80/450)))*300/2+((E80/30000)*(F80/200)*((P80/4500)*J80)*(S80/450))*300)*(H80/1.0)/3</f>
        <v/>
      </c>
      <c r="X80" s="6" t="n">
        <v>500</v>
      </c>
      <c r="Y80">
        <f>IFERROR(W80-X80,"")</f>
        <v/>
      </c>
      <c r="Z80">
        <f>IFERROR(ABS(Y80)/MAX(X80,1),"")</f>
        <v/>
      </c>
      <c r="AA80">
        <f>IFERROR(ROUND(((3*X80-(((E80/30000)+(F80/200)+(S80/450))*300/4+((E80/30000)*(F80/200))*300/2)*(H80/1.0))/(300/4+((S80/450))*300/2+((E80/30000)*(F80/200)*(S80/450))*300)*(H80/1.0)*4500)/J80,-1),"")</f>
        <v/>
      </c>
    </row>
    <row r="81">
      <c r="B81" s="7" t="inlineStr">
        <is>
          <t xml:space="preserve">  ↳ TSRuinerMissile</t>
        </is>
      </c>
      <c r="C81" s="7" t="inlineStr">
        <is>
          <t>Armament@PRIMARY</t>
        </is>
      </c>
      <c r="L81" s="6" t="n">
        <v>36000</v>
      </c>
      <c r="M81" s="6" t="n">
        <v>50</v>
      </c>
      <c r="N81" s="6" t="n">
        <v>1</v>
      </c>
      <c r="O81" s="6" t="n"/>
      <c r="P81" s="6" t="n">
        <v>5919</v>
      </c>
      <c r="Q81" s="6" t="n">
        <v>0.875</v>
      </c>
      <c r="R81">
        <f>M81+IF(N81&gt;1,N(O81)*(N81-1),0)</f>
        <v/>
      </c>
      <c r="S81">
        <f>IFERROR(L81*MAX(N81,1)/R81*IF(ISBLANK(K80),1,K80),0)</f>
        <v/>
      </c>
      <c r="AB81" s="7" t="inlineStr">
        <is>
          <t>^Warhead_Demolition_Light, ^Warhead_MissileHE_Medium</t>
        </is>
      </c>
    </row>
    <row r="82">
      <c r="B82" s="7" t="inlineStr">
        <is>
          <t xml:space="preserve">  ↳ TSChemRuinerMissile</t>
        </is>
      </c>
      <c r="C82" s="7" t="inlineStr">
        <is>
          <t>Armament@UPGRADE</t>
        </is>
      </c>
      <c r="L82" s="6" t="n">
        <v>54000</v>
      </c>
      <c r="M82" s="6" t="n">
        <v>50</v>
      </c>
      <c r="N82" s="6" t="n">
        <v>1</v>
      </c>
      <c r="O82" s="6" t="n"/>
      <c r="P82" s="6" t="n">
        <v>5919</v>
      </c>
      <c r="Q82" s="6" t="n">
        <v>1</v>
      </c>
      <c r="R82">
        <f>M82+IF(N82&gt;1,N(O82)*(N82-1),0)</f>
        <v/>
      </c>
      <c r="S82">
        <f>IFERROR(L82*MAX(N82,1)/R82*IF(ISBLANK(K80),1,K80),0)</f>
        <v/>
      </c>
      <c r="AB82" s="7" t="inlineStr">
        <is>
          <t>^LightChemicalWeapon, ^MediumChemicalWeapon, ^Grenade, ^MediumMissile</t>
        </is>
      </c>
    </row>
    <row r="83">
      <c r="A83" t="inlineStr">
        <is>
          <t>shared</t>
        </is>
      </c>
      <c r="B83" t="inlineStr">
        <is>
          <t>ra2_ambu_driveby</t>
        </is>
      </c>
      <c r="C83" t="inlineStr">
        <is>
          <t>Drive By Car</t>
        </is>
      </c>
      <c r="D83" s="6" t="inlineStr">
        <is>
          <t>ScoutVehicle</t>
        </is>
      </c>
      <c r="E83" s="6" t="n">
        <v>25000</v>
      </c>
      <c r="F83" s="6" t="n">
        <v>100</v>
      </c>
      <c r="G83" t="inlineStr">
        <is>
          <t>Scout</t>
        </is>
      </c>
      <c r="H83" s="6" t="n">
        <v>1</v>
      </c>
      <c r="I83" s="6" t="n">
        <v>1</v>
      </c>
      <c r="J83" s="6" t="n">
        <v>1</v>
      </c>
      <c r="K83" s="6" t="n"/>
      <c r="P83">
        <f>MAX(P84)</f>
        <v/>
      </c>
      <c r="S83">
        <f>S84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RA220mmrapid</t>
        </is>
      </c>
      <c r="C84" s="7" t="inlineStr">
        <is>
          <t>Armament</t>
        </is>
      </c>
      <c r="L84" s="6" t="n">
        <v>8000</v>
      </c>
      <c r="M84" s="6" t="n">
        <v>15</v>
      </c>
      <c r="N84" s="6" t="n">
        <v>1</v>
      </c>
      <c r="O84" s="6" t="n"/>
      <c r="P84" s="6" t="n">
        <v>5000</v>
      </c>
      <c r="Q84" s="6" t="n">
        <v>0.875</v>
      </c>
      <c r="R84">
        <f>M84+IF(N84&gt;1,N(O84)*(N84-1),0)</f>
        <v/>
      </c>
      <c r="S84">
        <f>IFERROR(L84*MAX(N84,1)/R84*IF(ISBLANK(K83),1,K83),0)</f>
        <v/>
      </c>
      <c r="AB84" s="7" t="inlineStr">
        <is>
          <t>^Warhead_Bullet_Light, ^Warhead_Bullet_Medium</t>
        </is>
      </c>
    </row>
    <row r="85">
      <c r="A85" t="inlineStr">
        <is>
          <t>shared</t>
        </is>
      </c>
      <c r="B85" t="inlineStr">
        <is>
          <t>ra2_bcab_driveby</t>
        </is>
      </c>
      <c r="C85" t="inlineStr">
        <is>
          <t>Drive By Car</t>
        </is>
      </c>
      <c r="D85" s="6" t="inlineStr">
        <is>
          <t>ScoutVehicle</t>
        </is>
      </c>
      <c r="E85" s="6" t="n">
        <v>25000</v>
      </c>
      <c r="F85" s="6" t="n">
        <v>100</v>
      </c>
      <c r="G85" t="inlineStr">
        <is>
          <t>Scout</t>
        </is>
      </c>
      <c r="H85" s="6" t="n">
        <v>1</v>
      </c>
      <c r="I85" s="6" t="n">
        <v>1</v>
      </c>
      <c r="J85" s="6" t="n">
        <v>1</v>
      </c>
      <c r="K85" s="6" t="n"/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1000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RA220mmrapid</t>
        </is>
      </c>
      <c r="C86" s="7" t="inlineStr">
        <is>
          <t>Armament</t>
        </is>
      </c>
      <c r="L86" s="6" t="n">
        <v>8000</v>
      </c>
      <c r="M86" s="6" t="n">
        <v>15</v>
      </c>
      <c r="N86" s="6" t="n">
        <v>1</v>
      </c>
      <c r="O86" s="6" t="n"/>
      <c r="P86" s="6" t="n">
        <v>5000</v>
      </c>
      <c r="Q86" s="6" t="n">
        <v>0.875</v>
      </c>
      <c r="R86">
        <f>M86+IF(N86&gt;1,N(O86)*(N86-1),0)</f>
        <v/>
      </c>
      <c r="S86">
        <f>IFERROR(L86*MAX(N86,1)/R86*IF(ISBLANK(K85),1,K85),0)</f>
        <v/>
      </c>
      <c r="AB86" s="7" t="inlineStr">
        <is>
          <t>^Warhead_Bullet_Light, ^Warhead_Bullet_Medium</t>
        </is>
      </c>
    </row>
    <row r="87">
      <c r="A87" t="inlineStr">
        <is>
          <t>shared</t>
        </is>
      </c>
      <c r="B87" t="inlineStr">
        <is>
          <t>ra2_bus_driveby</t>
        </is>
      </c>
      <c r="C87" t="inlineStr">
        <is>
          <t>Drive By Car</t>
        </is>
      </c>
      <c r="D87" s="6" t="inlineStr">
        <is>
          <t>ScoutVehicle</t>
        </is>
      </c>
      <c r="E87" s="6" t="n">
        <v>25000</v>
      </c>
      <c r="F87" s="6" t="n">
        <v>100</v>
      </c>
      <c r="G87" t="inlineStr">
        <is>
          <t>Scout</t>
        </is>
      </c>
      <c r="H87" s="6" t="n">
        <v>1</v>
      </c>
      <c r="I87" s="6" t="n">
        <v>1</v>
      </c>
      <c r="J87" s="6" t="n">
        <v>1</v>
      </c>
      <c r="K87" s="6" t="n"/>
      <c r="P87">
        <f>MAX(P88)</f>
        <v/>
      </c>
      <c r="S87">
        <f>S88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1000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RA220mmrapid</t>
        </is>
      </c>
      <c r="C88" s="7" t="inlineStr">
        <is>
          <t>Armament</t>
        </is>
      </c>
      <c r="L88" s="6" t="n">
        <v>8000</v>
      </c>
      <c r="M88" s="6" t="n">
        <v>15</v>
      </c>
      <c r="N88" s="6" t="n">
        <v>1</v>
      </c>
      <c r="O88" s="6" t="n"/>
      <c r="P88" s="6" t="n">
        <v>5000</v>
      </c>
      <c r="Q88" s="6" t="n">
        <v>0.875</v>
      </c>
      <c r="R88">
        <f>M88+IF(N88&gt;1,N(O88)*(N88-1),0)</f>
        <v/>
      </c>
      <c r="S88">
        <f>IFERROR(L88*MAX(N88,1)/R88*IF(ISBLANK(K87),1,K87),0)</f>
        <v/>
      </c>
      <c r="AB88" s="7" t="inlineStr">
        <is>
          <t>^Warhead_Bullet_Light, ^Warhead_Bullet_Medium</t>
        </is>
      </c>
    </row>
    <row r="89">
      <c r="A89" t="inlineStr">
        <is>
          <t>shared</t>
        </is>
      </c>
      <c r="B89" t="inlineStr">
        <is>
          <t>ra2_c_hum</t>
        </is>
      </c>
      <c r="C89" t="inlineStr">
        <is>
          <t>Humvee</t>
        </is>
      </c>
      <c r="D89" s="6" t="inlineStr">
        <is>
          <t>ScoutVehicle</t>
        </is>
      </c>
      <c r="E89" s="6" t="n">
        <v>80000</v>
      </c>
      <c r="F89" s="6" t="n">
        <v>100</v>
      </c>
      <c r="G89" t="inlineStr">
        <is>
          <t>Light</t>
        </is>
      </c>
      <c r="H89" s="6" t="n">
        <v>1</v>
      </c>
      <c r="I89" s="6" t="n">
        <v>1</v>
      </c>
      <c r="J89" s="6" t="n">
        <v>1</v>
      </c>
      <c r="K89" s="6" t="n"/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400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RA2GattlingMG1</t>
        </is>
      </c>
      <c r="C90" s="7" t="inlineStr">
        <is>
          <t>Armament</t>
        </is>
      </c>
      <c r="L90" s="6" t="n">
        <v>4000</v>
      </c>
      <c r="M90" s="6" t="n">
        <v>6</v>
      </c>
      <c r="N90" s="6" t="n">
        <v>1</v>
      </c>
      <c r="O90" s="6" t="n"/>
      <c r="P90" s="6" t="n">
        <v>5000</v>
      </c>
      <c r="Q90" s="6" t="n">
        <v>0.875</v>
      </c>
      <c r="R90">
        <f>M90+IF(N90&gt;1,N(O90)*(N90-1),0)</f>
        <v/>
      </c>
      <c r="S90">
        <f>IFERROR(L90*MAX(N90,1)/R90*IF(ISBLANK(K89),1,K89),0)</f>
        <v/>
      </c>
      <c r="AB90" s="7" t="inlineStr">
        <is>
          <t>^Warhead_Bullet_Light, ^Warhead_Bullet_Medium</t>
        </is>
      </c>
    </row>
    <row r="91">
      <c r="B91" s="7" t="inlineStr">
        <is>
          <t xml:space="preserve">  ↳ RA2GattlingMG2</t>
        </is>
      </c>
      <c r="C91" s="7" t="inlineStr">
        <is>
          <t>Armament@elite</t>
        </is>
      </c>
      <c r="L91" s="6" t="n">
        <v>4000</v>
      </c>
      <c r="M91" s="6" t="n">
        <v>4</v>
      </c>
      <c r="N91" s="6" t="n">
        <v>1</v>
      </c>
      <c r="O91" s="6" t="n"/>
      <c r="P91" s="6" t="n">
        <v>5250</v>
      </c>
      <c r="Q91" s="6" t="n">
        <v>0.875</v>
      </c>
      <c r="R91">
        <f>M91+IF(N91&gt;1,N(O91)*(N91-1),0)</f>
        <v/>
      </c>
      <c r="S91">
        <f>IFERROR(L91*MAX(N91,1)/R91*IF(ISBLANK(K89),1,K89),0)</f>
        <v/>
      </c>
      <c r="AB91" s="7" t="inlineStr">
        <is>
          <t>^Warhead_Bullet_Light, ^Warhead_Bullet_Medium</t>
        </is>
      </c>
    </row>
    <row r="92">
      <c r="A92" t="inlineStr">
        <is>
          <t>shared</t>
        </is>
      </c>
      <c r="B92" t="inlineStr">
        <is>
          <t>ra2_c_hum2</t>
        </is>
      </c>
      <c r="C92" t="inlineStr">
        <is>
          <t>Civilian Humvee</t>
        </is>
      </c>
      <c r="D92" s="6" t="inlineStr">
        <is>
          <t>ScoutVehicle</t>
        </is>
      </c>
      <c r="E92" s="6" t="n">
        <v>80000</v>
      </c>
      <c r="F92" s="6" t="n">
        <v>100</v>
      </c>
      <c r="G92" t="inlineStr">
        <is>
          <t>Light</t>
        </is>
      </c>
      <c r="H92" s="6" t="n">
        <v>1</v>
      </c>
      <c r="I92" s="6" t="n">
        <v>1</v>
      </c>
      <c r="J92" s="6" t="n">
        <v>1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400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RA2GattlingMG1</t>
        </is>
      </c>
      <c r="C93" s="7" t="inlineStr">
        <is>
          <t>Armament</t>
        </is>
      </c>
      <c r="L93" s="6" t="n">
        <v>4000</v>
      </c>
      <c r="M93" s="6" t="n">
        <v>6</v>
      </c>
      <c r="N93" s="6" t="n">
        <v>1</v>
      </c>
      <c r="O93" s="6" t="n"/>
      <c r="P93" s="6" t="n">
        <v>5000</v>
      </c>
      <c r="Q93" s="6" t="n">
        <v>0.875</v>
      </c>
      <c r="R93">
        <f>M93+IF(N93&gt;1,N(O93)*(N93-1),0)</f>
        <v/>
      </c>
      <c r="S93">
        <f>IFERROR(L93*MAX(N93,1)/R93*IF(ISBLANK(K92),1,K92),0)</f>
        <v/>
      </c>
      <c r="AB93" s="7" t="inlineStr">
        <is>
          <t>^Warhead_Bullet_Light, ^Warhead_Bullet_Medium</t>
        </is>
      </c>
    </row>
    <row r="94">
      <c r="B94" s="7" t="inlineStr">
        <is>
          <t xml:space="preserve">  ↳ RA2GattlingMG2</t>
        </is>
      </c>
      <c r="C94" s="7" t="inlineStr">
        <is>
          <t>Armament@elite</t>
        </is>
      </c>
      <c r="L94" s="6" t="n">
        <v>4000</v>
      </c>
      <c r="M94" s="6" t="n">
        <v>4</v>
      </c>
      <c r="N94" s="6" t="n">
        <v>1</v>
      </c>
      <c r="O94" s="6" t="n"/>
      <c r="P94" s="6" t="n">
        <v>5250</v>
      </c>
      <c r="Q94" s="6" t="n">
        <v>0.875</v>
      </c>
      <c r="R94">
        <f>M94+IF(N94&gt;1,N(O94)*(N94-1),0)</f>
        <v/>
      </c>
      <c r="S94">
        <f>IFERROR(L94*MAX(N94,1)/R94*IF(ISBLANK(K92),1,K92),0)</f>
        <v/>
      </c>
      <c r="AB94" s="7" t="inlineStr">
        <is>
          <t>^Warhead_Bullet_Light, ^Warhead_Bullet_Medium</t>
        </is>
      </c>
    </row>
    <row r="95">
      <c r="A95" t="inlineStr">
        <is>
          <t>shared</t>
        </is>
      </c>
      <c r="B95" t="inlineStr">
        <is>
          <t>ra2_car_driveby</t>
        </is>
      </c>
      <c r="C95" t="inlineStr">
        <is>
          <t>Drive By Car</t>
        </is>
      </c>
      <c r="D95" s="6" t="inlineStr">
        <is>
          <t>ScoutVehicle</t>
        </is>
      </c>
      <c r="E95" s="6" t="n">
        <v>25000</v>
      </c>
      <c r="F95" s="6" t="n">
        <v>100</v>
      </c>
      <c r="G95" t="inlineStr">
        <is>
          <t>Scout</t>
        </is>
      </c>
      <c r="H95" s="6" t="n">
        <v>1</v>
      </c>
      <c r="I95" s="6" t="n">
        <v>1</v>
      </c>
      <c r="J95" s="6" t="n">
        <v>1</v>
      </c>
      <c r="K95" s="6" t="n"/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RA220mmrapid</t>
        </is>
      </c>
      <c r="C96" s="7" t="inlineStr">
        <is>
          <t>Armament</t>
        </is>
      </c>
      <c r="L96" s="6" t="n">
        <v>8000</v>
      </c>
      <c r="M96" s="6" t="n">
        <v>15</v>
      </c>
      <c r="N96" s="6" t="n">
        <v>1</v>
      </c>
      <c r="O96" s="6" t="n"/>
      <c r="P96" s="6" t="n">
        <v>5000</v>
      </c>
      <c r="Q96" s="6" t="n">
        <v>0.875</v>
      </c>
      <c r="R96">
        <f>M96+IF(N96&gt;1,N(O96)*(N96-1),0)</f>
        <v/>
      </c>
      <c r="S96">
        <f>IFERROR(L96*MAX(N96,1)/R96*IF(ISBLANK(K95),1,K95),0)</f>
        <v/>
      </c>
      <c r="AB96" s="7" t="inlineStr">
        <is>
          <t>^Warhead_Bullet_Light, ^Warhead_Bullet_Medium</t>
        </is>
      </c>
    </row>
    <row r="97">
      <c r="A97" t="inlineStr">
        <is>
          <t>shared</t>
        </is>
      </c>
      <c r="B97" t="inlineStr">
        <is>
          <t>ra2_cona_driveby</t>
        </is>
      </c>
      <c r="C97" t="inlineStr">
        <is>
          <t>Drive By Car</t>
        </is>
      </c>
      <c r="D97" s="6" t="inlineStr">
        <is>
          <t>ScoutVehicle</t>
        </is>
      </c>
      <c r="E97" s="6" t="n">
        <v>25000</v>
      </c>
      <c r="F97" s="6" t="n">
        <v>100</v>
      </c>
      <c r="G97" t="inlineStr">
        <is>
          <t>Scout</t>
        </is>
      </c>
      <c r="H97" s="6" t="n">
        <v>1</v>
      </c>
      <c r="I97" s="6" t="n">
        <v>1</v>
      </c>
      <c r="J97" s="6" t="n">
        <v>1</v>
      </c>
      <c r="K97" s="6" t="n"/>
      <c r="P97">
        <f>MAX(P98)</f>
        <v/>
      </c>
      <c r="S97">
        <f>S98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(T97+U97+V97)/3</f>
        <v/>
      </c>
      <c r="X97" s="6" t="n">
        <v>1000</v>
      </c>
      <c r="Y97">
        <f>IFERROR(W97-X97,"")</f>
        <v/>
      </c>
      <c r="Z97">
        <f>IFERROR(ABS(Y97)/MAX(X97,1),"")</f>
        <v/>
      </c>
      <c r="AA97">
        <f>IFERROR((X97-(((E97/100000+F97/100+S97/200)*200*I97*H97)+((E97*F97/25000)*I97*H97))/3)/(((J97/5)*200*I97*H97)+((J97*S97/2.5)*I97*H97)+((E97*F97*J97*S97*I97*H97)/12500000))/3*1000,"")</f>
        <v/>
      </c>
    </row>
    <row r="98">
      <c r="B98" s="7" t="inlineStr">
        <is>
          <t xml:space="preserve">  ↳ RA220mmrapid</t>
        </is>
      </c>
      <c r="C98" s="7" t="inlineStr">
        <is>
          <t>Armament</t>
        </is>
      </c>
      <c r="L98" s="6" t="n">
        <v>8000</v>
      </c>
      <c r="M98" s="6" t="n">
        <v>15</v>
      </c>
      <c r="N98" s="6" t="n">
        <v>1</v>
      </c>
      <c r="O98" s="6" t="n"/>
      <c r="P98" s="6" t="n">
        <v>5000</v>
      </c>
      <c r="Q98" s="6" t="n">
        <v>0.875</v>
      </c>
      <c r="R98">
        <f>M98+IF(N98&gt;1,N(O98)*(N98-1),0)</f>
        <v/>
      </c>
      <c r="S98">
        <f>IFERROR(L98*MAX(N98,1)/R98*IF(ISBLANK(K97),1,K97),0)</f>
        <v/>
      </c>
      <c r="AB98" s="7" t="inlineStr">
        <is>
          <t>^Warhead_Bullet_Light, ^Warhead_Bullet_Medium</t>
        </is>
      </c>
    </row>
    <row r="99">
      <c r="A99" t="inlineStr">
        <is>
          <t>shared</t>
        </is>
      </c>
      <c r="B99" t="inlineStr">
        <is>
          <t>ra2_cop_driveby</t>
        </is>
      </c>
      <c r="C99" t="inlineStr">
        <is>
          <t>Drive By Car</t>
        </is>
      </c>
      <c r="D99" s="6" t="inlineStr">
        <is>
          <t>ScoutVehicle</t>
        </is>
      </c>
      <c r="E99" s="6" t="n">
        <v>25000</v>
      </c>
      <c r="F99" s="6" t="n">
        <v>100</v>
      </c>
      <c r="G99" t="inlineStr">
        <is>
          <t>Scout</t>
        </is>
      </c>
      <c r="H99" s="6" t="n">
        <v>1</v>
      </c>
      <c r="I99" s="6" t="n">
        <v>1</v>
      </c>
      <c r="J99" s="6" t="n">
        <v>1</v>
      </c>
      <c r="K99" s="6" t="n"/>
      <c r="P99">
        <f>MAX(P100)</f>
        <v/>
      </c>
      <c r="S99">
        <f>S100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1000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RA220mmrapid</t>
        </is>
      </c>
      <c r="C100" s="7" t="inlineStr">
        <is>
          <t>Armament</t>
        </is>
      </c>
      <c r="L100" s="6" t="n">
        <v>8000</v>
      </c>
      <c r="M100" s="6" t="n">
        <v>15</v>
      </c>
      <c r="N100" s="6" t="n">
        <v>1</v>
      </c>
      <c r="O100" s="6" t="n"/>
      <c r="P100" s="6" t="n">
        <v>5000</v>
      </c>
      <c r="Q100" s="6" t="n">
        <v>0.875</v>
      </c>
      <c r="R100">
        <f>M100+IF(N100&gt;1,N(O100)*(N100-1),0)</f>
        <v/>
      </c>
      <c r="S100">
        <f>IFERROR(L100*MAX(N100,1)/R100*IF(ISBLANK(K99),1,K99),0)</f>
        <v/>
      </c>
      <c r="AB100" s="7" t="inlineStr">
        <is>
          <t>^Warhead_Bullet_Light, ^Warhead_Bullet_Medium</t>
        </is>
      </c>
    </row>
    <row r="101">
      <c r="A101" t="inlineStr">
        <is>
          <t>shared</t>
        </is>
      </c>
      <c r="B101" t="inlineStr">
        <is>
          <t>ra2_ddbx_driveby</t>
        </is>
      </c>
      <c r="C101" t="inlineStr">
        <is>
          <t>Drive By Car</t>
        </is>
      </c>
      <c r="D101" s="6" t="inlineStr">
        <is>
          <t>ScoutVehicle</t>
        </is>
      </c>
      <c r="E101" s="6" t="n">
        <v>25000</v>
      </c>
      <c r="F101" s="6" t="n">
        <v>100</v>
      </c>
      <c r="G101" t="inlineStr">
        <is>
          <t>Scout</t>
        </is>
      </c>
      <c r="H101" s="6" t="n">
        <v>1</v>
      </c>
      <c r="I101" s="6" t="n">
        <v>1</v>
      </c>
      <c r="J101" s="6" t="n">
        <v>1</v>
      </c>
      <c r="K101" s="6" t="n"/>
      <c r="P101">
        <f>MAX(P102)</f>
        <v/>
      </c>
      <c r="S101">
        <f>S102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1000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RA220mmrapid</t>
        </is>
      </c>
      <c r="C102" s="7" t="inlineStr">
        <is>
          <t>Armament</t>
        </is>
      </c>
      <c r="L102" s="6" t="n">
        <v>8000</v>
      </c>
      <c r="M102" s="6" t="n">
        <v>15</v>
      </c>
      <c r="N102" s="6" t="n">
        <v>1</v>
      </c>
      <c r="O102" s="6" t="n"/>
      <c r="P102" s="6" t="n">
        <v>5000</v>
      </c>
      <c r="Q102" s="6" t="n">
        <v>0.875</v>
      </c>
      <c r="R102">
        <f>M102+IF(N102&gt;1,N(O102)*(N102-1),0)</f>
        <v/>
      </c>
      <c r="S102">
        <f>IFERROR(L102*MAX(N102,1)/R102*IF(ISBLANK(K101),1,K101),0)</f>
        <v/>
      </c>
      <c r="AB102" s="7" t="inlineStr">
        <is>
          <t>^Warhead_Bullet_Light, ^Warhead_Bullet_Medium</t>
        </is>
      </c>
    </row>
    <row r="103">
      <c r="A103" t="inlineStr">
        <is>
          <t>shared</t>
        </is>
      </c>
      <c r="B103" t="inlineStr">
        <is>
          <t>ra2_euroc_driveby</t>
        </is>
      </c>
      <c r="C103" t="inlineStr">
        <is>
          <t>Drive By Car</t>
        </is>
      </c>
      <c r="D103" s="6" t="inlineStr">
        <is>
          <t>ScoutVehicle</t>
        </is>
      </c>
      <c r="E103" s="6" t="n">
        <v>25000</v>
      </c>
      <c r="F103" s="6" t="n">
        <v>100</v>
      </c>
      <c r="G103" t="inlineStr">
        <is>
          <t>Scout</t>
        </is>
      </c>
      <c r="H103" s="6" t="n">
        <v>1</v>
      </c>
      <c r="I103" s="6" t="n">
        <v>1</v>
      </c>
      <c r="J103" s="6" t="n">
        <v>1</v>
      </c>
      <c r="K103" s="6" t="n"/>
      <c r="P103">
        <f>MAX(P104)</f>
        <v/>
      </c>
      <c r="S103">
        <f>S104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(T103+U103+V103)/3</f>
        <v/>
      </c>
      <c r="X103" s="6" t="n">
        <v>1000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RA220mmrapid</t>
        </is>
      </c>
      <c r="C104" s="7" t="inlineStr">
        <is>
          <t>Armament</t>
        </is>
      </c>
      <c r="L104" s="6" t="n">
        <v>8000</v>
      </c>
      <c r="M104" s="6" t="n">
        <v>15</v>
      </c>
      <c r="N104" s="6" t="n">
        <v>1</v>
      </c>
      <c r="O104" s="6" t="n"/>
      <c r="P104" s="6" t="n">
        <v>5000</v>
      </c>
      <c r="Q104" s="6" t="n">
        <v>0.875</v>
      </c>
      <c r="R104">
        <f>M104+IF(N104&gt;1,N(O104)*(N104-1),0)</f>
        <v/>
      </c>
      <c r="S104">
        <f>IFERROR(L104*MAX(N104,1)/R104*IF(ISBLANK(K103),1,K103),0)</f>
        <v/>
      </c>
      <c r="AB104" s="7" t="inlineStr">
        <is>
          <t>^Warhead_Bullet_Light, ^Warhead_Bullet_Medium</t>
        </is>
      </c>
    </row>
    <row r="105">
      <c r="A105" t="inlineStr">
        <is>
          <t>shared</t>
        </is>
      </c>
      <c r="B105" t="inlineStr">
        <is>
          <t>ra2_jeep_driveby</t>
        </is>
      </c>
      <c r="C105" t="inlineStr">
        <is>
          <t>Drive By Car</t>
        </is>
      </c>
      <c r="D105" s="6" t="inlineStr">
        <is>
          <t>ScoutVehicle</t>
        </is>
      </c>
      <c r="E105" s="6" t="n">
        <v>25000</v>
      </c>
      <c r="F105" s="6" t="n">
        <v>100</v>
      </c>
      <c r="G105" t="inlineStr">
        <is>
          <t>Scout</t>
        </is>
      </c>
      <c r="H105" s="6" t="n">
        <v>1</v>
      </c>
      <c r="I105" s="6" t="n">
        <v>1</v>
      </c>
      <c r="J105" s="6" t="n">
        <v>1</v>
      </c>
      <c r="K105" s="6" t="n"/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1000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RA220mmrapid</t>
        </is>
      </c>
      <c r="C106" s="7" t="inlineStr">
        <is>
          <t>Armament</t>
        </is>
      </c>
      <c r="L106" s="6" t="n">
        <v>8000</v>
      </c>
      <c r="M106" s="6" t="n">
        <v>15</v>
      </c>
      <c r="N106" s="6" t="n">
        <v>1</v>
      </c>
      <c r="O106" s="6" t="n"/>
      <c r="P106" s="6" t="n">
        <v>5000</v>
      </c>
      <c r="Q106" s="6" t="n">
        <v>0.875</v>
      </c>
      <c r="R106">
        <f>M106+IF(N106&gt;1,N(O106)*(N106-1),0)</f>
        <v/>
      </c>
      <c r="S106">
        <f>IFERROR(L106*MAX(N106,1)/R106*IF(ISBLANK(K105),1,K105),0)</f>
        <v/>
      </c>
      <c r="AB106" s="7" t="inlineStr">
        <is>
          <t>^Warhead_Bullet_Light, ^Warhead_Bullet_Medium</t>
        </is>
      </c>
    </row>
    <row r="107">
      <c r="A107" t="inlineStr">
        <is>
          <t>shared</t>
        </is>
      </c>
      <c r="B107" t="inlineStr">
        <is>
          <t>ra2_limo_driveby</t>
        </is>
      </c>
      <c r="C107" t="inlineStr">
        <is>
          <t>Drive By Car</t>
        </is>
      </c>
      <c r="D107" s="6" t="inlineStr">
        <is>
          <t>ScoutVehicle</t>
        </is>
      </c>
      <c r="E107" s="6" t="n">
        <v>25000</v>
      </c>
      <c r="F107" s="6" t="n">
        <v>100</v>
      </c>
      <c r="G107" t="inlineStr">
        <is>
          <t>Scout</t>
        </is>
      </c>
      <c r="H107" s="6" t="n">
        <v>1</v>
      </c>
      <c r="I107" s="6" t="n">
        <v>1</v>
      </c>
      <c r="J107" s="6" t="n">
        <v>1</v>
      </c>
      <c r="K107" s="6" t="n"/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1000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RA220mmrapid</t>
        </is>
      </c>
      <c r="C108" s="7" t="inlineStr">
        <is>
          <t>Armament</t>
        </is>
      </c>
      <c r="L108" s="6" t="n">
        <v>8000</v>
      </c>
      <c r="M108" s="6" t="n">
        <v>15</v>
      </c>
      <c r="N108" s="6" t="n">
        <v>1</v>
      </c>
      <c r="O108" s="6" t="n"/>
      <c r="P108" s="6" t="n">
        <v>5000</v>
      </c>
      <c r="Q108" s="6" t="n">
        <v>0.875</v>
      </c>
      <c r="R108">
        <f>M108+IF(N108&gt;1,N(O108)*(N108-1),0)</f>
        <v/>
      </c>
      <c r="S108">
        <f>IFERROR(L108*MAX(N108,1)/R108*IF(ISBLANK(K107),1,K107),0)</f>
        <v/>
      </c>
      <c r="AB108" s="7" t="inlineStr">
        <is>
          <t>^Warhead_Bullet_Light, ^Warhead_Bullet_Medium</t>
        </is>
      </c>
    </row>
    <row r="109">
      <c r="A109" t="inlineStr">
        <is>
          <t>shared</t>
        </is>
      </c>
      <c r="B109" t="inlineStr">
        <is>
          <t>ra2_ptruck_driveby</t>
        </is>
      </c>
      <c r="C109" t="inlineStr">
        <is>
          <t>Drive By Car</t>
        </is>
      </c>
      <c r="D109" s="6" t="inlineStr">
        <is>
          <t>ScoutVehicle</t>
        </is>
      </c>
      <c r="E109" s="6" t="n">
        <v>25000</v>
      </c>
      <c r="F109" s="6" t="n">
        <v>100</v>
      </c>
      <c r="G109" t="inlineStr">
        <is>
          <t>Scout</t>
        </is>
      </c>
      <c r="H109" s="6" t="n">
        <v>1</v>
      </c>
      <c r="I109" s="6" t="n">
        <v>1</v>
      </c>
      <c r="J109" s="6" t="n">
        <v>1</v>
      </c>
      <c r="K109" s="6" t="n"/>
      <c r="P109">
        <f>MAX(P110)</f>
        <v/>
      </c>
      <c r="S109">
        <f>S110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1000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RA220mmrapid</t>
        </is>
      </c>
      <c r="C110" s="7" t="inlineStr">
        <is>
          <t>Armament</t>
        </is>
      </c>
      <c r="L110" s="6" t="n">
        <v>8000</v>
      </c>
      <c r="M110" s="6" t="n">
        <v>15</v>
      </c>
      <c r="N110" s="6" t="n">
        <v>1</v>
      </c>
      <c r="O110" s="6" t="n"/>
      <c r="P110" s="6" t="n">
        <v>5000</v>
      </c>
      <c r="Q110" s="6" t="n">
        <v>0.875</v>
      </c>
      <c r="R110">
        <f>M110+IF(N110&gt;1,N(O110)*(N110-1),0)</f>
        <v/>
      </c>
      <c r="S110">
        <f>IFERROR(L110*MAX(N110,1)/R110*IF(ISBLANK(K109),1,K109),0)</f>
        <v/>
      </c>
      <c r="AB110" s="7" t="inlineStr">
        <is>
          <t>^Warhead_Bullet_Light, ^Warhead_Bullet_Medium</t>
        </is>
      </c>
    </row>
    <row r="111">
      <c r="A111" t="inlineStr">
        <is>
          <t>shared</t>
        </is>
      </c>
      <c r="B111" t="inlineStr">
        <is>
          <t>ra2_stang_driveby</t>
        </is>
      </c>
      <c r="C111" t="inlineStr">
        <is>
          <t>Drive By Car</t>
        </is>
      </c>
      <c r="D111" s="6" t="inlineStr">
        <is>
          <t>ScoutVehicle</t>
        </is>
      </c>
      <c r="E111" s="6" t="n">
        <v>25000</v>
      </c>
      <c r="F111" s="6" t="n">
        <v>100</v>
      </c>
      <c r="G111" t="inlineStr">
        <is>
          <t>Scout</t>
        </is>
      </c>
      <c r="H111" s="6" t="n">
        <v>1</v>
      </c>
      <c r="I111" s="6" t="n">
        <v>1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1000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RA220mmrapid</t>
        </is>
      </c>
      <c r="C112" s="7" t="inlineStr">
        <is>
          <t>Armament</t>
        </is>
      </c>
      <c r="L112" s="6" t="n">
        <v>8000</v>
      </c>
      <c r="M112" s="6" t="n">
        <v>15</v>
      </c>
      <c r="N112" s="6" t="n">
        <v>1</v>
      </c>
      <c r="O112" s="6" t="n"/>
      <c r="P112" s="6" t="n">
        <v>5000</v>
      </c>
      <c r="Q112" s="6" t="n">
        <v>0.875</v>
      </c>
      <c r="R112">
        <f>M112+IF(N112&gt;1,N(O112)*(N112-1),0)</f>
        <v/>
      </c>
      <c r="S112">
        <f>IFERROR(L112*MAX(N112,1)/R112*IF(ISBLANK(K111),1,K111),0)</f>
        <v/>
      </c>
      <c r="AB112" s="7" t="inlineStr">
        <is>
          <t>^Warhead_Bullet_Light, ^Warhead_Bullet_Medium</t>
        </is>
      </c>
    </row>
    <row r="113">
      <c r="A113" t="inlineStr">
        <is>
          <t>shared</t>
        </is>
      </c>
      <c r="B113" t="inlineStr">
        <is>
          <t>ra2_suvb_driveby</t>
        </is>
      </c>
      <c r="C113" t="inlineStr">
        <is>
          <t>Drive By Car</t>
        </is>
      </c>
      <c r="D113" s="6" t="inlineStr">
        <is>
          <t>ScoutVehicle</t>
        </is>
      </c>
      <c r="E113" s="6" t="n">
        <v>25000</v>
      </c>
      <c r="F113" s="6" t="n">
        <v>100</v>
      </c>
      <c r="G113" t="inlineStr">
        <is>
          <t>Scout</t>
        </is>
      </c>
      <c r="H113" s="6" t="n">
        <v>1</v>
      </c>
      <c r="I113" s="6" t="n">
        <v>1</v>
      </c>
      <c r="J113" s="6" t="n">
        <v>1</v>
      </c>
      <c r="K113" s="6" t="n"/>
      <c r="P113">
        <f>MAX(P114)</f>
        <v/>
      </c>
      <c r="S113">
        <f>S114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1000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RA220mmrapid</t>
        </is>
      </c>
      <c r="C114" s="7" t="inlineStr">
        <is>
          <t>Armament</t>
        </is>
      </c>
      <c r="L114" s="6" t="n">
        <v>8000</v>
      </c>
      <c r="M114" s="6" t="n">
        <v>15</v>
      </c>
      <c r="N114" s="6" t="n">
        <v>1</v>
      </c>
      <c r="O114" s="6" t="n"/>
      <c r="P114" s="6" t="n">
        <v>5000</v>
      </c>
      <c r="Q114" s="6" t="n">
        <v>0.875</v>
      </c>
      <c r="R114">
        <f>M114+IF(N114&gt;1,N(O114)*(N114-1),0)</f>
        <v/>
      </c>
      <c r="S114">
        <f>IFERROR(L114*MAX(N114,1)/R114*IF(ISBLANK(K113),1,K113),0)</f>
        <v/>
      </c>
      <c r="AB114" s="7" t="inlineStr">
        <is>
          <t>^Warhead_Bullet_Light, ^Warhead_Bullet_Medium</t>
        </is>
      </c>
    </row>
    <row r="115">
      <c r="A115" t="inlineStr">
        <is>
          <t>shared</t>
        </is>
      </c>
      <c r="B115" t="inlineStr">
        <is>
          <t>ra2_suvw_driveby</t>
        </is>
      </c>
      <c r="C115" t="inlineStr">
        <is>
          <t>Drive By Car</t>
        </is>
      </c>
      <c r="D115" s="6" t="inlineStr">
        <is>
          <t>ScoutVehicle</t>
        </is>
      </c>
      <c r="E115" s="6" t="n">
        <v>25000</v>
      </c>
      <c r="F115" s="6" t="n">
        <v>100</v>
      </c>
      <c r="G115" t="inlineStr">
        <is>
          <t>Scout</t>
        </is>
      </c>
      <c r="H115" s="6" t="n">
        <v>1</v>
      </c>
      <c r="I115" s="6" t="n">
        <v>1</v>
      </c>
      <c r="J115" s="6" t="n">
        <v>1</v>
      </c>
      <c r="K115" s="6" t="n"/>
      <c r="P115">
        <f>MAX(P116)</f>
        <v/>
      </c>
      <c r="S115">
        <f>S116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(T115+U115+V115)/3</f>
        <v/>
      </c>
      <c r="X115" s="6" t="n">
        <v>1000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RA220mmrapid</t>
        </is>
      </c>
      <c r="C116" s="7" t="inlineStr">
        <is>
          <t>Armament</t>
        </is>
      </c>
      <c r="L116" s="6" t="n">
        <v>8000</v>
      </c>
      <c r="M116" s="6" t="n">
        <v>15</v>
      </c>
      <c r="N116" s="6" t="n">
        <v>1</v>
      </c>
      <c r="O116" s="6" t="n"/>
      <c r="P116" s="6" t="n">
        <v>5000</v>
      </c>
      <c r="Q116" s="6" t="n">
        <v>0.875</v>
      </c>
      <c r="R116">
        <f>M116+IF(N116&gt;1,N(O116)*(N116-1),0)</f>
        <v/>
      </c>
      <c r="S116">
        <f>IFERROR(L116*MAX(N116,1)/R116*IF(ISBLANK(K115),1,K115),0)</f>
        <v/>
      </c>
      <c r="AB116" s="7" t="inlineStr">
        <is>
          <t>^Warhead_Bullet_Light, ^Warhead_Bullet_Medium</t>
        </is>
      </c>
    </row>
    <row r="117">
      <c r="A117" t="inlineStr">
        <is>
          <t>shared</t>
        </is>
      </c>
      <c r="B117" t="inlineStr">
        <is>
          <t>ra2_taxi_driveby</t>
        </is>
      </c>
      <c r="C117" t="inlineStr">
        <is>
          <t>Drive By Car</t>
        </is>
      </c>
      <c r="D117" s="6" t="inlineStr">
        <is>
          <t>ScoutVehicle</t>
        </is>
      </c>
      <c r="E117" s="6" t="n">
        <v>25000</v>
      </c>
      <c r="F117" s="6" t="n">
        <v>100</v>
      </c>
      <c r="G117" t="inlineStr">
        <is>
          <t>Scout</t>
        </is>
      </c>
      <c r="H117" s="6" t="n">
        <v>1</v>
      </c>
      <c r="I117" s="6" t="n">
        <v>1</v>
      </c>
      <c r="J117" s="6" t="n">
        <v>1</v>
      </c>
      <c r="K117" s="6" t="n"/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1000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RA220mmrapid</t>
        </is>
      </c>
      <c r="C118" s="7" t="inlineStr">
        <is>
          <t>Armament</t>
        </is>
      </c>
      <c r="L118" s="6" t="n">
        <v>8000</v>
      </c>
      <c r="M118" s="6" t="n">
        <v>15</v>
      </c>
      <c r="N118" s="6" t="n">
        <v>1</v>
      </c>
      <c r="O118" s="6" t="n"/>
      <c r="P118" s="6" t="n">
        <v>5000</v>
      </c>
      <c r="Q118" s="6" t="n">
        <v>0.875</v>
      </c>
      <c r="R118">
        <f>M118+IF(N118&gt;1,N(O118)*(N118-1),0)</f>
        <v/>
      </c>
      <c r="S118">
        <f>IFERROR(L118*MAX(N118,1)/R118*IF(ISBLANK(K117),1,K117),0)</f>
        <v/>
      </c>
      <c r="AB118" s="7" t="inlineStr">
        <is>
          <t>^Warhead_Bullet_Light, ^Warhead_Bullet_Medium</t>
        </is>
      </c>
    </row>
    <row r="119">
      <c r="A119" t="inlineStr">
        <is>
          <t>shared</t>
        </is>
      </c>
      <c r="B119" t="inlineStr">
        <is>
          <t>ra2_tractor_driveby</t>
        </is>
      </c>
      <c r="C119" t="inlineStr">
        <is>
          <t>Drive By Car</t>
        </is>
      </c>
      <c r="D119" s="6" t="inlineStr">
        <is>
          <t>ScoutVehicle</t>
        </is>
      </c>
      <c r="E119" s="6" t="n">
        <v>25000</v>
      </c>
      <c r="F119" s="6" t="n">
        <v>100</v>
      </c>
      <c r="G119" t="inlineStr">
        <is>
          <t>Scout</t>
        </is>
      </c>
      <c r="H119" s="6" t="n">
        <v>1</v>
      </c>
      <c r="I119" s="6" t="n">
        <v>1</v>
      </c>
      <c r="J119" s="6" t="n">
        <v>1</v>
      </c>
      <c r="K119" s="6" t="n"/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1000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RA220mmrapid</t>
        </is>
      </c>
      <c r="C120" s="7" t="inlineStr">
        <is>
          <t>Armament</t>
        </is>
      </c>
      <c r="L120" s="6" t="n">
        <v>8000</v>
      </c>
      <c r="M120" s="6" t="n">
        <v>15</v>
      </c>
      <c r="N120" s="6" t="n">
        <v>1</v>
      </c>
      <c r="O120" s="6" t="n"/>
      <c r="P120" s="6" t="n">
        <v>5000</v>
      </c>
      <c r="Q120" s="6" t="n">
        <v>0.875</v>
      </c>
      <c r="R120">
        <f>M120+IF(N120&gt;1,N(O120)*(N120-1),0)</f>
        <v/>
      </c>
      <c r="S120">
        <f>IFERROR(L120*MAX(N120,1)/R120*IF(ISBLANK(K119),1,K119),0)</f>
        <v/>
      </c>
      <c r="AB120" s="7" t="inlineStr">
        <is>
          <t>^Warhead_Bullet_Light, ^Warhead_Bullet_Medium</t>
        </is>
      </c>
    </row>
    <row r="121">
      <c r="A121" t="inlineStr">
        <is>
          <t>shared</t>
        </is>
      </c>
      <c r="B121" t="inlineStr">
        <is>
          <t>ra2_trucka_driveby</t>
        </is>
      </c>
      <c r="C121" t="inlineStr">
        <is>
          <t>Drive By Car</t>
        </is>
      </c>
      <c r="D121" s="6" t="inlineStr">
        <is>
          <t>ScoutVehicle</t>
        </is>
      </c>
      <c r="E121" s="6" t="n">
        <v>25000</v>
      </c>
      <c r="F121" s="6" t="n">
        <v>100</v>
      </c>
      <c r="G121" t="inlineStr">
        <is>
          <t>Scout</t>
        </is>
      </c>
      <c r="H121" s="6" t="n">
        <v>1</v>
      </c>
      <c r="I121" s="6" t="n">
        <v>1</v>
      </c>
      <c r="J121" s="6" t="n">
        <v>1</v>
      </c>
      <c r="K121" s="6" t="n"/>
      <c r="P121">
        <f>MAX(P122)</f>
        <v/>
      </c>
      <c r="S121">
        <f>S122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1000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RA220mmrapid</t>
        </is>
      </c>
      <c r="C122" s="7" t="inlineStr">
        <is>
          <t>Armament</t>
        </is>
      </c>
      <c r="L122" s="6" t="n">
        <v>8000</v>
      </c>
      <c r="M122" s="6" t="n">
        <v>15</v>
      </c>
      <c r="N122" s="6" t="n">
        <v>1</v>
      </c>
      <c r="O122" s="6" t="n"/>
      <c r="P122" s="6" t="n">
        <v>5000</v>
      </c>
      <c r="Q122" s="6" t="n">
        <v>0.875</v>
      </c>
      <c r="R122">
        <f>M122+IF(N122&gt;1,N(O122)*(N122-1),0)</f>
        <v/>
      </c>
      <c r="S122">
        <f>IFERROR(L122*MAX(N122,1)/R122*IF(ISBLANK(K121),1,K121),0)</f>
        <v/>
      </c>
      <c r="AB122" s="7" t="inlineStr">
        <is>
          <t>^Warhead_Bullet_Light, ^Warhead_Bullet_Medium</t>
        </is>
      </c>
    </row>
    <row r="123">
      <c r="A123" t="inlineStr">
        <is>
          <t>shared</t>
        </is>
      </c>
      <c r="B123" t="inlineStr">
        <is>
          <t>ra2_truckb_driveby</t>
        </is>
      </c>
      <c r="C123" t="inlineStr">
        <is>
          <t>Drive By Car</t>
        </is>
      </c>
      <c r="D123" s="6" t="inlineStr">
        <is>
          <t>ScoutVehicle</t>
        </is>
      </c>
      <c r="E123" s="6" t="n">
        <v>25000</v>
      </c>
      <c r="F123" s="6" t="n">
        <v>100</v>
      </c>
      <c r="G123" t="inlineStr">
        <is>
          <t>Scout</t>
        </is>
      </c>
      <c r="H123" s="6" t="n">
        <v>1</v>
      </c>
      <c r="I123" s="6" t="n">
        <v>1</v>
      </c>
      <c r="J123" s="6" t="n">
        <v>1</v>
      </c>
      <c r="K123" s="6" t="n"/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1000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RA220mmrapid</t>
        </is>
      </c>
      <c r="C124" s="7" t="inlineStr">
        <is>
          <t>Armament</t>
        </is>
      </c>
      <c r="L124" s="6" t="n">
        <v>8000</v>
      </c>
      <c r="M124" s="6" t="n">
        <v>15</v>
      </c>
      <c r="N124" s="6" t="n">
        <v>1</v>
      </c>
      <c r="O124" s="6" t="n"/>
      <c r="P124" s="6" t="n">
        <v>5000</v>
      </c>
      <c r="Q124" s="6" t="n">
        <v>0.875</v>
      </c>
      <c r="R124">
        <f>M124+IF(N124&gt;1,N(O124)*(N124-1),0)</f>
        <v/>
      </c>
      <c r="S124">
        <f>IFERROR(L124*MAX(N124,1)/R124*IF(ISBLANK(K123),1,K123),0)</f>
        <v/>
      </c>
      <c r="AB124" s="7" t="inlineStr">
        <is>
          <t>^Warhead_Bullet_Light, ^Warhead_Bullet_Medium</t>
        </is>
      </c>
    </row>
    <row r="125">
      <c r="A125" t="inlineStr">
        <is>
          <t>shared</t>
        </is>
      </c>
      <c r="B125" t="inlineStr">
        <is>
          <t>ra2_ycab_driveby</t>
        </is>
      </c>
      <c r="C125" t="inlineStr">
        <is>
          <t>Drive By Car</t>
        </is>
      </c>
      <c r="D125" s="6" t="inlineStr">
        <is>
          <t>ScoutVehicle</t>
        </is>
      </c>
      <c r="E125" s="6" t="n">
        <v>25000</v>
      </c>
      <c r="F125" s="6" t="n">
        <v>100</v>
      </c>
      <c r="G125" t="inlineStr">
        <is>
          <t>Scout</t>
        </is>
      </c>
      <c r="H125" s="6" t="n">
        <v>1</v>
      </c>
      <c r="I125" s="6" t="n">
        <v>1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1000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RA220mmrapid</t>
        </is>
      </c>
      <c r="C126" s="7" t="inlineStr">
        <is>
          <t>Armament</t>
        </is>
      </c>
      <c r="L126" s="6" t="n">
        <v>8000</v>
      </c>
      <c r="M126" s="6" t="n">
        <v>15</v>
      </c>
      <c r="N126" s="6" t="n">
        <v>1</v>
      </c>
      <c r="O126" s="6" t="n"/>
      <c r="P126" s="6" t="n">
        <v>5000</v>
      </c>
      <c r="Q126" s="6" t="n">
        <v>0.875</v>
      </c>
      <c r="R126">
        <f>M126+IF(N126&gt;1,N(O126)*(N126-1),0)</f>
        <v/>
      </c>
      <c r="S126">
        <f>IFERROR(L126*MAX(N126,1)/R126*IF(ISBLANK(K125),1,K125),0)</f>
        <v/>
      </c>
      <c r="AB126" s="7" t="inlineStr">
        <is>
          <t>^Warhead_Bullet_Light, ^Warhead_Bullet_Medium</t>
        </is>
      </c>
    </row>
    <row r="127">
      <c r="A127" t="inlineStr">
        <is>
          <t>redalert2</t>
        </is>
      </c>
      <c r="B127" t="inlineStr">
        <is>
          <t>ra2_allies_ifv</t>
        </is>
      </c>
      <c r="C127" t="inlineStr">
        <is>
          <t>actor_fv.name</t>
        </is>
      </c>
      <c r="D127" s="6" t="inlineStr">
        <is>
          <t>ScoutVehicle</t>
        </is>
      </c>
      <c r="E127" s="6" t="n">
        <v>25000</v>
      </c>
      <c r="F127" s="6" t="n">
        <v>150</v>
      </c>
      <c r="G127" t="inlineStr">
        <is>
          <t>Scout</t>
        </is>
      </c>
      <c r="H127" s="6" t="n">
        <v>0.8639</v>
      </c>
      <c r="I127" s="6" t="n">
        <v>1</v>
      </c>
      <c r="J127" s="6" t="n">
        <v>1</v>
      </c>
      <c r="K127" s="6" t="n"/>
      <c r="P127">
        <f>MAX(P128,P129,P130,P131,P132,P133,P134,P135,P136,P137,P138,P139,P140,P141,P142,P143,P144,P145,P146,P150,P151,P152,P153,P154,P155,P156,P157,P158,P159,P160,P161,P162,P163,P164,P165,P166,P167,P168,P169)</f>
        <v/>
      </c>
      <c r="S127">
        <f>S128+S129+S130+S131+S132+S133+S134+S135+S136+S137+S138+S139+S140+S141+S142+S143+S144+S145+S146+S150+S151+S152+S153+S154+S155+S156+S157+S158+S159+S160+S161+S162+S163+S164+S165+S166+S167+S168+S169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(((E127/30000)+(F127/200)+(S127/450)+((P127/4500)*J127))*300/4+(((E127/30000)*(F127/200))+(((P127/4500)*J127)*(S127/450)))*300/2+((E127/30000)*(F127/200)*((P127/4500)*J127)*(S127/450))*300)*(H127/1.0)/3</f>
        <v/>
      </c>
      <c r="X127" s="6" t="n">
        <v>500</v>
      </c>
      <c r="Y127">
        <f>IFERROR(W127-X127,"")</f>
        <v/>
      </c>
      <c r="Z127">
        <f>IFERROR(ABS(Y127)/MAX(X127,1),"")</f>
        <v/>
      </c>
      <c r="AA127">
        <f>IFERROR(ROUND(((3*X127-(((E127/30000)+(F127/200)+(S127/450))*300/4+((E127/30000)*(F127/200))*300/2)*(H127/1.0))/(300/4+((S127/450))*300/2+((E127/30000)*(F127/200)*(S127/450))*300)*(H127/1.0)*4500)/J127,-1),"")</f>
        <v/>
      </c>
    </row>
    <row r="128">
      <c r="B128" s="7" t="inlineStr">
        <is>
          <t xml:space="preserve">  ↳ RA2CRM60</t>
        </is>
      </c>
      <c r="C128" s="7" t="inlineStr">
        <is>
          <t>Armament@mg</t>
        </is>
      </c>
      <c r="L128" s="6" t="n">
        <v>4000</v>
      </c>
      <c r="M128" s="6" t="n">
        <v>14</v>
      </c>
      <c r="N128" s="6" t="n">
        <v>4</v>
      </c>
      <c r="O128" s="6" t="n">
        <v>2</v>
      </c>
      <c r="P128" s="6" t="n">
        <v>5660</v>
      </c>
      <c r="Q128" s="6" t="n">
        <v>0.875</v>
      </c>
      <c r="R128">
        <f>M128+IF(N128&gt;1,N(O128)*(N128-1),0)</f>
        <v/>
      </c>
      <c r="S128">
        <f>IFERROR(L128*MAX(N128,1)/R128*IF(ISBLANK(K127),1,K127),0)</f>
        <v/>
      </c>
      <c r="AB128" s="7" t="inlineStr">
        <is>
          <t>^Warhead_Bullet_Light, ^Warhead_Bullet_Medium</t>
        </is>
      </c>
    </row>
    <row r="129">
      <c r="B129" s="7" t="inlineStr">
        <is>
          <t xml:space="preserve">  ↳ RA2CRM60H</t>
        </is>
      </c>
      <c r="C129" s="7" t="inlineStr">
        <is>
          <t>Armament@hmg</t>
        </is>
      </c>
      <c r="L129" s="6" t="n">
        <v>6000</v>
      </c>
      <c r="M129" s="6" t="n">
        <v>10</v>
      </c>
      <c r="N129" s="6" t="n">
        <v>6</v>
      </c>
      <c r="O129" s="6" t="n">
        <v>2</v>
      </c>
      <c r="P129" s="6" t="n">
        <v>4692</v>
      </c>
      <c r="Q129" s="6" t="n">
        <v>1.125</v>
      </c>
      <c r="R129">
        <f>M129+IF(N129&gt;1,N(O129)*(N129-1),0)</f>
        <v/>
      </c>
      <c r="S129">
        <f>IFERROR(L129*MAX(N129,1)/R129*IF(ISBLANK(K127),1,K127),0)</f>
        <v/>
      </c>
      <c r="AB129" s="7" t="inlineStr">
        <is>
          <t>^Warhead_CannonHE_Heavy, ^Warhead_Bullet_Medium</t>
        </is>
      </c>
    </row>
    <row r="130">
      <c r="B130" s="7" t="inlineStr">
        <is>
          <t xml:space="preserve">  ↳ wc_tower_fire</t>
        </is>
      </c>
      <c r="C130" s="7" t="inlineStr">
        <is>
          <t>Armament@archer</t>
        </is>
      </c>
      <c r="L130" s="6" t="n">
        <v>2500</v>
      </c>
      <c r="M130" s="6" t="n">
        <v>40</v>
      </c>
      <c r="N130" s="6" t="n">
        <v>1</v>
      </c>
      <c r="O130" s="6" t="n"/>
      <c r="P130" s="6" t="n">
        <v>8704</v>
      </c>
      <c r="Q130" s="6" t="n">
        <v>1</v>
      </c>
      <c r="R130">
        <f>M130+IF(N130&gt;1,N(O130)*(N130-1),0)</f>
        <v/>
      </c>
      <c r="S130">
        <f>IFERROR(L130*MAX(N130,1)/R130*IF(ISBLANK(K127),1,K127),0)</f>
        <v/>
      </c>
      <c r="AB130" s="7" t="inlineStr">
        <is>
          <t>bowFire</t>
        </is>
      </c>
    </row>
    <row r="131">
      <c r="B131" s="7" t="inlineStr">
        <is>
          <t xml:space="preserve">  ↳ RA2IFVRepair</t>
        </is>
      </c>
      <c r="C131" s="7" t="inlineStr">
        <is>
          <t>Armament@repair</t>
        </is>
      </c>
      <c r="L131" s="6" t="n">
        <v>-3000</v>
      </c>
      <c r="M131" s="6" t="n">
        <v>50</v>
      </c>
      <c r="N131" s="6" t="n">
        <v>10</v>
      </c>
      <c r="O131" s="6" t="n">
        <v>1</v>
      </c>
      <c r="P131" s="6" t="n">
        <v>5000</v>
      </c>
      <c r="Q131" s="6" t="n">
        <v>1</v>
      </c>
      <c r="R131">
        <f>M131+IF(N131&gt;1,N(O131)*(N131-1),0)</f>
        <v/>
      </c>
      <c r="S131">
        <f>IFERROR(L131*MAX(N131,1)/R131*IF(ISBLANK(K127),1,K127),0)</f>
        <v/>
      </c>
      <c r="AB131" s="7" t="inlineStr">
        <is>
          <t>^RepairWeapon</t>
        </is>
      </c>
    </row>
    <row r="132">
      <c r="B132" s="7" t="inlineStr">
        <is>
          <t xml:space="preserve">  ↳ LightSniper</t>
        </is>
      </c>
      <c r="C132" s="7" t="inlineStr">
        <is>
          <t>Armament@lightsniper</t>
        </is>
      </c>
      <c r="L132" s="6" t="n">
        <v>30000</v>
      </c>
      <c r="M132" s="6" t="n">
        <v>100</v>
      </c>
      <c r="N132" s="6" t="n">
        <v>1</v>
      </c>
      <c r="O132" s="6" t="n"/>
      <c r="P132" s="6" t="n">
        <v>9153</v>
      </c>
      <c r="Q132" s="6" t="n">
        <v>0.75</v>
      </c>
      <c r="R132">
        <f>M132+IF(N132&gt;1,N(O132)*(N132-1),0)</f>
        <v/>
      </c>
      <c r="S132">
        <f>IFERROR(L132*MAX(N132,1)/R132*IF(ISBLANK(K127),1,K127),0)</f>
        <v/>
      </c>
      <c r="AB132" s="7" t="inlineStr">
        <is>
          <t>^Warhead_Sniper_Light</t>
        </is>
      </c>
    </row>
    <row r="133">
      <c r="B133" s="7" t="inlineStr">
        <is>
          <t xml:space="preserve">  ↳ RA2DoublePistolsIFV</t>
        </is>
      </c>
      <c r="C133" s="7" t="inlineStr">
        <is>
          <t>Armament@hero</t>
        </is>
      </c>
      <c r="L133" s="6" t="n">
        <v>14000</v>
      </c>
      <c r="M133" s="6" t="n">
        <v>12</v>
      </c>
      <c r="N133" s="6" t="n">
        <v>2</v>
      </c>
      <c r="O133" s="6" t="n">
        <v>3</v>
      </c>
      <c r="P133" s="6" t="n">
        <v>8000</v>
      </c>
      <c r="Q133" s="6" t="n">
        <v>0.75</v>
      </c>
      <c r="R133">
        <f>M133+IF(N133&gt;1,N(O133)*(N133-1),0)</f>
        <v/>
      </c>
      <c r="S133">
        <f>IFERROR(L133*MAX(N133,1)/R133*IF(ISBLANK(K127),1,K127),0)</f>
        <v/>
      </c>
      <c r="AB133" s="7" t="inlineStr">
        <is>
          <t>^Warhead_Sniper_Light</t>
        </is>
      </c>
    </row>
    <row r="134">
      <c r="B134" s="7" t="inlineStr">
        <is>
          <t xml:space="preserve">  ↳ TTankZap</t>
        </is>
      </c>
      <c r="C134" s="7" t="inlineStr">
        <is>
          <t>Armament@tesla</t>
        </is>
      </c>
      <c r="L134" s="6" t="n">
        <v>40000</v>
      </c>
      <c r="M134" s="6" t="n">
        <v>80</v>
      </c>
      <c r="N134" s="6" t="n">
        <v>1</v>
      </c>
      <c r="O134" s="6" t="n"/>
      <c r="P134" s="6" t="n">
        <v>7300</v>
      </c>
      <c r="Q134" s="6" t="n">
        <v>1.25</v>
      </c>
      <c r="R134">
        <f>M134+IF(N134&gt;1,N(O134)*(N134-1),0)</f>
        <v/>
      </c>
      <c r="S134">
        <f>IFERROR(L134*MAX(N134,1)/R134*IF(ISBLANK(K127),1,K127),0)</f>
        <v/>
      </c>
      <c r="AB134" s="7" t="inlineStr">
        <is>
          <t>^Warhead_Tesla_Heavy</t>
        </is>
      </c>
    </row>
    <row r="135">
      <c r="B135" s="7" t="inlineStr">
        <is>
          <t xml:space="preserve">  ↳ DragunovSniper</t>
        </is>
      </c>
      <c r="C135" s="7" t="inlineStr">
        <is>
          <t>Armament@flak</t>
        </is>
      </c>
      <c r="L135" s="6" t="n">
        <v>400000</v>
      </c>
      <c r="M135" s="6" t="n">
        <v>85</v>
      </c>
      <c r="N135" s="6" t="n">
        <v>1</v>
      </c>
      <c r="O135" s="6" t="n"/>
      <c r="P135" s="6" t="n">
        <v>5804</v>
      </c>
      <c r="Q135" s="6" t="n">
        <v>1</v>
      </c>
      <c r="R135">
        <f>M135+IF(N135&gt;1,N(O135)*(N135-1),0)</f>
        <v/>
      </c>
      <c r="S135">
        <f>IFERROR(L135*MAX(N135,1)/R135*IF(ISBLANK(K127),1,K127),0)</f>
        <v/>
      </c>
      <c r="AB135" s="7" t="inlineStr">
        <is>
          <t>^TankDestroyerCannon, ^RailgunWeapon, ^LightMissile, ^HeavyCannon, ^FlakWeapon</t>
        </is>
      </c>
    </row>
    <row r="136">
      <c r="B136" s="7" t="inlineStr">
        <is>
          <t xml:space="preserve">  ↳ RA2MirageGun</t>
        </is>
      </c>
      <c r="C136" s="7" t="inlineStr">
        <is>
          <t>Armament@cannon</t>
        </is>
      </c>
      <c r="L136" s="6" t="n">
        <v>24000</v>
      </c>
      <c r="M136" s="6" t="n">
        <v>39</v>
      </c>
      <c r="N136" s="6" t="n">
        <v>1</v>
      </c>
      <c r="O136" s="6" t="n"/>
      <c r="P136" s="6" t="n">
        <v>6031</v>
      </c>
      <c r="Q136" s="6" t="n">
        <v>0.75</v>
      </c>
      <c r="R136">
        <f>M136+IF(N136&gt;1,N(O136)*(N136-1),0)</f>
        <v/>
      </c>
      <c r="S136">
        <f>IFERROR(L136*MAX(N136,1)/R136*IF(ISBLANK(K127),1,K127),0)</f>
        <v/>
      </c>
      <c r="AB136" s="7" t="inlineStr">
        <is>
          <t>^Warhead_CannonAP_Light</t>
        </is>
      </c>
    </row>
    <row r="137">
      <c r="B137" s="7" t="inlineStr">
        <is>
          <t xml:space="preserve">  ↳ Grenade</t>
        </is>
      </c>
      <c r="C137" s="7" t="inlineStr">
        <is>
          <t>Armament@grenade</t>
        </is>
      </c>
      <c r="L137" s="6" t="n">
        <v>16000</v>
      </c>
      <c r="M137" s="6" t="n">
        <v>42</v>
      </c>
      <c r="N137" s="6" t="n">
        <v>1</v>
      </c>
      <c r="O137" s="6" t="n"/>
      <c r="P137" s="6" t="n">
        <v>6097</v>
      </c>
      <c r="Q137" s="6" t="n">
        <v>0.75</v>
      </c>
      <c r="R137">
        <f>M137+IF(N137&gt;1,N(O137)*(N137-1),0)</f>
        <v/>
      </c>
      <c r="S137">
        <f>IFERROR(L137*MAX(N137,1)/R137*IF(ISBLANK(K127),1,K127),0)</f>
        <v/>
      </c>
      <c r="AB137" s="7" t="inlineStr">
        <is>
          <t>^Warhead_Demolition_Light</t>
        </is>
      </c>
    </row>
    <row r="138">
      <c r="B138" s="7" t="inlineStr">
        <is>
          <t xml:space="preserve">  ↳ DRPlasmaTankWeapon</t>
        </is>
      </c>
      <c r="C138" s="7" t="inlineStr">
        <is>
          <t>Armament@plasma</t>
        </is>
      </c>
      <c r="L138" s="6" t="n">
        <v>6250</v>
      </c>
      <c r="M138" s="6" t="n">
        <v>21</v>
      </c>
      <c r="N138" s="6" t="n">
        <v>1</v>
      </c>
      <c r="O138" s="6" t="n"/>
      <c r="P138" s="6" t="n">
        <v>5120</v>
      </c>
      <c r="Q138" s="6" t="n">
        <v>1</v>
      </c>
      <c r="R138">
        <f>M138+IF(N138&gt;1,N(O138)*(N138-1),0)</f>
        <v/>
      </c>
      <c r="S138">
        <f>IFERROR(L138*MAX(N138,1)/R138*IF(ISBLANK(K127),1,K127),0)</f>
        <v/>
      </c>
      <c r="AB138" s="7" t="inlineStr">
        <is>
          <t>^DRPlasmaWeapon</t>
        </is>
      </c>
    </row>
    <row r="139">
      <c r="B139" s="7" t="inlineStr">
        <is>
          <t xml:space="preserve">  ↳ SWLaserG</t>
        </is>
      </c>
      <c r="C139" s="7" t="inlineStr">
        <is>
          <t>Armament@litlaser</t>
        </is>
      </c>
      <c r="L139" s="6" t="n">
        <v>2000</v>
      </c>
      <c r="M139" s="6" t="n">
        <v>30</v>
      </c>
      <c r="N139" s="6" t="n">
        <v>6</v>
      </c>
      <c r="O139" s="6" t="n"/>
      <c r="P139" s="6" t="n">
        <v>6144</v>
      </c>
      <c r="Q139" s="6" t="n">
        <v>1</v>
      </c>
      <c r="R139">
        <f>M139+IF(N139&gt;1,N(O139)*(N139-1),0)</f>
        <v/>
      </c>
      <c r="S139">
        <f>IFERROR(L139*MAX(N139,1)/R139*IF(ISBLANK(K127),1,K127),0)</f>
        <v/>
      </c>
      <c r="AB139" s="7" t="inlineStr">
        <is>
          <t>SWLaser</t>
        </is>
      </c>
    </row>
    <row r="140">
      <c r="B140" s="7" t="inlineStr">
        <is>
          <t xml:space="preserve">  ↳ USALaserCannonAG</t>
        </is>
      </c>
      <c r="C140" s="7" t="inlineStr">
        <is>
          <t>Armament@medlaser</t>
        </is>
      </c>
      <c r="L140" s="6" t="n">
        <v>4000</v>
      </c>
      <c r="M140" s="6" t="n">
        <v>50</v>
      </c>
      <c r="N140" s="6" t="n">
        <v>3</v>
      </c>
      <c r="O140" s="6" t="n">
        <v>6</v>
      </c>
      <c r="P140" s="6" t="n">
        <v>7168</v>
      </c>
      <c r="Q140" s="6" t="n">
        <v>1</v>
      </c>
      <c r="R140">
        <f>M140+IF(N140&gt;1,N(O140)*(N140-1),0)</f>
        <v/>
      </c>
      <c r="S140">
        <f>IFERROR(L140*MAX(N140,1)/R140*IF(ISBLANK(K127),1,K127),0)</f>
        <v/>
      </c>
      <c r="AB140" s="7" t="inlineStr">
        <is>
          <t>^AntiGroundMissile</t>
        </is>
      </c>
    </row>
    <row r="141">
      <c r="B141" s="7" t="inlineStr">
        <is>
          <t xml:space="preserve">  ↳ SWGreenLaserG</t>
        </is>
      </c>
      <c r="C141" s="7" t="inlineStr">
        <is>
          <t>Armament@greenlaser</t>
        </is>
      </c>
      <c r="L141" s="6" t="n">
        <v>5000</v>
      </c>
      <c r="M141" s="6" t="n">
        <v>75</v>
      </c>
      <c r="N141" s="6" t="n">
        <v>1</v>
      </c>
      <c r="O141" s="6" t="n"/>
      <c r="P141" s="6" t="n">
        <v>7168</v>
      </c>
      <c r="Q141" s="6" t="n">
        <v>1</v>
      </c>
      <c r="R141">
        <f>M141+IF(N141&gt;1,N(O141)*(N141-1),0)</f>
        <v/>
      </c>
      <c r="S141">
        <f>IFERROR(L141*MAX(N141,1)/R141*IF(ISBLANK(K127),1,K127),0)</f>
        <v/>
      </c>
      <c r="AB141" s="7" t="inlineStr">
        <is>
          <t>SWGreenLaser</t>
        </is>
      </c>
    </row>
    <row r="142">
      <c r="B142" s="7" t="inlineStr">
        <is>
          <t xml:space="preserve">  ↳ SWGBigRedLaserG</t>
        </is>
      </c>
      <c r="C142" s="7" t="inlineStr">
        <is>
          <t>Armament@misslaser</t>
        </is>
      </c>
      <c r="L142" s="6" t="n">
        <v>4000</v>
      </c>
      <c r="M142" s="6" t="n">
        <v>75</v>
      </c>
      <c r="N142" s="6" t="n">
        <v>1</v>
      </c>
      <c r="O142" s="6" t="n"/>
      <c r="P142" s="6" t="n">
        <v>8192</v>
      </c>
      <c r="Q142" s="6" t="n">
        <v>1</v>
      </c>
      <c r="R142">
        <f>M142+IF(N142&gt;1,N(O142)*(N142-1),0)</f>
        <v/>
      </c>
      <c r="S142">
        <f>IFERROR(L142*MAX(N142,1)/R142*IF(ISBLANK(K127),1,K127),0)</f>
        <v/>
      </c>
      <c r="AB142" s="7" t="inlineStr">
        <is>
          <t>SWrBigRedLaser</t>
        </is>
      </c>
    </row>
    <row r="143">
      <c r="B143" s="7" t="inlineStr">
        <is>
          <t xml:space="preserve">  ↳ BigFlamer</t>
        </is>
      </c>
      <c r="C143" s="7" t="inlineStr">
        <is>
          <t>Armament@fire</t>
        </is>
      </c>
      <c r="L143" s="6" t="n">
        <v>14000</v>
      </c>
      <c r="M143" s="6" t="n">
        <v>50</v>
      </c>
      <c r="N143" s="6" t="n">
        <v>2</v>
      </c>
      <c r="O143" s="6" t="n">
        <v>10</v>
      </c>
      <c r="P143" s="6" t="n">
        <v>2390</v>
      </c>
      <c r="Q143" s="6" t="n">
        <v>1</v>
      </c>
      <c r="R143">
        <f>M143+IF(N143&gt;1,N(O143)*(N143-1),0)</f>
        <v/>
      </c>
      <c r="S143">
        <f>IFERROR(L143*MAX(N143,1)/R143*IF(ISBLANK(K127),1,K127),0)</f>
        <v/>
      </c>
      <c r="AB143" s="7" t="inlineStr">
        <is>
          <t>^Warhead_Flame_Medium</t>
        </is>
      </c>
    </row>
    <row r="144">
      <c r="B144" s="7" t="inlineStr">
        <is>
          <t xml:space="preserve">  ↳ RA2RadBeamWeapon</t>
        </is>
      </c>
      <c r="C144" s="7" t="inlineStr">
        <is>
          <t>Armament@chem</t>
        </is>
      </c>
      <c r="L144" s="6" t="n">
        <v>30000</v>
      </c>
      <c r="M144" s="6" t="n">
        <v>45</v>
      </c>
      <c r="N144" s="6" t="n">
        <v>1</v>
      </c>
      <c r="O144" s="6" t="n"/>
      <c r="P144" s="6" t="n">
        <v>6444</v>
      </c>
      <c r="Q144" s="6" t="n">
        <v>1</v>
      </c>
      <c r="R144">
        <f>M144+IF(N144&gt;1,N(O144)*(N144-1),0)</f>
        <v/>
      </c>
      <c r="S144">
        <f>IFERROR(L144*MAX(N144,1)/R144*IF(ISBLANK(K127),1,K127),0)</f>
        <v/>
      </c>
      <c r="AB144" s="7" t="inlineStr">
        <is>
          <t>^Warhead_Chemical_Medium</t>
        </is>
      </c>
    </row>
    <row r="145">
      <c r="B145" s="7" t="inlineStr">
        <is>
          <t xml:space="preserve">  ↳ RA2RadBeamWeapon</t>
        </is>
      </c>
      <c r="C145" s="7" t="inlineStr">
        <is>
          <t>Armament@thrax</t>
        </is>
      </c>
      <c r="L145" s="6" t="n">
        <v>30000</v>
      </c>
      <c r="M145" s="6" t="n">
        <v>45</v>
      </c>
      <c r="N145" s="6" t="n">
        <v>1</v>
      </c>
      <c r="O145" s="6" t="n"/>
      <c r="P145" s="6" t="n">
        <v>6444</v>
      </c>
      <c r="Q145" s="6" t="n">
        <v>1</v>
      </c>
      <c r="R145">
        <f>M145+IF(N145&gt;1,N(O145)*(N145-1),0)</f>
        <v/>
      </c>
      <c r="S145">
        <f>IFERROR(L145*MAX(N145,1)/R145*IF(ISBLANK(K127),1,K127),0)</f>
        <v/>
      </c>
      <c r="AB145" s="7" t="inlineStr">
        <is>
          <t>^Warhead_Chemical_Medium</t>
        </is>
      </c>
    </row>
    <row r="146">
      <c r="B146" s="7" t="inlineStr">
        <is>
          <t xml:space="preserve">  ↳ RA2MultiHoverMissile</t>
        </is>
      </c>
      <c r="C146" s="7" t="inlineStr">
        <is>
          <t>Armament@missile</t>
        </is>
      </c>
      <c r="L146" s="6" t="n">
        <v>4000</v>
      </c>
      <c r="M146" s="6" t="n">
        <v>20</v>
      </c>
      <c r="N146" s="6" t="n">
        <v>4</v>
      </c>
      <c r="O146" s="6" t="n"/>
      <c r="P146" s="6" t="n">
        <v>6170</v>
      </c>
      <c r="Q146" s="6" t="n">
        <v>0.875</v>
      </c>
      <c r="R146">
        <f>M146+IF(N146&gt;1,N(O146)*(N146-1),0)</f>
        <v/>
      </c>
      <c r="S146">
        <f>IFERROR(L146*MAX(N146,1)/R146*IF(ISBLANK(K127),1,K127),0)</f>
        <v/>
      </c>
      <c r="AB146" s="7" t="inlineStr">
        <is>
          <t>^Warhead_CannonHE_Medium, ^Warhead_MissileHE_Light</t>
        </is>
      </c>
    </row>
    <row r="147">
      <c r="B147" s="7" t="inlineStr">
        <is>
          <t xml:space="preserve">  ↳ IFVChronoBeam</t>
        </is>
      </c>
      <c r="C147" s="7" t="inlineStr">
        <is>
          <t>Armament@chrono</t>
        </is>
      </c>
      <c r="L147" s="6" t="n"/>
      <c r="M147" s="6" t="n">
        <v>1</v>
      </c>
      <c r="N147" s="6" t="n">
        <v>1</v>
      </c>
      <c r="O147" s="6" t="n"/>
      <c r="P147" s="6" t="n">
        <v>7500</v>
      </c>
      <c r="Q147" s="6" t="n">
        <v>1</v>
      </c>
      <c r="R147">
        <f>M147+IF(N147&gt;1,N(O147)*(N147-1),0)</f>
        <v/>
      </c>
      <c r="S147">
        <f>IFERROR(L147*MAX(N147,1)/R147*IF(ISBLANK(K127),1,K127),0)</f>
        <v/>
      </c>
      <c r="AB147" s="7" t="inlineStr">
        <is>
          <t>ChronoBeam</t>
        </is>
      </c>
    </row>
    <row r="148">
      <c r="B148" s="7" t="inlineStr">
        <is>
          <t xml:space="preserve">  ↳ IFVChronoSound</t>
        </is>
      </c>
      <c r="C148" s="7" t="inlineStr">
        <is>
          <t>Armament@chronosound</t>
        </is>
      </c>
      <c r="L148" s="6" t="n"/>
      <c r="M148" s="6" t="n">
        <v>180</v>
      </c>
      <c r="N148" s="6" t="n">
        <v>1</v>
      </c>
      <c r="O148" s="6" t="n"/>
      <c r="P148" s="6" t="n">
        <v>8000</v>
      </c>
      <c r="Q148" s="6" t="n">
        <v>1</v>
      </c>
      <c r="R148">
        <f>M148+IF(N148&gt;1,N(O148)*(N148-1),0)</f>
        <v/>
      </c>
      <c r="S148">
        <f>IFERROR(L148*MAX(N148,1)/R148*IF(ISBLANK(K127),1,K127),0)</f>
        <v/>
      </c>
      <c r="AB148" s="7" t="inlineStr">
        <is>
          <t>RA2ChronoTele</t>
        </is>
      </c>
    </row>
    <row r="149">
      <c r="B149" s="7" t="inlineStr">
        <is>
          <t xml:space="preserve">  ↳ DemoTruckTargeting</t>
        </is>
      </c>
      <c r="C149" s="7" t="inlineStr">
        <is>
          <t>Armament@ivan</t>
        </is>
      </c>
      <c r="L149" s="6" t="n"/>
      <c r="M149" s="6" t="n"/>
      <c r="N149" s="6" t="n">
        <v>1</v>
      </c>
      <c r="O149" s="6" t="n"/>
      <c r="P149" s="6" t="n">
        <v>2000</v>
      </c>
      <c r="Q149" s="6" t="n">
        <v>1</v>
      </c>
      <c r="R149">
        <f>M149+IF(N149&gt;1,N(O149)*(N149-1),0)</f>
        <v/>
      </c>
      <c r="S149">
        <f>IFERROR(L149*MAX(N149,1)/R149*IF(ISBLANK(K127),1,K127),0)</f>
        <v/>
      </c>
      <c r="AB149" s="7" t="inlineStr"/>
    </row>
    <row r="150">
      <c r="B150" s="7" t="inlineStr">
        <is>
          <t xml:space="preserve">  ↳ Fremen_L</t>
        </is>
      </c>
      <c r="C150" s="7" t="inlineStr">
        <is>
          <t>Armament@fremen</t>
        </is>
      </c>
      <c r="L150" s="6" t="n">
        <v>3000</v>
      </c>
      <c r="M150" s="6" t="n">
        <v>25</v>
      </c>
      <c r="N150" s="6" t="n">
        <v>1</v>
      </c>
      <c r="O150" s="6" t="n"/>
      <c r="P150" s="6" t="n">
        <v>2560</v>
      </c>
      <c r="Q150" s="6" t="n">
        <v>1</v>
      </c>
      <c r="R150">
        <f>M150+IF(N150&gt;1,N(O150)*(N150-1),0)</f>
        <v/>
      </c>
      <c r="S150">
        <f>IFERROR(L150*MAX(N150,1)/R150*IF(ISBLANK(K127),1,K127),0)</f>
        <v/>
      </c>
      <c r="AB150" s="7" t="inlineStr">
        <is>
          <t>M_HMG</t>
        </is>
      </c>
    </row>
    <row r="151">
      <c r="B151" s="7" t="inlineStr">
        <is>
          <t xml:space="preserve">  ↳ TSSonicZap</t>
        </is>
      </c>
      <c r="C151" s="7" t="inlineStr">
        <is>
          <t>Armament@sonic</t>
        </is>
      </c>
      <c r="L151" s="6" t="n">
        <v>5000</v>
      </c>
      <c r="M151" s="6" t="n">
        <v>60</v>
      </c>
      <c r="N151" s="6" t="n">
        <v>1</v>
      </c>
      <c r="O151" s="6" t="n"/>
      <c r="P151" s="6" t="n">
        <v>6144</v>
      </c>
      <c r="Q151" s="6" t="n">
        <v>1</v>
      </c>
      <c r="R151">
        <f>M151+IF(N151&gt;1,N(O151)*(N151-1),0)</f>
        <v/>
      </c>
      <c r="S151">
        <f>IFERROR(L151*MAX(N151,1)/R151*IF(ISBLANK(K127),1,K127),0)</f>
        <v/>
      </c>
      <c r="AB151" s="7" t="inlineStr"/>
    </row>
    <row r="152">
      <c r="B152" s="7" t="inlineStr">
        <is>
          <t xml:space="preserve">  ↳ MedicHeal</t>
        </is>
      </c>
      <c r="C152" s="7" t="inlineStr">
        <is>
          <t>Armament@heal</t>
        </is>
      </c>
      <c r="L152" s="6" t="n">
        <v>-3000</v>
      </c>
      <c r="M152" s="6" t="n">
        <v>10</v>
      </c>
      <c r="N152" s="6" t="n">
        <v>1</v>
      </c>
      <c r="O152" s="6" t="n"/>
      <c r="P152" s="6" t="n">
        <v>6000</v>
      </c>
      <c r="Q152" s="6" t="n">
        <v>1</v>
      </c>
      <c r="R152">
        <f>M152+IF(N152&gt;1,N(O152)*(N152-1),0)</f>
        <v/>
      </c>
      <c r="S152">
        <f>IFERROR(L152*MAX(N152,1)/R152*IF(ISBLANK(K127),1,K127),0)</f>
        <v/>
      </c>
      <c r="AB152" s="7" t="inlineStr">
        <is>
          <t>^HealingWeapon</t>
        </is>
      </c>
    </row>
    <row r="153">
      <c r="B153" s="7" t="inlineStr">
        <is>
          <t xml:space="preserve">  ↳ RA2HoverMissile</t>
        </is>
      </c>
      <c r="C153" s="7" t="inlineStr">
        <is>
          <t>Armament@primary</t>
        </is>
      </c>
      <c r="L153" s="6" t="n">
        <v>12000</v>
      </c>
      <c r="M153" s="6" t="n">
        <v>28</v>
      </c>
      <c r="N153" s="6" t="n">
        <v>2</v>
      </c>
      <c r="O153" s="6" t="n">
        <v>4</v>
      </c>
      <c r="P153" s="6" t="n">
        <v>5760</v>
      </c>
      <c r="Q153" s="6" t="n">
        <v>0.75</v>
      </c>
      <c r="R153">
        <f>M153+IF(N153&gt;1,N(O153)*(N153-1),0)</f>
        <v/>
      </c>
      <c r="S153">
        <f>IFERROR(L153*MAX(N153,1)/R153*IF(ISBLANK(K127),1,K127),0)</f>
        <v/>
      </c>
      <c r="AB153" s="7" t="inlineStr">
        <is>
          <t>^Warhead_Arrow_Light, ^Warhead_MissileAP_Light</t>
        </is>
      </c>
    </row>
    <row r="154">
      <c r="B154" s="7" t="inlineStr">
        <is>
          <t xml:space="preserve">  ↳ RA2HoverMissile_elite</t>
        </is>
      </c>
      <c r="C154" s="7" t="inlineStr">
        <is>
          <t>Armament@primaryelite</t>
        </is>
      </c>
      <c r="L154" s="6" t="n">
        <v>12000</v>
      </c>
      <c r="M154" s="6" t="n">
        <v>28</v>
      </c>
      <c r="N154" s="6" t="n">
        <v>4</v>
      </c>
      <c r="O154" s="6" t="n">
        <v>4</v>
      </c>
      <c r="P154" s="6" t="n">
        <v>6760</v>
      </c>
      <c r="Q154" s="6" t="n">
        <v>0.75</v>
      </c>
      <c r="R154">
        <f>M154+IF(N154&gt;1,N(O154)*(N154-1),0)</f>
        <v/>
      </c>
      <c r="S154">
        <f>IFERROR(L154*MAX(N154,1)/R154*IF(ISBLANK(K127),1,K127),0)</f>
        <v/>
      </c>
      <c r="AB154" s="7" t="inlineStr">
        <is>
          <t>^Warhead_Arrow_Light, ^Warhead_MissileAP_Light</t>
        </is>
      </c>
    </row>
    <row r="155">
      <c r="B155" s="7" t="inlineStr">
        <is>
          <t xml:space="preserve">  ↳ RA2HoverMissile_AA</t>
        </is>
      </c>
      <c r="C155" s="7" t="inlineStr">
        <is>
          <t>Armament@primaryAA</t>
        </is>
      </c>
      <c r="L155" s="6" t="n">
        <v>12000</v>
      </c>
      <c r="M155" s="6" t="n">
        <v>28</v>
      </c>
      <c r="N155" s="6" t="n">
        <v>2</v>
      </c>
      <c r="O155" s="6" t="n">
        <v>4</v>
      </c>
      <c r="P155" s="6" t="n">
        <v>8640</v>
      </c>
      <c r="Q155" s="6" t="n">
        <v>0.75</v>
      </c>
      <c r="R155">
        <f>M155+IF(N155&gt;1,N(O155)*(N155-1),0)</f>
        <v/>
      </c>
      <c r="S155">
        <f>IFERROR(L155*MAX(N155,1)/R155*IF(ISBLANK(K127),1,K127),0)</f>
        <v/>
      </c>
      <c r="AB155" s="7" t="inlineStr">
        <is>
          <t>^Warhead_Arrow_Light, ^Warhead_MissileAP_Light</t>
        </is>
      </c>
    </row>
    <row r="156">
      <c r="B156" s="7" t="inlineStr">
        <is>
          <t xml:space="preserve">  ↳ RA2HoverMissile_AA_elite</t>
        </is>
      </c>
      <c r="C156" s="7" t="inlineStr">
        <is>
          <t>Armament@primaryeliteAA</t>
        </is>
      </c>
      <c r="L156" s="6" t="n">
        <v>12000</v>
      </c>
      <c r="M156" s="6" t="n">
        <v>28</v>
      </c>
      <c r="N156" s="6" t="n">
        <v>4</v>
      </c>
      <c r="O156" s="6" t="n">
        <v>4</v>
      </c>
      <c r="P156" s="6" t="n">
        <v>9640</v>
      </c>
      <c r="Q156" s="6" t="n">
        <v>0.75</v>
      </c>
      <c r="R156">
        <f>M156+IF(N156&gt;1,N(O156)*(N156-1),0)</f>
        <v/>
      </c>
      <c r="S156">
        <f>IFERROR(L156*MAX(N156,1)/R156*IF(ISBLANK(K127),1,K127),0)</f>
        <v/>
      </c>
      <c r="AB156" s="7" t="inlineStr">
        <is>
          <t>^Warhead_Arrow_Light, ^Warhead_MissileAP_Light</t>
        </is>
      </c>
    </row>
    <row r="157">
      <c r="B157" s="7" t="inlineStr">
        <is>
          <t xml:space="preserve">  ↳ RA2ThunderboltMissile</t>
        </is>
      </c>
      <c r="C157" s="7" t="inlineStr">
        <is>
          <t>Armament@primaryThunderbolt</t>
        </is>
      </c>
      <c r="L157" s="6" t="n">
        <v>4000</v>
      </c>
      <c r="M157" s="6" t="n">
        <v>25</v>
      </c>
      <c r="N157" s="6" t="n">
        <v>1</v>
      </c>
      <c r="O157" s="6" t="n"/>
      <c r="P157" s="6" t="n">
        <v>5120</v>
      </c>
      <c r="Q157" s="6" t="n">
        <v>1</v>
      </c>
      <c r="R157">
        <f>M157+IF(N157&gt;1,N(O157)*(N157-1),0)</f>
        <v/>
      </c>
      <c r="S157">
        <f>IFERROR(L157*MAX(N157,1)/R157*IF(ISBLANK(K127),1,K127),0)</f>
        <v/>
      </c>
      <c r="AB157" s="7" t="inlineStr">
        <is>
          <t>^Warhead_MissileHE_Heavy, ^Warhead_MissileHE_Light</t>
        </is>
      </c>
    </row>
    <row r="158">
      <c r="B158" s="7" t="inlineStr">
        <is>
          <t xml:space="preserve">  ↳ RA2ThunderboltMissile_elite</t>
        </is>
      </c>
      <c r="C158" s="7" t="inlineStr">
        <is>
          <t>Armament@primaryeliteThunderbolt</t>
        </is>
      </c>
      <c r="L158" s="6" t="n">
        <v>4000</v>
      </c>
      <c r="M158" s="6" t="n">
        <v>25</v>
      </c>
      <c r="N158" s="6" t="n">
        <v>4</v>
      </c>
      <c r="O158" s="6" t="n"/>
      <c r="P158" s="6" t="n">
        <v>6760</v>
      </c>
      <c r="Q158" s="6" t="n">
        <v>1</v>
      </c>
      <c r="R158">
        <f>M158+IF(N158&gt;1,N(O158)*(N158-1),0)</f>
        <v/>
      </c>
      <c r="S158">
        <f>IFERROR(L158*MAX(N158,1)/R158*IF(ISBLANK(K127),1,K127),0)</f>
        <v/>
      </c>
      <c r="AB158" s="7" t="inlineStr">
        <is>
          <t>^Warhead_MissileHE_Heavy, ^Warhead_MissileHE_Light</t>
        </is>
      </c>
    </row>
    <row r="159">
      <c r="B159" s="7" t="inlineStr">
        <is>
          <t xml:space="preserve">  ↳ RA2ThunderboltMissile_AA</t>
        </is>
      </c>
      <c r="C159" s="7" t="inlineStr">
        <is>
          <t>Armament@primaryAAThunderbolt</t>
        </is>
      </c>
      <c r="L159" s="6" t="n">
        <v>4000</v>
      </c>
      <c r="M159" s="6" t="n">
        <v>25</v>
      </c>
      <c r="N159" s="6" t="n">
        <v>1</v>
      </c>
      <c r="O159" s="6" t="n"/>
      <c r="P159" s="6" t="n">
        <v>8640</v>
      </c>
      <c r="Q159" s="6" t="n">
        <v>1</v>
      </c>
      <c r="R159">
        <f>M159+IF(N159&gt;1,N(O159)*(N159-1),0)</f>
        <v/>
      </c>
      <c r="S159">
        <f>IFERROR(L159*MAX(N159,1)/R159*IF(ISBLANK(K127),1,K127),0)</f>
        <v/>
      </c>
      <c r="AB159" s="7" t="inlineStr">
        <is>
          <t>^Warhead_MissileHE_Heavy, ^Warhead_MissileHE_Light</t>
        </is>
      </c>
    </row>
    <row r="160">
      <c r="B160" s="7" t="inlineStr">
        <is>
          <t xml:space="preserve">  ↳ RA2ThunderboltMissile_AA_elite</t>
        </is>
      </c>
      <c r="C160" s="7" t="inlineStr">
        <is>
          <t>Armament@primaryeliteAAThunderbolt</t>
        </is>
      </c>
      <c r="L160" s="6" t="n">
        <v>4000</v>
      </c>
      <c r="M160" s="6" t="n">
        <v>25</v>
      </c>
      <c r="N160" s="6" t="n">
        <v>4</v>
      </c>
      <c r="O160" s="6" t="n"/>
      <c r="P160" s="6" t="n">
        <v>9640</v>
      </c>
      <c r="Q160" s="6" t="n">
        <v>1</v>
      </c>
      <c r="R160">
        <f>M160+IF(N160&gt;1,N(O160)*(N160-1),0)</f>
        <v/>
      </c>
      <c r="S160">
        <f>IFERROR(L160*MAX(N160,1)/R160*IF(ISBLANK(K127),1,K127),0)</f>
        <v/>
      </c>
      <c r="AB160" s="7" t="inlineStr">
        <is>
          <t>^Warhead_MissileHE_Heavy, ^Warhead_MissileHE_Light</t>
        </is>
      </c>
    </row>
    <row r="161">
      <c r="B161" s="7" t="inlineStr">
        <is>
          <t xml:space="preserve">  ↳ RA2MultiHoverMissile_elite</t>
        </is>
      </c>
      <c r="C161" s="7" t="inlineStr">
        <is>
          <t>Armament@missileelite</t>
        </is>
      </c>
      <c r="L161" s="6" t="n">
        <v>4000</v>
      </c>
      <c r="M161" s="6" t="n">
        <v>20</v>
      </c>
      <c r="N161" s="6" t="n">
        <v>4</v>
      </c>
      <c r="O161" s="6" t="n"/>
      <c r="P161" s="6" t="n">
        <v>7170</v>
      </c>
      <c r="Q161" s="6" t="n">
        <v>0.875</v>
      </c>
      <c r="R161">
        <f>M161+IF(N161&gt;1,N(O161)*(N161-1),0)</f>
        <v/>
      </c>
      <c r="S161">
        <f>IFERROR(L161*MAX(N161,1)/R161*IF(ISBLANK(K127),1,K127),0)</f>
        <v/>
      </c>
      <c r="AB161" s="7" t="inlineStr">
        <is>
          <t>^Warhead_CannonHE_Medium, ^Warhead_MissileHE_Light</t>
        </is>
      </c>
    </row>
    <row r="162">
      <c r="B162" s="7" t="inlineStr">
        <is>
          <t xml:space="preserve">  ↳ RA2MultiHoverMissile_AA</t>
        </is>
      </c>
      <c r="C162" s="7" t="inlineStr">
        <is>
          <t>Armament@missileAA</t>
        </is>
      </c>
      <c r="L162" s="6" t="n">
        <v>4000</v>
      </c>
      <c r="M162" s="6" t="n">
        <v>20</v>
      </c>
      <c r="N162" s="6" t="n">
        <v>4</v>
      </c>
      <c r="O162" s="6" t="n"/>
      <c r="P162" s="6" t="n">
        <v>9255</v>
      </c>
      <c r="Q162" s="6" t="n">
        <v>0.875</v>
      </c>
      <c r="R162">
        <f>M162+IF(N162&gt;1,N(O162)*(N162-1),0)</f>
        <v/>
      </c>
      <c r="S162">
        <f>IFERROR(L162*MAX(N162,1)/R162*IF(ISBLANK(K127),1,K127),0)</f>
        <v/>
      </c>
      <c r="AB162" s="7" t="inlineStr">
        <is>
          <t>^Warhead_CannonHE_Medium, ^Warhead_MissileHE_Light</t>
        </is>
      </c>
    </row>
    <row r="163">
      <c r="B163" s="7" t="inlineStr">
        <is>
          <t xml:space="preserve">  ↳ RA2MultiHoverMissile_AA_elite</t>
        </is>
      </c>
      <c r="C163" s="7" t="inlineStr">
        <is>
          <t>Armament@missileeliteAA</t>
        </is>
      </c>
      <c r="L163" s="6" t="n">
        <v>4000</v>
      </c>
      <c r="M163" s="6" t="n">
        <v>20</v>
      </c>
      <c r="N163" s="6" t="n">
        <v>4</v>
      </c>
      <c r="O163" s="6" t="n"/>
      <c r="P163" s="6" t="n">
        <v>10255</v>
      </c>
      <c r="Q163" s="6" t="n">
        <v>0.875</v>
      </c>
      <c r="R163">
        <f>M163+IF(N163&gt;1,N(O163)*(N163-1),0)</f>
        <v/>
      </c>
      <c r="S163">
        <f>IFERROR(L163*MAX(N163,1)/R163*IF(ISBLANK(K127),1,K127),0)</f>
        <v/>
      </c>
      <c r="AB163" s="7" t="inlineStr">
        <is>
          <t>^Warhead_CannonHE_Medium, ^Warhead_MissileHE_Light</t>
        </is>
      </c>
    </row>
    <row r="164">
      <c r="B164" s="7" t="inlineStr">
        <is>
          <t xml:space="preserve">  ↳ RA2MultiThunderboltMissile</t>
        </is>
      </c>
      <c r="C164" s="7" t="inlineStr">
        <is>
          <t>Armament@missileThunderbolt</t>
        </is>
      </c>
      <c r="L164" s="6" t="n">
        <v>4000</v>
      </c>
      <c r="M164" s="6" t="n">
        <v>25</v>
      </c>
      <c r="N164" s="6" t="n">
        <v>1</v>
      </c>
      <c r="O164" s="6" t="n"/>
      <c r="P164" s="6" t="n">
        <v>5120</v>
      </c>
      <c r="Q164" s="6" t="n">
        <v>1</v>
      </c>
      <c r="R164">
        <f>M164+IF(N164&gt;1,N(O164)*(N164-1),0)</f>
        <v/>
      </c>
      <c r="S164">
        <f>IFERROR(L164*MAX(N164,1)/R164*IF(ISBLANK(K127),1,K127),0)</f>
        <v/>
      </c>
      <c r="AB164" s="7" t="inlineStr">
        <is>
          <t>^Warhead_MissileHE_Heavy, ^Warhead_MissileHE_Light</t>
        </is>
      </c>
    </row>
    <row r="165">
      <c r="B165" s="7" t="inlineStr">
        <is>
          <t xml:space="preserve">  ↳ RA2MultiThunderboltMissile_elite</t>
        </is>
      </c>
      <c r="C165" s="7" t="inlineStr">
        <is>
          <t>Armament@missileeliteThunderbolt</t>
        </is>
      </c>
      <c r="L165" s="6" t="n">
        <v>4000</v>
      </c>
      <c r="M165" s="6" t="n">
        <v>25</v>
      </c>
      <c r="N165" s="6" t="n">
        <v>4</v>
      </c>
      <c r="O165" s="6" t="n"/>
      <c r="P165" s="6" t="n">
        <v>7170</v>
      </c>
      <c r="Q165" s="6" t="n">
        <v>1</v>
      </c>
      <c r="R165">
        <f>M165+IF(N165&gt;1,N(O165)*(N165-1),0)</f>
        <v/>
      </c>
      <c r="S165">
        <f>IFERROR(L165*MAX(N165,1)/R165*IF(ISBLANK(K127),1,K127),0)</f>
        <v/>
      </c>
      <c r="AB165" s="7" t="inlineStr">
        <is>
          <t>^Warhead_MissileHE_Heavy, ^Warhead_MissileHE_Light</t>
        </is>
      </c>
    </row>
    <row r="166">
      <c r="B166" s="7" t="inlineStr">
        <is>
          <t xml:space="preserve">  ↳ RA2MultiThunderboltMissile_AA</t>
        </is>
      </c>
      <c r="C166" s="7" t="inlineStr">
        <is>
          <t>Armament@missileAAThunderbolt</t>
        </is>
      </c>
      <c r="L166" s="6" t="n">
        <v>4000</v>
      </c>
      <c r="M166" s="6" t="n">
        <v>25</v>
      </c>
      <c r="N166" s="6" t="n">
        <v>1</v>
      </c>
      <c r="O166" s="6" t="n"/>
      <c r="P166" s="6" t="n">
        <v>9255</v>
      </c>
      <c r="Q166" s="6" t="n">
        <v>1</v>
      </c>
      <c r="R166">
        <f>M166+IF(N166&gt;1,N(O166)*(N166-1),0)</f>
        <v/>
      </c>
      <c r="S166">
        <f>IFERROR(L166*MAX(N166,1)/R166*IF(ISBLANK(K127),1,K127),0)</f>
        <v/>
      </c>
      <c r="AB166" s="7" t="inlineStr">
        <is>
          <t>^Warhead_MissileHE_Heavy, ^Warhead_MissileHE_Light</t>
        </is>
      </c>
    </row>
    <row r="167">
      <c r="B167" s="7" t="inlineStr">
        <is>
          <t xml:space="preserve">  ↳ RA2MultiThunderboltMissile_AA_elite</t>
        </is>
      </c>
      <c r="C167" s="7" t="inlineStr">
        <is>
          <t>Armament@missileeliteAAThunderbolt</t>
        </is>
      </c>
      <c r="L167" s="6" t="n">
        <v>4000</v>
      </c>
      <c r="M167" s="6" t="n">
        <v>25</v>
      </c>
      <c r="N167" s="6" t="n">
        <v>4</v>
      </c>
      <c r="O167" s="6" t="n"/>
      <c r="P167" s="6" t="n">
        <v>10255</v>
      </c>
      <c r="Q167" s="6" t="n">
        <v>1</v>
      </c>
      <c r="R167">
        <f>M167+IF(N167&gt;1,N(O167)*(N167-1),0)</f>
        <v/>
      </c>
      <c r="S167">
        <f>IFERROR(L167*MAX(N167,1)/R167*IF(ISBLANK(K127),1,K127),0)</f>
        <v/>
      </c>
      <c r="AB167" s="7" t="inlineStr">
        <is>
          <t>^Warhead_MissileHE_Heavy, ^Warhead_MissileHE_Light</t>
        </is>
      </c>
    </row>
    <row r="168">
      <c r="B168" s="7" t="inlineStr">
        <is>
          <t xml:space="preserve">  ↳ MedicHeal</t>
        </is>
      </c>
      <c r="C168" s="7" t="inlineStr">
        <is>
          <t>Armament@healer</t>
        </is>
      </c>
      <c r="L168" s="6" t="n">
        <v>-3000</v>
      </c>
      <c r="M168" s="6" t="n">
        <v>10</v>
      </c>
      <c r="N168" s="6" t="n">
        <v>1</v>
      </c>
      <c r="O168" s="6" t="n"/>
      <c r="P168" s="6" t="n">
        <v>6000</v>
      </c>
      <c r="Q168" s="6" t="n">
        <v>1</v>
      </c>
      <c r="R168">
        <f>M168+IF(N168&gt;1,N(O168)*(N168-1),0)</f>
        <v/>
      </c>
      <c r="S168">
        <f>IFERROR(L168*MAX(N168,1)/R168*IF(ISBLANK(K127),1,K127),0)</f>
        <v/>
      </c>
      <c r="AB168" s="7" t="inlineStr">
        <is>
          <t>^HealingWeapon</t>
        </is>
      </c>
    </row>
    <row r="169">
      <c r="B169" s="7" t="inlineStr">
        <is>
          <t xml:space="preserve">  ↳ RA2AWP</t>
        </is>
      </c>
      <c r="C169" s="7" t="inlineStr">
        <is>
          <t>Armament@ra1_allies_alliedsniper</t>
        </is>
      </c>
      <c r="L169" s="6" t="n">
        <v>44000</v>
      </c>
      <c r="M169" s="6" t="n">
        <v>54</v>
      </c>
      <c r="N169" s="6" t="n">
        <v>1</v>
      </c>
      <c r="O169" s="6" t="n"/>
      <c r="P169" s="6" t="n">
        <v>10000</v>
      </c>
      <c r="Q169" s="6" t="n">
        <v>0.75</v>
      </c>
      <c r="R169">
        <f>M169+IF(N169&gt;1,N(O169)*(N169-1),0)</f>
        <v/>
      </c>
      <c r="S169">
        <f>IFERROR(L169*MAX(N169,1)/R169*IF(ISBLANK(K127),1,K127),0)</f>
        <v/>
      </c>
      <c r="AB169" s="7" t="inlineStr">
        <is>
          <t>^Warhead_Sniper_Light</t>
        </is>
      </c>
    </row>
    <row r="170">
      <c r="A170" t="inlineStr">
        <is>
          <t>redalert2</t>
        </is>
      </c>
      <c r="B170" t="inlineStr">
        <is>
          <t>ra2_allies_ifv_chrono</t>
        </is>
      </c>
      <c r="C170" t="inlineStr">
        <is>
          <t>actor_fv.name</t>
        </is>
      </c>
      <c r="D170" s="6" t="inlineStr">
        <is>
          <t>ScoutVehicle</t>
        </is>
      </c>
      <c r="E170" s="6" t="n">
        <v>25000</v>
      </c>
      <c r="F170" s="6" t="n">
        <v>150</v>
      </c>
      <c r="G170" t="inlineStr">
        <is>
          <t>Scout</t>
        </is>
      </c>
      <c r="H170" s="6" t="n">
        <v>0.5305</v>
      </c>
      <c r="I170" s="6" t="n">
        <v>1</v>
      </c>
      <c r="J170" s="6" t="n">
        <v>1</v>
      </c>
      <c r="K170" s="6" t="n"/>
      <c r="P170">
        <f>MAX(P171,P172,P173,P174,P175,P176,P177,P178,P179,P180,P181,P182,P183,P184,P185,P186,P187,P188,P189,P193,P194,P195,P196,P197,P198,P199,P200,P201,P202,P203,P204,P205,P206,P207,P208,P209,P210,P211,P212)</f>
        <v/>
      </c>
      <c r="S170">
        <f>S171+S172+S173+S174+S175+S176+S177+S178+S179+S180+S181+S182+S183+S184+S185+S186+S187+S188+S189+S193+S194+S195+S196+S197+S198+S199+S200+S201+S202+S203+S204+S205+S206+S207+S208+S209+S210+S211+S212</f>
        <v/>
      </c>
      <c r="T170">
        <f>(E170/100000+F170/100+(P170/1000)*J170/5+S170/200)*200*I170*H170</f>
        <v/>
      </c>
      <c r="U170">
        <f>((E170*F170/25000)+((P170/1000)*J170*S170/2.5))*I170*H170</f>
        <v/>
      </c>
      <c r="V170">
        <f>(E170*F170*(P170/1000)*J170*S170*I170*H170)/12500000</f>
        <v/>
      </c>
      <c r="W170">
        <f>(((E170/30000)+(F170/200)+(S170/450)+((P170/4500)*J170))*300/4+(((E170/30000)*(F170/200))+(((P170/4500)*J170)*(S170/450)))*300/2+((E170/30000)*(F170/200)*((P170/4500)*J170)*(S170/450))*300)*(H170/1.0)/3</f>
        <v/>
      </c>
      <c r="X170" s="6" t="n">
        <v>500</v>
      </c>
      <c r="Y170">
        <f>IFERROR(W170-X170,"")</f>
        <v/>
      </c>
      <c r="Z170">
        <f>IFERROR(ABS(Y170)/MAX(X170,1),"")</f>
        <v/>
      </c>
      <c r="AA170">
        <f>IFERROR(ROUND(((3*X170-(((E170/30000)+(F170/200)+(S170/450))*300/4+((E170/30000)*(F170/200))*300/2)*(H170/1.0))/(300/4+((S170/450))*300/2+((E170/30000)*(F170/200)*(S170/450))*300)*(H170/1.0)*4500)/J170,-1),"")</f>
        <v/>
      </c>
    </row>
    <row r="171">
      <c r="B171" s="7" t="inlineStr">
        <is>
          <t xml:space="preserve">  ↳ RA2CRM60</t>
        </is>
      </c>
      <c r="C171" s="7" t="inlineStr">
        <is>
          <t>Armament@mg</t>
        </is>
      </c>
      <c r="L171" s="6" t="n">
        <v>4000</v>
      </c>
      <c r="M171" s="6" t="n">
        <v>14</v>
      </c>
      <c r="N171" s="6" t="n">
        <v>4</v>
      </c>
      <c r="O171" s="6" t="n">
        <v>2</v>
      </c>
      <c r="P171" s="6" t="n">
        <v>5660</v>
      </c>
      <c r="Q171" s="6" t="n">
        <v>0.875</v>
      </c>
      <c r="R171">
        <f>M171+IF(N171&gt;1,N(O171)*(N171-1),0)</f>
        <v/>
      </c>
      <c r="S171">
        <f>IFERROR(L171*MAX(N171,1)/R171*IF(ISBLANK(K170),1,K170),0)</f>
        <v/>
      </c>
      <c r="AB171" s="7" t="inlineStr">
        <is>
          <t>^Warhead_Bullet_Light, ^Warhead_Bullet_Medium</t>
        </is>
      </c>
    </row>
    <row r="172">
      <c r="B172" s="7" t="inlineStr">
        <is>
          <t xml:space="preserve">  ↳ RA2CRM60H</t>
        </is>
      </c>
      <c r="C172" s="7" t="inlineStr">
        <is>
          <t>Armament@hmg</t>
        </is>
      </c>
      <c r="L172" s="6" t="n">
        <v>6000</v>
      </c>
      <c r="M172" s="6" t="n">
        <v>10</v>
      </c>
      <c r="N172" s="6" t="n">
        <v>6</v>
      </c>
      <c r="O172" s="6" t="n">
        <v>2</v>
      </c>
      <c r="P172" s="6" t="n">
        <v>4692</v>
      </c>
      <c r="Q172" s="6" t="n">
        <v>1.125</v>
      </c>
      <c r="R172">
        <f>M172+IF(N172&gt;1,N(O172)*(N172-1),0)</f>
        <v/>
      </c>
      <c r="S172">
        <f>IFERROR(L172*MAX(N172,1)/R172*IF(ISBLANK(K170),1,K170),0)</f>
        <v/>
      </c>
      <c r="AB172" s="7" t="inlineStr">
        <is>
          <t>^Warhead_CannonHE_Heavy, ^Warhead_Bullet_Medium</t>
        </is>
      </c>
    </row>
    <row r="173">
      <c r="B173" s="7" t="inlineStr">
        <is>
          <t xml:space="preserve">  ↳ wc_tower_fire</t>
        </is>
      </c>
      <c r="C173" s="7" t="inlineStr">
        <is>
          <t>Armament@archer</t>
        </is>
      </c>
      <c r="L173" s="6" t="n">
        <v>2500</v>
      </c>
      <c r="M173" s="6" t="n">
        <v>40</v>
      </c>
      <c r="N173" s="6" t="n">
        <v>1</v>
      </c>
      <c r="O173" s="6" t="n"/>
      <c r="P173" s="6" t="n">
        <v>8704</v>
      </c>
      <c r="Q173" s="6" t="n">
        <v>1</v>
      </c>
      <c r="R173">
        <f>M173+IF(N173&gt;1,N(O173)*(N173-1),0)</f>
        <v/>
      </c>
      <c r="S173">
        <f>IFERROR(L173*MAX(N173,1)/R173*IF(ISBLANK(K170),1,K170),0)</f>
        <v/>
      </c>
      <c r="AB173" s="7" t="inlineStr">
        <is>
          <t>bowFire</t>
        </is>
      </c>
    </row>
    <row r="174">
      <c r="B174" s="7" t="inlineStr">
        <is>
          <t xml:space="preserve">  ↳ RA2IFVRepair</t>
        </is>
      </c>
      <c r="C174" s="7" t="inlineStr">
        <is>
          <t>Armament@repair</t>
        </is>
      </c>
      <c r="L174" s="6" t="n">
        <v>-3000</v>
      </c>
      <c r="M174" s="6" t="n">
        <v>50</v>
      </c>
      <c r="N174" s="6" t="n">
        <v>10</v>
      </c>
      <c r="O174" s="6" t="n">
        <v>1</v>
      </c>
      <c r="P174" s="6" t="n">
        <v>5000</v>
      </c>
      <c r="Q174" s="6" t="n">
        <v>1</v>
      </c>
      <c r="R174">
        <f>M174+IF(N174&gt;1,N(O174)*(N174-1),0)</f>
        <v/>
      </c>
      <c r="S174">
        <f>IFERROR(L174*MAX(N174,1)/R174*IF(ISBLANK(K170),1,K170),0)</f>
        <v/>
      </c>
      <c r="AB174" s="7" t="inlineStr">
        <is>
          <t>^RepairWeapon</t>
        </is>
      </c>
    </row>
    <row r="175">
      <c r="B175" s="7" t="inlineStr">
        <is>
          <t xml:space="preserve">  ↳ LightSniper</t>
        </is>
      </c>
      <c r="C175" s="7" t="inlineStr">
        <is>
          <t>Armament@lightsniper</t>
        </is>
      </c>
      <c r="L175" s="6" t="n">
        <v>30000</v>
      </c>
      <c r="M175" s="6" t="n">
        <v>100</v>
      </c>
      <c r="N175" s="6" t="n">
        <v>1</v>
      </c>
      <c r="O175" s="6" t="n"/>
      <c r="P175" s="6" t="n">
        <v>9153</v>
      </c>
      <c r="Q175" s="6" t="n">
        <v>0.75</v>
      </c>
      <c r="R175">
        <f>M175+IF(N175&gt;1,N(O175)*(N175-1),0)</f>
        <v/>
      </c>
      <c r="S175">
        <f>IFERROR(L175*MAX(N175,1)/R175*IF(ISBLANK(K170),1,K170),0)</f>
        <v/>
      </c>
      <c r="AB175" s="7" t="inlineStr">
        <is>
          <t>^Warhead_Sniper_Light</t>
        </is>
      </c>
    </row>
    <row r="176">
      <c r="B176" s="7" t="inlineStr">
        <is>
          <t xml:space="preserve">  ↳ RA2DoublePistolsIFV</t>
        </is>
      </c>
      <c r="C176" s="7" t="inlineStr">
        <is>
          <t>Armament@hero</t>
        </is>
      </c>
      <c r="L176" s="6" t="n">
        <v>14000</v>
      </c>
      <c r="M176" s="6" t="n">
        <v>12</v>
      </c>
      <c r="N176" s="6" t="n">
        <v>2</v>
      </c>
      <c r="O176" s="6" t="n">
        <v>3</v>
      </c>
      <c r="P176" s="6" t="n">
        <v>8000</v>
      </c>
      <c r="Q176" s="6" t="n">
        <v>0.75</v>
      </c>
      <c r="R176">
        <f>M176+IF(N176&gt;1,N(O176)*(N176-1),0)</f>
        <v/>
      </c>
      <c r="S176">
        <f>IFERROR(L176*MAX(N176,1)/R176*IF(ISBLANK(K170),1,K170),0)</f>
        <v/>
      </c>
      <c r="AB176" s="7" t="inlineStr">
        <is>
          <t>^Warhead_Sniper_Light</t>
        </is>
      </c>
    </row>
    <row r="177">
      <c r="B177" s="7" t="inlineStr">
        <is>
          <t xml:space="preserve">  ↳ TTankZap</t>
        </is>
      </c>
      <c r="C177" s="7" t="inlineStr">
        <is>
          <t>Armament@tesla</t>
        </is>
      </c>
      <c r="L177" s="6" t="n">
        <v>40000</v>
      </c>
      <c r="M177" s="6" t="n">
        <v>80</v>
      </c>
      <c r="N177" s="6" t="n">
        <v>1</v>
      </c>
      <c r="O177" s="6" t="n"/>
      <c r="P177" s="6" t="n">
        <v>7300</v>
      </c>
      <c r="Q177" s="6" t="n">
        <v>1.25</v>
      </c>
      <c r="R177">
        <f>M177+IF(N177&gt;1,N(O177)*(N177-1),0)</f>
        <v/>
      </c>
      <c r="S177">
        <f>IFERROR(L177*MAX(N177,1)/R177*IF(ISBLANK(K170),1,K170),0)</f>
        <v/>
      </c>
      <c r="AB177" s="7" t="inlineStr">
        <is>
          <t>^Warhead_Tesla_Heavy</t>
        </is>
      </c>
    </row>
    <row r="178">
      <c r="B178" s="7" t="inlineStr">
        <is>
          <t xml:space="preserve">  ↳ DragunovSniper</t>
        </is>
      </c>
      <c r="C178" s="7" t="inlineStr">
        <is>
          <t>Armament@flak</t>
        </is>
      </c>
      <c r="L178" s="6" t="n">
        <v>400000</v>
      </c>
      <c r="M178" s="6" t="n">
        <v>85</v>
      </c>
      <c r="N178" s="6" t="n">
        <v>1</v>
      </c>
      <c r="O178" s="6" t="n"/>
      <c r="P178" s="6" t="n">
        <v>5804</v>
      </c>
      <c r="Q178" s="6" t="n">
        <v>1</v>
      </c>
      <c r="R178">
        <f>M178+IF(N178&gt;1,N(O178)*(N178-1),0)</f>
        <v/>
      </c>
      <c r="S178">
        <f>IFERROR(L178*MAX(N178,1)/R178*IF(ISBLANK(K170),1,K170),0)</f>
        <v/>
      </c>
      <c r="AB178" s="7" t="inlineStr">
        <is>
          <t>^TankDestroyerCannon, ^RailgunWeapon, ^LightMissile, ^HeavyCannon, ^FlakWeapon</t>
        </is>
      </c>
    </row>
    <row r="179">
      <c r="B179" s="7" t="inlineStr">
        <is>
          <t xml:space="preserve">  ↳ RA2MirageGun</t>
        </is>
      </c>
      <c r="C179" s="7" t="inlineStr">
        <is>
          <t>Armament@cannon</t>
        </is>
      </c>
      <c r="L179" s="6" t="n">
        <v>24000</v>
      </c>
      <c r="M179" s="6" t="n">
        <v>39</v>
      </c>
      <c r="N179" s="6" t="n">
        <v>1</v>
      </c>
      <c r="O179" s="6" t="n"/>
      <c r="P179" s="6" t="n">
        <v>6031</v>
      </c>
      <c r="Q179" s="6" t="n">
        <v>0.75</v>
      </c>
      <c r="R179">
        <f>M179+IF(N179&gt;1,N(O179)*(N179-1),0)</f>
        <v/>
      </c>
      <c r="S179">
        <f>IFERROR(L179*MAX(N179,1)/R179*IF(ISBLANK(K170),1,K170),0)</f>
        <v/>
      </c>
      <c r="AB179" s="7" t="inlineStr">
        <is>
          <t>^Warhead_CannonAP_Light</t>
        </is>
      </c>
    </row>
    <row r="180">
      <c r="B180" s="7" t="inlineStr">
        <is>
          <t xml:space="preserve">  ↳ Grenade</t>
        </is>
      </c>
      <c r="C180" s="7" t="inlineStr">
        <is>
          <t>Armament@grenade</t>
        </is>
      </c>
      <c r="L180" s="6" t="n">
        <v>16000</v>
      </c>
      <c r="M180" s="6" t="n">
        <v>42</v>
      </c>
      <c r="N180" s="6" t="n">
        <v>1</v>
      </c>
      <c r="O180" s="6" t="n"/>
      <c r="P180" s="6" t="n">
        <v>6097</v>
      </c>
      <c r="Q180" s="6" t="n">
        <v>0.75</v>
      </c>
      <c r="R180">
        <f>M180+IF(N180&gt;1,N(O180)*(N180-1),0)</f>
        <v/>
      </c>
      <c r="S180">
        <f>IFERROR(L180*MAX(N180,1)/R180*IF(ISBLANK(K170),1,K170),0)</f>
        <v/>
      </c>
      <c r="AB180" s="7" t="inlineStr">
        <is>
          <t>^Warhead_Demolition_Light</t>
        </is>
      </c>
    </row>
    <row r="181">
      <c r="B181" s="7" t="inlineStr">
        <is>
          <t xml:space="preserve">  ↳ DRPlasmaTankWeapon</t>
        </is>
      </c>
      <c r="C181" s="7" t="inlineStr">
        <is>
          <t>Armament@plasma</t>
        </is>
      </c>
      <c r="L181" s="6" t="n">
        <v>6250</v>
      </c>
      <c r="M181" s="6" t="n">
        <v>21</v>
      </c>
      <c r="N181" s="6" t="n">
        <v>1</v>
      </c>
      <c r="O181" s="6" t="n"/>
      <c r="P181" s="6" t="n">
        <v>5120</v>
      </c>
      <c r="Q181" s="6" t="n">
        <v>1</v>
      </c>
      <c r="R181">
        <f>M181+IF(N181&gt;1,N(O181)*(N181-1),0)</f>
        <v/>
      </c>
      <c r="S181">
        <f>IFERROR(L181*MAX(N181,1)/R181*IF(ISBLANK(K170),1,K170),0)</f>
        <v/>
      </c>
      <c r="AB181" s="7" t="inlineStr">
        <is>
          <t>^DRPlasmaWeapon</t>
        </is>
      </c>
    </row>
    <row r="182">
      <c r="B182" s="7" t="inlineStr">
        <is>
          <t xml:space="preserve">  ↳ SWLaserG</t>
        </is>
      </c>
      <c r="C182" s="7" t="inlineStr">
        <is>
          <t>Armament@litlaser</t>
        </is>
      </c>
      <c r="L182" s="6" t="n">
        <v>2000</v>
      </c>
      <c r="M182" s="6" t="n">
        <v>30</v>
      </c>
      <c r="N182" s="6" t="n">
        <v>6</v>
      </c>
      <c r="O182" s="6" t="n"/>
      <c r="P182" s="6" t="n">
        <v>6144</v>
      </c>
      <c r="Q182" s="6" t="n">
        <v>1</v>
      </c>
      <c r="R182">
        <f>M182+IF(N182&gt;1,N(O182)*(N182-1),0)</f>
        <v/>
      </c>
      <c r="S182">
        <f>IFERROR(L182*MAX(N182,1)/R182*IF(ISBLANK(K170),1,K170),0)</f>
        <v/>
      </c>
      <c r="AB182" s="7" t="inlineStr">
        <is>
          <t>SWLaser</t>
        </is>
      </c>
    </row>
    <row r="183">
      <c r="B183" s="7" t="inlineStr">
        <is>
          <t xml:space="preserve">  ↳ USALaserCannonAG</t>
        </is>
      </c>
      <c r="C183" s="7" t="inlineStr">
        <is>
          <t>Armament@medlaser</t>
        </is>
      </c>
      <c r="L183" s="6" t="n">
        <v>4000</v>
      </c>
      <c r="M183" s="6" t="n">
        <v>50</v>
      </c>
      <c r="N183" s="6" t="n">
        <v>3</v>
      </c>
      <c r="O183" s="6" t="n">
        <v>6</v>
      </c>
      <c r="P183" s="6" t="n">
        <v>7168</v>
      </c>
      <c r="Q183" s="6" t="n">
        <v>1</v>
      </c>
      <c r="R183">
        <f>M183+IF(N183&gt;1,N(O183)*(N183-1),0)</f>
        <v/>
      </c>
      <c r="S183">
        <f>IFERROR(L183*MAX(N183,1)/R183*IF(ISBLANK(K170),1,K170),0)</f>
        <v/>
      </c>
      <c r="AB183" s="7" t="inlineStr">
        <is>
          <t>^AntiGroundMissile</t>
        </is>
      </c>
    </row>
    <row r="184">
      <c r="B184" s="7" t="inlineStr">
        <is>
          <t xml:space="preserve">  ↳ SWGreenLaserG</t>
        </is>
      </c>
      <c r="C184" s="7" t="inlineStr">
        <is>
          <t>Armament@greenlaser</t>
        </is>
      </c>
      <c r="L184" s="6" t="n">
        <v>5000</v>
      </c>
      <c r="M184" s="6" t="n">
        <v>75</v>
      </c>
      <c r="N184" s="6" t="n">
        <v>1</v>
      </c>
      <c r="O184" s="6" t="n"/>
      <c r="P184" s="6" t="n">
        <v>7168</v>
      </c>
      <c r="Q184" s="6" t="n">
        <v>1</v>
      </c>
      <c r="R184">
        <f>M184+IF(N184&gt;1,N(O184)*(N184-1),0)</f>
        <v/>
      </c>
      <c r="S184">
        <f>IFERROR(L184*MAX(N184,1)/R184*IF(ISBLANK(K170),1,K170),0)</f>
        <v/>
      </c>
      <c r="AB184" s="7" t="inlineStr">
        <is>
          <t>SWGreenLaser</t>
        </is>
      </c>
    </row>
    <row r="185">
      <c r="B185" s="7" t="inlineStr">
        <is>
          <t xml:space="preserve">  ↳ SWGBigRedLaserG</t>
        </is>
      </c>
      <c r="C185" s="7" t="inlineStr">
        <is>
          <t>Armament@misslaser</t>
        </is>
      </c>
      <c r="L185" s="6" t="n">
        <v>4000</v>
      </c>
      <c r="M185" s="6" t="n">
        <v>75</v>
      </c>
      <c r="N185" s="6" t="n">
        <v>1</v>
      </c>
      <c r="O185" s="6" t="n"/>
      <c r="P185" s="6" t="n">
        <v>8192</v>
      </c>
      <c r="Q185" s="6" t="n">
        <v>1</v>
      </c>
      <c r="R185">
        <f>M185+IF(N185&gt;1,N(O185)*(N185-1),0)</f>
        <v/>
      </c>
      <c r="S185">
        <f>IFERROR(L185*MAX(N185,1)/R185*IF(ISBLANK(K170),1,K170),0)</f>
        <v/>
      </c>
      <c r="AB185" s="7" t="inlineStr">
        <is>
          <t>SWrBigRedLaser</t>
        </is>
      </c>
    </row>
    <row r="186">
      <c r="B186" s="7" t="inlineStr">
        <is>
          <t xml:space="preserve">  ↳ BigFlamer</t>
        </is>
      </c>
      <c r="C186" s="7" t="inlineStr">
        <is>
          <t>Armament@fire</t>
        </is>
      </c>
      <c r="L186" s="6" t="n">
        <v>14000</v>
      </c>
      <c r="M186" s="6" t="n">
        <v>50</v>
      </c>
      <c r="N186" s="6" t="n">
        <v>2</v>
      </c>
      <c r="O186" s="6" t="n">
        <v>10</v>
      </c>
      <c r="P186" s="6" t="n">
        <v>2390</v>
      </c>
      <c r="Q186" s="6" t="n">
        <v>1</v>
      </c>
      <c r="R186">
        <f>M186+IF(N186&gt;1,N(O186)*(N186-1),0)</f>
        <v/>
      </c>
      <c r="S186">
        <f>IFERROR(L186*MAX(N186,1)/R186*IF(ISBLANK(K170),1,K170),0)</f>
        <v/>
      </c>
      <c r="AB186" s="7" t="inlineStr">
        <is>
          <t>^Warhead_Flame_Medium</t>
        </is>
      </c>
    </row>
    <row r="187">
      <c r="B187" s="7" t="inlineStr">
        <is>
          <t xml:space="preserve">  ↳ RA2RadBeamWeapon</t>
        </is>
      </c>
      <c r="C187" s="7" t="inlineStr">
        <is>
          <t>Armament@chem</t>
        </is>
      </c>
      <c r="L187" s="6" t="n">
        <v>30000</v>
      </c>
      <c r="M187" s="6" t="n">
        <v>45</v>
      </c>
      <c r="N187" s="6" t="n">
        <v>1</v>
      </c>
      <c r="O187" s="6" t="n"/>
      <c r="P187" s="6" t="n">
        <v>6444</v>
      </c>
      <c r="Q187" s="6" t="n">
        <v>1</v>
      </c>
      <c r="R187">
        <f>M187+IF(N187&gt;1,N(O187)*(N187-1),0)</f>
        <v/>
      </c>
      <c r="S187">
        <f>IFERROR(L187*MAX(N187,1)/R187*IF(ISBLANK(K170),1,K170),0)</f>
        <v/>
      </c>
      <c r="AB187" s="7" t="inlineStr">
        <is>
          <t>^Warhead_Chemical_Medium</t>
        </is>
      </c>
    </row>
    <row r="188">
      <c r="B188" s="7" t="inlineStr">
        <is>
          <t xml:space="preserve">  ↳ RA2RadBeamWeapon</t>
        </is>
      </c>
      <c r="C188" s="7" t="inlineStr">
        <is>
          <t>Armament@thrax</t>
        </is>
      </c>
      <c r="L188" s="6" t="n">
        <v>30000</v>
      </c>
      <c r="M188" s="6" t="n">
        <v>45</v>
      </c>
      <c r="N188" s="6" t="n">
        <v>1</v>
      </c>
      <c r="O188" s="6" t="n"/>
      <c r="P188" s="6" t="n">
        <v>6444</v>
      </c>
      <c r="Q188" s="6" t="n">
        <v>1</v>
      </c>
      <c r="R188">
        <f>M188+IF(N188&gt;1,N(O188)*(N188-1),0)</f>
        <v/>
      </c>
      <c r="S188">
        <f>IFERROR(L188*MAX(N188,1)/R188*IF(ISBLANK(K170),1,K170),0)</f>
        <v/>
      </c>
      <c r="AB188" s="7" t="inlineStr">
        <is>
          <t>^Warhead_Chemical_Medium</t>
        </is>
      </c>
    </row>
    <row r="189">
      <c r="B189" s="7" t="inlineStr">
        <is>
          <t xml:space="preserve">  ↳ RA2MultiHoverMissile</t>
        </is>
      </c>
      <c r="C189" s="7" t="inlineStr">
        <is>
          <t>Armament@missile</t>
        </is>
      </c>
      <c r="L189" s="6" t="n">
        <v>4000</v>
      </c>
      <c r="M189" s="6" t="n">
        <v>20</v>
      </c>
      <c r="N189" s="6" t="n">
        <v>4</v>
      </c>
      <c r="O189" s="6" t="n"/>
      <c r="P189" s="6" t="n">
        <v>6170</v>
      </c>
      <c r="Q189" s="6" t="n">
        <v>0.875</v>
      </c>
      <c r="R189">
        <f>M189+IF(N189&gt;1,N(O189)*(N189-1),0)</f>
        <v/>
      </c>
      <c r="S189">
        <f>IFERROR(L189*MAX(N189,1)/R189*IF(ISBLANK(K170),1,K170),0)</f>
        <v/>
      </c>
      <c r="AB189" s="7" t="inlineStr">
        <is>
          <t>^Warhead_CannonHE_Medium, ^Warhead_MissileHE_Light</t>
        </is>
      </c>
    </row>
    <row r="190">
      <c r="B190" s="7" t="inlineStr">
        <is>
          <t xml:space="preserve">  ↳ IFVChronoBeam</t>
        </is>
      </c>
      <c r="C190" s="7" t="inlineStr">
        <is>
          <t>Armament@chrono</t>
        </is>
      </c>
      <c r="L190" s="6" t="n"/>
      <c r="M190" s="6" t="n">
        <v>1</v>
      </c>
      <c r="N190" s="6" t="n">
        <v>1</v>
      </c>
      <c r="O190" s="6" t="n"/>
      <c r="P190" s="6" t="n">
        <v>7500</v>
      </c>
      <c r="Q190" s="6" t="n">
        <v>1</v>
      </c>
      <c r="R190">
        <f>M190+IF(N190&gt;1,N(O190)*(N190-1),0)</f>
        <v/>
      </c>
      <c r="S190">
        <f>IFERROR(L190*MAX(N190,1)/R190*IF(ISBLANK(K170),1,K170),0)</f>
        <v/>
      </c>
      <c r="AB190" s="7" t="inlineStr">
        <is>
          <t>ChronoBeam</t>
        </is>
      </c>
    </row>
    <row r="191">
      <c r="B191" s="7" t="inlineStr">
        <is>
          <t xml:space="preserve">  ↳ IFVChronoSound</t>
        </is>
      </c>
      <c r="C191" s="7" t="inlineStr">
        <is>
          <t>Armament@chronosound</t>
        </is>
      </c>
      <c r="L191" s="6" t="n"/>
      <c r="M191" s="6" t="n">
        <v>180</v>
      </c>
      <c r="N191" s="6" t="n">
        <v>1</v>
      </c>
      <c r="O191" s="6" t="n"/>
      <c r="P191" s="6" t="n">
        <v>8000</v>
      </c>
      <c r="Q191" s="6" t="n">
        <v>1</v>
      </c>
      <c r="R191">
        <f>M191+IF(N191&gt;1,N(O191)*(N191-1),0)</f>
        <v/>
      </c>
      <c r="S191">
        <f>IFERROR(L191*MAX(N191,1)/R191*IF(ISBLANK(K170),1,K170),0)</f>
        <v/>
      </c>
      <c r="AB191" s="7" t="inlineStr">
        <is>
          <t>RA2ChronoTele</t>
        </is>
      </c>
    </row>
    <row r="192">
      <c r="B192" s="7" t="inlineStr">
        <is>
          <t xml:space="preserve">  ↳ DemoTruckTargeting</t>
        </is>
      </c>
      <c r="C192" s="7" t="inlineStr">
        <is>
          <t>Armament@ivan</t>
        </is>
      </c>
      <c r="L192" s="6" t="n"/>
      <c r="M192" s="6" t="n"/>
      <c r="N192" s="6" t="n">
        <v>1</v>
      </c>
      <c r="O192" s="6" t="n"/>
      <c r="P192" s="6" t="n">
        <v>2000</v>
      </c>
      <c r="Q192" s="6" t="n">
        <v>1</v>
      </c>
      <c r="R192">
        <f>M192+IF(N192&gt;1,N(O192)*(N192-1),0)</f>
        <v/>
      </c>
      <c r="S192">
        <f>IFERROR(L192*MAX(N192,1)/R192*IF(ISBLANK(K170),1,K170),0)</f>
        <v/>
      </c>
      <c r="AB192" s="7" t="inlineStr"/>
    </row>
    <row r="193">
      <c r="B193" s="7" t="inlineStr">
        <is>
          <t xml:space="preserve">  ↳ Fremen_L</t>
        </is>
      </c>
      <c r="C193" s="7" t="inlineStr">
        <is>
          <t>Armament@fremen</t>
        </is>
      </c>
      <c r="L193" s="6" t="n">
        <v>3000</v>
      </c>
      <c r="M193" s="6" t="n">
        <v>25</v>
      </c>
      <c r="N193" s="6" t="n">
        <v>1</v>
      </c>
      <c r="O193" s="6" t="n"/>
      <c r="P193" s="6" t="n">
        <v>2560</v>
      </c>
      <c r="Q193" s="6" t="n">
        <v>1</v>
      </c>
      <c r="R193">
        <f>M193+IF(N193&gt;1,N(O193)*(N193-1),0)</f>
        <v/>
      </c>
      <c r="S193">
        <f>IFERROR(L193*MAX(N193,1)/R193*IF(ISBLANK(K170),1,K170),0)</f>
        <v/>
      </c>
      <c r="AB193" s="7" t="inlineStr">
        <is>
          <t>M_HMG</t>
        </is>
      </c>
    </row>
    <row r="194">
      <c r="B194" s="7" t="inlineStr">
        <is>
          <t xml:space="preserve">  ↳ TSSonicZap</t>
        </is>
      </c>
      <c r="C194" s="7" t="inlineStr">
        <is>
          <t>Armament@sonic</t>
        </is>
      </c>
      <c r="L194" s="6" t="n">
        <v>5000</v>
      </c>
      <c r="M194" s="6" t="n">
        <v>60</v>
      </c>
      <c r="N194" s="6" t="n">
        <v>1</v>
      </c>
      <c r="O194" s="6" t="n"/>
      <c r="P194" s="6" t="n">
        <v>6144</v>
      </c>
      <c r="Q194" s="6" t="n">
        <v>1</v>
      </c>
      <c r="R194">
        <f>M194+IF(N194&gt;1,N(O194)*(N194-1),0)</f>
        <v/>
      </c>
      <c r="S194">
        <f>IFERROR(L194*MAX(N194,1)/R194*IF(ISBLANK(K170),1,K170),0)</f>
        <v/>
      </c>
      <c r="AB194" s="7" t="inlineStr"/>
    </row>
    <row r="195">
      <c r="B195" s="7" t="inlineStr">
        <is>
          <t xml:space="preserve">  ↳ MedicHeal</t>
        </is>
      </c>
      <c r="C195" s="7" t="inlineStr">
        <is>
          <t>Armament@heal</t>
        </is>
      </c>
      <c r="L195" s="6" t="n">
        <v>-3000</v>
      </c>
      <c r="M195" s="6" t="n">
        <v>10</v>
      </c>
      <c r="N195" s="6" t="n">
        <v>1</v>
      </c>
      <c r="O195" s="6" t="n"/>
      <c r="P195" s="6" t="n">
        <v>6000</v>
      </c>
      <c r="Q195" s="6" t="n">
        <v>1</v>
      </c>
      <c r="R195">
        <f>M195+IF(N195&gt;1,N(O195)*(N195-1),0)</f>
        <v/>
      </c>
      <c r="S195">
        <f>IFERROR(L195*MAX(N195,1)/R195*IF(ISBLANK(K170),1,K170),0)</f>
        <v/>
      </c>
      <c r="AB195" s="7" t="inlineStr">
        <is>
          <t>^HealingWeapon</t>
        </is>
      </c>
    </row>
    <row r="196">
      <c r="B196" s="7" t="inlineStr">
        <is>
          <t xml:space="preserve">  ↳ RA2HoverMissile</t>
        </is>
      </c>
      <c r="C196" s="7" t="inlineStr">
        <is>
          <t>Armament@primary</t>
        </is>
      </c>
      <c r="L196" s="6" t="n">
        <v>12000</v>
      </c>
      <c r="M196" s="6" t="n">
        <v>28</v>
      </c>
      <c r="N196" s="6" t="n">
        <v>2</v>
      </c>
      <c r="O196" s="6" t="n">
        <v>4</v>
      </c>
      <c r="P196" s="6" t="n">
        <v>5760</v>
      </c>
      <c r="Q196" s="6" t="n">
        <v>0.75</v>
      </c>
      <c r="R196">
        <f>M196+IF(N196&gt;1,N(O196)*(N196-1),0)</f>
        <v/>
      </c>
      <c r="S196">
        <f>IFERROR(L196*MAX(N196,1)/R196*IF(ISBLANK(K170),1,K170),0)</f>
        <v/>
      </c>
      <c r="AB196" s="7" t="inlineStr">
        <is>
          <t>^Warhead_Arrow_Light, ^Warhead_MissileAP_Light</t>
        </is>
      </c>
    </row>
    <row r="197">
      <c r="B197" s="7" t="inlineStr">
        <is>
          <t xml:space="preserve">  ↳ RA2HoverMissile_elite</t>
        </is>
      </c>
      <c r="C197" s="7" t="inlineStr">
        <is>
          <t>Armament@primaryelite</t>
        </is>
      </c>
      <c r="L197" s="6" t="n">
        <v>12000</v>
      </c>
      <c r="M197" s="6" t="n">
        <v>28</v>
      </c>
      <c r="N197" s="6" t="n">
        <v>4</v>
      </c>
      <c r="O197" s="6" t="n">
        <v>4</v>
      </c>
      <c r="P197" s="6" t="n">
        <v>6760</v>
      </c>
      <c r="Q197" s="6" t="n">
        <v>0.75</v>
      </c>
      <c r="R197">
        <f>M197+IF(N197&gt;1,N(O197)*(N197-1),0)</f>
        <v/>
      </c>
      <c r="S197">
        <f>IFERROR(L197*MAX(N197,1)/R197*IF(ISBLANK(K170),1,K170),0)</f>
        <v/>
      </c>
      <c r="AB197" s="7" t="inlineStr">
        <is>
          <t>^Warhead_Arrow_Light, ^Warhead_MissileAP_Light</t>
        </is>
      </c>
    </row>
    <row r="198">
      <c r="B198" s="7" t="inlineStr">
        <is>
          <t xml:space="preserve">  ↳ RA2HoverMissile_AA</t>
        </is>
      </c>
      <c r="C198" s="7" t="inlineStr">
        <is>
          <t>Armament@primaryAA</t>
        </is>
      </c>
      <c r="L198" s="6" t="n">
        <v>12000</v>
      </c>
      <c r="M198" s="6" t="n">
        <v>28</v>
      </c>
      <c r="N198" s="6" t="n">
        <v>2</v>
      </c>
      <c r="O198" s="6" t="n">
        <v>4</v>
      </c>
      <c r="P198" s="6" t="n">
        <v>8640</v>
      </c>
      <c r="Q198" s="6" t="n">
        <v>0.75</v>
      </c>
      <c r="R198">
        <f>M198+IF(N198&gt;1,N(O198)*(N198-1),0)</f>
        <v/>
      </c>
      <c r="S198">
        <f>IFERROR(L198*MAX(N198,1)/R198*IF(ISBLANK(K170),1,K170),0)</f>
        <v/>
      </c>
      <c r="AB198" s="7" t="inlineStr">
        <is>
          <t>^Warhead_Arrow_Light, ^Warhead_MissileAP_Light</t>
        </is>
      </c>
    </row>
    <row r="199">
      <c r="B199" s="7" t="inlineStr">
        <is>
          <t xml:space="preserve">  ↳ RA2HoverMissile_AA_elite</t>
        </is>
      </c>
      <c r="C199" s="7" t="inlineStr">
        <is>
          <t>Armament@primaryeliteAA</t>
        </is>
      </c>
      <c r="L199" s="6" t="n">
        <v>12000</v>
      </c>
      <c r="M199" s="6" t="n">
        <v>28</v>
      </c>
      <c r="N199" s="6" t="n">
        <v>4</v>
      </c>
      <c r="O199" s="6" t="n">
        <v>4</v>
      </c>
      <c r="P199" s="6" t="n">
        <v>9640</v>
      </c>
      <c r="Q199" s="6" t="n">
        <v>0.75</v>
      </c>
      <c r="R199">
        <f>M199+IF(N199&gt;1,N(O199)*(N199-1),0)</f>
        <v/>
      </c>
      <c r="S199">
        <f>IFERROR(L199*MAX(N199,1)/R199*IF(ISBLANK(K170),1,K170),0)</f>
        <v/>
      </c>
      <c r="AB199" s="7" t="inlineStr">
        <is>
          <t>^Warhead_Arrow_Light, ^Warhead_MissileAP_Light</t>
        </is>
      </c>
    </row>
    <row r="200">
      <c r="B200" s="7" t="inlineStr">
        <is>
          <t xml:space="preserve">  ↳ RA2ThunderboltMissile</t>
        </is>
      </c>
      <c r="C200" s="7" t="inlineStr">
        <is>
          <t>Armament@primaryThunderbolt</t>
        </is>
      </c>
      <c r="L200" s="6" t="n">
        <v>4000</v>
      </c>
      <c r="M200" s="6" t="n">
        <v>25</v>
      </c>
      <c r="N200" s="6" t="n">
        <v>1</v>
      </c>
      <c r="O200" s="6" t="n"/>
      <c r="P200" s="6" t="n">
        <v>5120</v>
      </c>
      <c r="Q200" s="6" t="n">
        <v>1</v>
      </c>
      <c r="R200">
        <f>M200+IF(N200&gt;1,N(O200)*(N200-1),0)</f>
        <v/>
      </c>
      <c r="S200">
        <f>IFERROR(L200*MAX(N200,1)/R200*IF(ISBLANK(K170),1,K170),0)</f>
        <v/>
      </c>
      <c r="AB200" s="7" t="inlineStr">
        <is>
          <t>^Warhead_MissileHE_Heavy, ^Warhead_MissileHE_Light</t>
        </is>
      </c>
    </row>
    <row r="201">
      <c r="B201" s="7" t="inlineStr">
        <is>
          <t xml:space="preserve">  ↳ RA2ThunderboltMissile_elite</t>
        </is>
      </c>
      <c r="C201" s="7" t="inlineStr">
        <is>
          <t>Armament@primaryeliteThunderbolt</t>
        </is>
      </c>
      <c r="L201" s="6" t="n">
        <v>4000</v>
      </c>
      <c r="M201" s="6" t="n">
        <v>25</v>
      </c>
      <c r="N201" s="6" t="n">
        <v>4</v>
      </c>
      <c r="O201" s="6" t="n"/>
      <c r="P201" s="6" t="n">
        <v>6760</v>
      </c>
      <c r="Q201" s="6" t="n">
        <v>1</v>
      </c>
      <c r="R201">
        <f>M201+IF(N201&gt;1,N(O201)*(N201-1),0)</f>
        <v/>
      </c>
      <c r="S201">
        <f>IFERROR(L201*MAX(N201,1)/R201*IF(ISBLANK(K170),1,K170),0)</f>
        <v/>
      </c>
      <c r="AB201" s="7" t="inlineStr">
        <is>
          <t>^Warhead_MissileHE_Heavy, ^Warhead_MissileHE_Light</t>
        </is>
      </c>
    </row>
    <row r="202">
      <c r="B202" s="7" t="inlineStr">
        <is>
          <t xml:space="preserve">  ↳ RA2ThunderboltMissile_AA</t>
        </is>
      </c>
      <c r="C202" s="7" t="inlineStr">
        <is>
          <t>Armament@primaryAAThunderbolt</t>
        </is>
      </c>
      <c r="L202" s="6" t="n">
        <v>4000</v>
      </c>
      <c r="M202" s="6" t="n">
        <v>25</v>
      </c>
      <c r="N202" s="6" t="n">
        <v>1</v>
      </c>
      <c r="O202" s="6" t="n"/>
      <c r="P202" s="6" t="n">
        <v>8640</v>
      </c>
      <c r="Q202" s="6" t="n">
        <v>1</v>
      </c>
      <c r="R202">
        <f>M202+IF(N202&gt;1,N(O202)*(N202-1),0)</f>
        <v/>
      </c>
      <c r="S202">
        <f>IFERROR(L202*MAX(N202,1)/R202*IF(ISBLANK(K170),1,K170),0)</f>
        <v/>
      </c>
      <c r="AB202" s="7" t="inlineStr">
        <is>
          <t>^Warhead_MissileHE_Heavy, ^Warhead_MissileHE_Light</t>
        </is>
      </c>
    </row>
    <row r="203">
      <c r="B203" s="7" t="inlineStr">
        <is>
          <t xml:space="preserve">  ↳ RA2ThunderboltMissile_AA_elite</t>
        </is>
      </c>
      <c r="C203" s="7" t="inlineStr">
        <is>
          <t>Armament@primaryeliteAAThunderbolt</t>
        </is>
      </c>
      <c r="L203" s="6" t="n">
        <v>4000</v>
      </c>
      <c r="M203" s="6" t="n">
        <v>25</v>
      </c>
      <c r="N203" s="6" t="n">
        <v>4</v>
      </c>
      <c r="O203" s="6" t="n"/>
      <c r="P203" s="6" t="n">
        <v>9640</v>
      </c>
      <c r="Q203" s="6" t="n">
        <v>1</v>
      </c>
      <c r="R203">
        <f>M203+IF(N203&gt;1,N(O203)*(N203-1),0)</f>
        <v/>
      </c>
      <c r="S203">
        <f>IFERROR(L203*MAX(N203,1)/R203*IF(ISBLANK(K170),1,K170),0)</f>
        <v/>
      </c>
      <c r="AB203" s="7" t="inlineStr">
        <is>
          <t>^Warhead_MissileHE_Heavy, ^Warhead_MissileHE_Light</t>
        </is>
      </c>
    </row>
    <row r="204">
      <c r="B204" s="7" t="inlineStr">
        <is>
          <t xml:space="preserve">  ↳ RA2MultiHoverMissile_elite</t>
        </is>
      </c>
      <c r="C204" s="7" t="inlineStr">
        <is>
          <t>Armament@missileelite</t>
        </is>
      </c>
      <c r="L204" s="6" t="n">
        <v>4000</v>
      </c>
      <c r="M204" s="6" t="n">
        <v>20</v>
      </c>
      <c r="N204" s="6" t="n">
        <v>4</v>
      </c>
      <c r="O204" s="6" t="n"/>
      <c r="P204" s="6" t="n">
        <v>7170</v>
      </c>
      <c r="Q204" s="6" t="n">
        <v>0.875</v>
      </c>
      <c r="R204">
        <f>M204+IF(N204&gt;1,N(O204)*(N204-1),0)</f>
        <v/>
      </c>
      <c r="S204">
        <f>IFERROR(L204*MAX(N204,1)/R204*IF(ISBLANK(K170),1,K170),0)</f>
        <v/>
      </c>
      <c r="AB204" s="7" t="inlineStr">
        <is>
          <t>^Warhead_CannonHE_Medium, ^Warhead_MissileHE_Light</t>
        </is>
      </c>
    </row>
    <row r="205">
      <c r="B205" s="7" t="inlineStr">
        <is>
          <t xml:space="preserve">  ↳ RA2MultiHoverMissile_AA</t>
        </is>
      </c>
      <c r="C205" s="7" t="inlineStr">
        <is>
          <t>Armament@missileAA</t>
        </is>
      </c>
      <c r="L205" s="6" t="n">
        <v>4000</v>
      </c>
      <c r="M205" s="6" t="n">
        <v>20</v>
      </c>
      <c r="N205" s="6" t="n">
        <v>4</v>
      </c>
      <c r="O205" s="6" t="n"/>
      <c r="P205" s="6" t="n">
        <v>9255</v>
      </c>
      <c r="Q205" s="6" t="n">
        <v>0.875</v>
      </c>
      <c r="R205">
        <f>M205+IF(N205&gt;1,N(O205)*(N205-1),0)</f>
        <v/>
      </c>
      <c r="S205">
        <f>IFERROR(L205*MAX(N205,1)/R205*IF(ISBLANK(K170),1,K170),0)</f>
        <v/>
      </c>
      <c r="AB205" s="7" t="inlineStr">
        <is>
          <t>^Warhead_CannonHE_Medium, ^Warhead_MissileHE_Light</t>
        </is>
      </c>
    </row>
    <row r="206">
      <c r="B206" s="7" t="inlineStr">
        <is>
          <t xml:space="preserve">  ↳ RA2MultiHoverMissile_AA_elite</t>
        </is>
      </c>
      <c r="C206" s="7" t="inlineStr">
        <is>
          <t>Armament@missileeliteAA</t>
        </is>
      </c>
      <c r="L206" s="6" t="n">
        <v>4000</v>
      </c>
      <c r="M206" s="6" t="n">
        <v>20</v>
      </c>
      <c r="N206" s="6" t="n">
        <v>4</v>
      </c>
      <c r="O206" s="6" t="n"/>
      <c r="P206" s="6" t="n">
        <v>10255</v>
      </c>
      <c r="Q206" s="6" t="n">
        <v>0.875</v>
      </c>
      <c r="R206">
        <f>M206+IF(N206&gt;1,N(O206)*(N206-1),0)</f>
        <v/>
      </c>
      <c r="S206">
        <f>IFERROR(L206*MAX(N206,1)/R206*IF(ISBLANK(K170),1,K170),0)</f>
        <v/>
      </c>
      <c r="AB206" s="7" t="inlineStr">
        <is>
          <t>^Warhead_CannonHE_Medium, ^Warhead_MissileHE_Light</t>
        </is>
      </c>
    </row>
    <row r="207">
      <c r="B207" s="7" t="inlineStr">
        <is>
          <t xml:space="preserve">  ↳ RA2MultiThunderboltMissile</t>
        </is>
      </c>
      <c r="C207" s="7" t="inlineStr">
        <is>
          <t>Armament@missileThunderbolt</t>
        </is>
      </c>
      <c r="L207" s="6" t="n">
        <v>4000</v>
      </c>
      <c r="M207" s="6" t="n">
        <v>25</v>
      </c>
      <c r="N207" s="6" t="n">
        <v>1</v>
      </c>
      <c r="O207" s="6" t="n"/>
      <c r="P207" s="6" t="n">
        <v>5120</v>
      </c>
      <c r="Q207" s="6" t="n">
        <v>1</v>
      </c>
      <c r="R207">
        <f>M207+IF(N207&gt;1,N(O207)*(N207-1),0)</f>
        <v/>
      </c>
      <c r="S207">
        <f>IFERROR(L207*MAX(N207,1)/R207*IF(ISBLANK(K170),1,K170),0)</f>
        <v/>
      </c>
      <c r="AB207" s="7" t="inlineStr">
        <is>
          <t>^Warhead_MissileHE_Heavy, ^Warhead_MissileHE_Light</t>
        </is>
      </c>
    </row>
    <row r="208">
      <c r="B208" s="7" t="inlineStr">
        <is>
          <t xml:space="preserve">  ↳ RA2MultiThunderboltMissile_elite</t>
        </is>
      </c>
      <c r="C208" s="7" t="inlineStr">
        <is>
          <t>Armament@missileeliteThunderbolt</t>
        </is>
      </c>
      <c r="L208" s="6" t="n">
        <v>4000</v>
      </c>
      <c r="M208" s="6" t="n">
        <v>25</v>
      </c>
      <c r="N208" s="6" t="n">
        <v>4</v>
      </c>
      <c r="O208" s="6" t="n"/>
      <c r="P208" s="6" t="n">
        <v>7170</v>
      </c>
      <c r="Q208" s="6" t="n">
        <v>1</v>
      </c>
      <c r="R208">
        <f>M208+IF(N208&gt;1,N(O208)*(N208-1),0)</f>
        <v/>
      </c>
      <c r="S208">
        <f>IFERROR(L208*MAX(N208,1)/R208*IF(ISBLANK(K170),1,K170),0)</f>
        <v/>
      </c>
      <c r="AB208" s="7" t="inlineStr">
        <is>
          <t>^Warhead_MissileHE_Heavy, ^Warhead_MissileHE_Light</t>
        </is>
      </c>
    </row>
    <row r="209">
      <c r="B209" s="7" t="inlineStr">
        <is>
          <t xml:space="preserve">  ↳ RA2MultiThunderboltMissile_AA</t>
        </is>
      </c>
      <c r="C209" s="7" t="inlineStr">
        <is>
          <t>Armament@missileAAThunderbolt</t>
        </is>
      </c>
      <c r="L209" s="6" t="n">
        <v>4000</v>
      </c>
      <c r="M209" s="6" t="n">
        <v>25</v>
      </c>
      <c r="N209" s="6" t="n">
        <v>1</v>
      </c>
      <c r="O209" s="6" t="n"/>
      <c r="P209" s="6" t="n">
        <v>9255</v>
      </c>
      <c r="Q209" s="6" t="n">
        <v>1</v>
      </c>
      <c r="R209">
        <f>M209+IF(N209&gt;1,N(O209)*(N209-1),0)</f>
        <v/>
      </c>
      <c r="S209">
        <f>IFERROR(L209*MAX(N209,1)/R209*IF(ISBLANK(K170),1,K170),0)</f>
        <v/>
      </c>
      <c r="AB209" s="7" t="inlineStr">
        <is>
          <t>^Warhead_MissileHE_Heavy, ^Warhead_MissileHE_Light</t>
        </is>
      </c>
    </row>
    <row r="210">
      <c r="B210" s="7" t="inlineStr">
        <is>
          <t xml:space="preserve">  ↳ RA2MultiThunderboltMissile_AA_elite</t>
        </is>
      </c>
      <c r="C210" s="7" t="inlineStr">
        <is>
          <t>Armament@missileeliteAAThunderbolt</t>
        </is>
      </c>
      <c r="L210" s="6" t="n">
        <v>4000</v>
      </c>
      <c r="M210" s="6" t="n">
        <v>25</v>
      </c>
      <c r="N210" s="6" t="n">
        <v>4</v>
      </c>
      <c r="O210" s="6" t="n"/>
      <c r="P210" s="6" t="n">
        <v>10255</v>
      </c>
      <c r="Q210" s="6" t="n">
        <v>1</v>
      </c>
      <c r="R210">
        <f>M210+IF(N210&gt;1,N(O210)*(N210-1),0)</f>
        <v/>
      </c>
      <c r="S210">
        <f>IFERROR(L210*MAX(N210,1)/R210*IF(ISBLANK(K170),1,K170),0)</f>
        <v/>
      </c>
      <c r="AB210" s="7" t="inlineStr">
        <is>
          <t>^Warhead_MissileHE_Heavy, ^Warhead_MissileHE_Light</t>
        </is>
      </c>
    </row>
    <row r="211">
      <c r="B211" s="7" t="inlineStr">
        <is>
          <t xml:space="preserve">  ↳ MedicHeal</t>
        </is>
      </c>
      <c r="C211" s="7" t="inlineStr">
        <is>
          <t>Armament@healer</t>
        </is>
      </c>
      <c r="L211" s="6" t="n">
        <v>-3000</v>
      </c>
      <c r="M211" s="6" t="n">
        <v>10</v>
      </c>
      <c r="N211" s="6" t="n">
        <v>1</v>
      </c>
      <c r="O211" s="6" t="n"/>
      <c r="P211" s="6" t="n">
        <v>6000</v>
      </c>
      <c r="Q211" s="6" t="n">
        <v>1</v>
      </c>
      <c r="R211">
        <f>M211+IF(N211&gt;1,N(O211)*(N211-1),0)</f>
        <v/>
      </c>
      <c r="S211">
        <f>IFERROR(L211*MAX(N211,1)/R211*IF(ISBLANK(K170),1,K170),0)</f>
        <v/>
      </c>
      <c r="AB211" s="7" t="inlineStr">
        <is>
          <t>^HealingWeapon</t>
        </is>
      </c>
    </row>
    <row r="212">
      <c r="B212" s="7" t="inlineStr">
        <is>
          <t xml:space="preserve">  ↳ RA2AWP</t>
        </is>
      </c>
      <c r="C212" s="7" t="inlineStr">
        <is>
          <t>Armament@ra1_allies_alliedsniper</t>
        </is>
      </c>
      <c r="L212" s="6" t="n">
        <v>44000</v>
      </c>
      <c r="M212" s="6" t="n">
        <v>54</v>
      </c>
      <c r="N212" s="6" t="n">
        <v>1</v>
      </c>
      <c r="O212" s="6" t="n"/>
      <c r="P212" s="6" t="n">
        <v>10000</v>
      </c>
      <c r="Q212" s="6" t="n">
        <v>0.75</v>
      </c>
      <c r="R212">
        <f>M212+IF(N212&gt;1,N(O212)*(N212-1),0)</f>
        <v/>
      </c>
      <c r="S212">
        <f>IFERROR(L212*MAX(N212,1)/R212*IF(ISBLANK(K170),1,K170),0)</f>
        <v/>
      </c>
      <c r="AB212" s="7" t="inlineStr">
        <is>
          <t>^Warhead_Sniper_Light</t>
        </is>
      </c>
    </row>
    <row r="213">
      <c r="A213" t="inlineStr">
        <is>
          <t>redalert2</t>
        </is>
      </c>
      <c r="B213" t="inlineStr">
        <is>
          <t>ra2_allies_ifv_hmg</t>
        </is>
      </c>
      <c r="C213" t="inlineStr">
        <is>
          <t>actor_fv.name</t>
        </is>
      </c>
      <c r="D213" s="6" t="inlineStr">
        <is>
          <t>ScoutVehicle</t>
        </is>
      </c>
      <c r="E213" s="6" t="n">
        <v>25000</v>
      </c>
      <c r="F213" s="6" t="n">
        <v>150</v>
      </c>
      <c r="G213" t="inlineStr">
        <is>
          <t>Scout</t>
        </is>
      </c>
      <c r="H213" s="6" t="n">
        <v>0.782</v>
      </c>
      <c r="I213" s="6" t="n">
        <v>1</v>
      </c>
      <c r="J213" s="6" t="n">
        <v>1</v>
      </c>
      <c r="K213" s="6" t="n"/>
      <c r="P213">
        <f>MAX(P214,P215,P216,P217,P218,P219,P220,P221,P222,P223,P224,P225,P226,P227,P228,P229,P230,P231,P232,P236,P237,P238,P239,P240,P241,P242,P243,P244,P245,P246,P247,P248,P249,P250,P251,P252,P253,P254,P255)</f>
        <v/>
      </c>
      <c r="S213">
        <f>S214+S215+S216+S217+S218+S219+S220+S221+S222+S223+S224+S225+S226+S227+S228+S229+S230+S231+S232+S236+S237+S238+S239+S240+S241+S242+S243+S244+S245+S246+S247+S248+S249+S250+S251+S252+S253+S254+S255</f>
        <v/>
      </c>
      <c r="T213">
        <f>(E213/100000+F213/100+(P213/1000)*J213/5+S213/200)*200*I213*H213</f>
        <v/>
      </c>
      <c r="U213">
        <f>((E213*F213/25000)+((P213/1000)*J213*S213/2.5))*I213*H213</f>
        <v/>
      </c>
      <c r="V213">
        <f>(E213*F213*(P213/1000)*J213*S213*I213*H213)/12500000</f>
        <v/>
      </c>
      <c r="W213">
        <f>(((E213/30000)+(F213/200)+(S213/450)+((P213/4500)*J213))*300/4+(((E213/30000)*(F213/200))+(((P213/4500)*J213)*(S213/450)))*300/2+((E213/30000)*(F213/200)*((P213/4500)*J213)*(S213/450))*300)*(H213/1.0)/3</f>
        <v/>
      </c>
      <c r="X213" s="6" t="n">
        <v>500</v>
      </c>
      <c r="Y213">
        <f>IFERROR(W213-X213,"")</f>
        <v/>
      </c>
      <c r="Z213">
        <f>IFERROR(ABS(Y213)/MAX(X213,1),"")</f>
        <v/>
      </c>
      <c r="AA213">
        <f>IFERROR(ROUND(((3*X213-(((E213/30000)+(F213/200)+(S213/450))*300/4+((E213/30000)*(F213/200))*300/2)*(H213/1.0))/(300/4+((S213/450))*300/2+((E213/30000)*(F213/200)*(S213/450))*300)*(H213/1.0)*4500)/J213,-1),"")</f>
        <v/>
      </c>
    </row>
    <row r="214">
      <c r="B214" s="7" t="inlineStr">
        <is>
          <t xml:space="preserve">  ↳ RA2CRM60</t>
        </is>
      </c>
      <c r="C214" s="7" t="inlineStr">
        <is>
          <t>Armament@mg</t>
        </is>
      </c>
      <c r="L214" s="6" t="n">
        <v>4000</v>
      </c>
      <c r="M214" s="6" t="n">
        <v>14</v>
      </c>
      <c r="N214" s="6" t="n">
        <v>4</v>
      </c>
      <c r="O214" s="6" t="n">
        <v>2</v>
      </c>
      <c r="P214" s="6" t="n">
        <v>5660</v>
      </c>
      <c r="Q214" s="6" t="n">
        <v>0.875</v>
      </c>
      <c r="R214">
        <f>M214+IF(N214&gt;1,N(O214)*(N214-1),0)</f>
        <v/>
      </c>
      <c r="S214">
        <f>IFERROR(L214*MAX(N214,1)/R214*IF(ISBLANK(K213),1,K213),0)</f>
        <v/>
      </c>
      <c r="AB214" s="7" t="inlineStr">
        <is>
          <t>^Warhead_Bullet_Light, ^Warhead_Bullet_Medium</t>
        </is>
      </c>
    </row>
    <row r="215">
      <c r="B215" s="7" t="inlineStr">
        <is>
          <t xml:space="preserve">  ↳ RA2CRM60H</t>
        </is>
      </c>
      <c r="C215" s="7" t="inlineStr">
        <is>
          <t>Armament@hmg</t>
        </is>
      </c>
      <c r="L215" s="6" t="n">
        <v>6000</v>
      </c>
      <c r="M215" s="6" t="n">
        <v>10</v>
      </c>
      <c r="N215" s="6" t="n">
        <v>6</v>
      </c>
      <c r="O215" s="6" t="n">
        <v>2</v>
      </c>
      <c r="P215" s="6" t="n">
        <v>4692</v>
      </c>
      <c r="Q215" s="6" t="n">
        <v>1.125</v>
      </c>
      <c r="R215">
        <f>M215+IF(N215&gt;1,N(O215)*(N215-1),0)</f>
        <v/>
      </c>
      <c r="S215">
        <f>IFERROR(L215*MAX(N215,1)/R215*IF(ISBLANK(K213),1,K213),0)</f>
        <v/>
      </c>
      <c r="AB215" s="7" t="inlineStr">
        <is>
          <t>^Warhead_CannonHE_Heavy, ^Warhead_Bullet_Medium</t>
        </is>
      </c>
    </row>
    <row r="216">
      <c r="B216" s="7" t="inlineStr">
        <is>
          <t xml:space="preserve">  ↳ wc_tower_fire</t>
        </is>
      </c>
      <c r="C216" s="7" t="inlineStr">
        <is>
          <t>Armament@archer</t>
        </is>
      </c>
      <c r="L216" s="6" t="n">
        <v>2500</v>
      </c>
      <c r="M216" s="6" t="n">
        <v>40</v>
      </c>
      <c r="N216" s="6" t="n">
        <v>1</v>
      </c>
      <c r="O216" s="6" t="n"/>
      <c r="P216" s="6" t="n">
        <v>8704</v>
      </c>
      <c r="Q216" s="6" t="n">
        <v>1</v>
      </c>
      <c r="R216">
        <f>M216+IF(N216&gt;1,N(O216)*(N216-1),0)</f>
        <v/>
      </c>
      <c r="S216">
        <f>IFERROR(L216*MAX(N216,1)/R216*IF(ISBLANK(K213),1,K213),0)</f>
        <v/>
      </c>
      <c r="AB216" s="7" t="inlineStr">
        <is>
          <t>bowFire</t>
        </is>
      </c>
    </row>
    <row r="217">
      <c r="B217" s="7" t="inlineStr">
        <is>
          <t xml:space="preserve">  ↳ RA2IFVRepair</t>
        </is>
      </c>
      <c r="C217" s="7" t="inlineStr">
        <is>
          <t>Armament@repair</t>
        </is>
      </c>
      <c r="L217" s="6" t="n">
        <v>-3000</v>
      </c>
      <c r="M217" s="6" t="n">
        <v>50</v>
      </c>
      <c r="N217" s="6" t="n">
        <v>10</v>
      </c>
      <c r="O217" s="6" t="n">
        <v>1</v>
      </c>
      <c r="P217" s="6" t="n">
        <v>5000</v>
      </c>
      <c r="Q217" s="6" t="n">
        <v>1</v>
      </c>
      <c r="R217">
        <f>M217+IF(N217&gt;1,N(O217)*(N217-1),0)</f>
        <v/>
      </c>
      <c r="S217">
        <f>IFERROR(L217*MAX(N217,1)/R217*IF(ISBLANK(K213),1,K213),0)</f>
        <v/>
      </c>
      <c r="AB217" s="7" t="inlineStr">
        <is>
          <t>^RepairWeapon</t>
        </is>
      </c>
    </row>
    <row r="218">
      <c r="B218" s="7" t="inlineStr">
        <is>
          <t xml:space="preserve">  ↳ LightSniper</t>
        </is>
      </c>
      <c r="C218" s="7" t="inlineStr">
        <is>
          <t>Armament@lightsniper</t>
        </is>
      </c>
      <c r="L218" s="6" t="n">
        <v>30000</v>
      </c>
      <c r="M218" s="6" t="n">
        <v>100</v>
      </c>
      <c r="N218" s="6" t="n">
        <v>1</v>
      </c>
      <c r="O218" s="6" t="n"/>
      <c r="P218" s="6" t="n">
        <v>9153</v>
      </c>
      <c r="Q218" s="6" t="n">
        <v>0.75</v>
      </c>
      <c r="R218">
        <f>M218+IF(N218&gt;1,N(O218)*(N218-1),0)</f>
        <v/>
      </c>
      <c r="S218">
        <f>IFERROR(L218*MAX(N218,1)/R218*IF(ISBLANK(K213),1,K213),0)</f>
        <v/>
      </c>
      <c r="AB218" s="7" t="inlineStr">
        <is>
          <t>^Warhead_Sniper_Light</t>
        </is>
      </c>
    </row>
    <row r="219">
      <c r="B219" s="7" t="inlineStr">
        <is>
          <t xml:space="preserve">  ↳ RA2DoublePistolsIFV</t>
        </is>
      </c>
      <c r="C219" s="7" t="inlineStr">
        <is>
          <t>Armament@hero</t>
        </is>
      </c>
      <c r="L219" s="6" t="n">
        <v>14000</v>
      </c>
      <c r="M219" s="6" t="n">
        <v>12</v>
      </c>
      <c r="N219" s="6" t="n">
        <v>2</v>
      </c>
      <c r="O219" s="6" t="n">
        <v>3</v>
      </c>
      <c r="P219" s="6" t="n">
        <v>8000</v>
      </c>
      <c r="Q219" s="6" t="n">
        <v>0.75</v>
      </c>
      <c r="R219">
        <f>M219+IF(N219&gt;1,N(O219)*(N219-1),0)</f>
        <v/>
      </c>
      <c r="S219">
        <f>IFERROR(L219*MAX(N219,1)/R219*IF(ISBLANK(K213),1,K213),0)</f>
        <v/>
      </c>
      <c r="AB219" s="7" t="inlineStr">
        <is>
          <t>^Warhead_Sniper_Light</t>
        </is>
      </c>
    </row>
    <row r="220">
      <c r="B220" s="7" t="inlineStr">
        <is>
          <t xml:space="preserve">  ↳ TTankZap</t>
        </is>
      </c>
      <c r="C220" s="7" t="inlineStr">
        <is>
          <t>Armament@tesla</t>
        </is>
      </c>
      <c r="L220" s="6" t="n">
        <v>40000</v>
      </c>
      <c r="M220" s="6" t="n">
        <v>80</v>
      </c>
      <c r="N220" s="6" t="n">
        <v>1</v>
      </c>
      <c r="O220" s="6" t="n"/>
      <c r="P220" s="6" t="n">
        <v>7300</v>
      </c>
      <c r="Q220" s="6" t="n">
        <v>1.25</v>
      </c>
      <c r="R220">
        <f>M220+IF(N220&gt;1,N(O220)*(N220-1),0)</f>
        <v/>
      </c>
      <c r="S220">
        <f>IFERROR(L220*MAX(N220,1)/R220*IF(ISBLANK(K213),1,K213),0)</f>
        <v/>
      </c>
      <c r="AB220" s="7" t="inlineStr">
        <is>
          <t>^Warhead_Tesla_Heavy</t>
        </is>
      </c>
    </row>
    <row r="221">
      <c r="B221" s="7" t="inlineStr">
        <is>
          <t xml:space="preserve">  ↳ DragunovSniper</t>
        </is>
      </c>
      <c r="C221" s="7" t="inlineStr">
        <is>
          <t>Armament@flak</t>
        </is>
      </c>
      <c r="L221" s="6" t="n">
        <v>400000</v>
      </c>
      <c r="M221" s="6" t="n">
        <v>85</v>
      </c>
      <c r="N221" s="6" t="n">
        <v>1</v>
      </c>
      <c r="O221" s="6" t="n"/>
      <c r="P221" s="6" t="n">
        <v>5804</v>
      </c>
      <c r="Q221" s="6" t="n">
        <v>1</v>
      </c>
      <c r="R221">
        <f>M221+IF(N221&gt;1,N(O221)*(N221-1),0)</f>
        <v/>
      </c>
      <c r="S221">
        <f>IFERROR(L221*MAX(N221,1)/R221*IF(ISBLANK(K213),1,K213),0)</f>
        <v/>
      </c>
      <c r="AB221" s="7" t="inlineStr">
        <is>
          <t>^TankDestroyerCannon, ^RailgunWeapon, ^LightMissile, ^HeavyCannon, ^FlakWeapon</t>
        </is>
      </c>
    </row>
    <row r="222">
      <c r="B222" s="7" t="inlineStr">
        <is>
          <t xml:space="preserve">  ↳ RA2MirageGun</t>
        </is>
      </c>
      <c r="C222" s="7" t="inlineStr">
        <is>
          <t>Armament@cannon</t>
        </is>
      </c>
      <c r="L222" s="6" t="n">
        <v>24000</v>
      </c>
      <c r="M222" s="6" t="n">
        <v>39</v>
      </c>
      <c r="N222" s="6" t="n">
        <v>1</v>
      </c>
      <c r="O222" s="6" t="n"/>
      <c r="P222" s="6" t="n">
        <v>6031</v>
      </c>
      <c r="Q222" s="6" t="n">
        <v>0.75</v>
      </c>
      <c r="R222">
        <f>M222+IF(N222&gt;1,N(O222)*(N222-1),0)</f>
        <v/>
      </c>
      <c r="S222">
        <f>IFERROR(L222*MAX(N222,1)/R222*IF(ISBLANK(K213),1,K213),0)</f>
        <v/>
      </c>
      <c r="AB222" s="7" t="inlineStr">
        <is>
          <t>^Warhead_CannonAP_Light</t>
        </is>
      </c>
    </row>
    <row r="223">
      <c r="B223" s="7" t="inlineStr">
        <is>
          <t xml:space="preserve">  ↳ Grenade</t>
        </is>
      </c>
      <c r="C223" s="7" t="inlineStr">
        <is>
          <t>Armament@grenade</t>
        </is>
      </c>
      <c r="L223" s="6" t="n">
        <v>16000</v>
      </c>
      <c r="M223" s="6" t="n">
        <v>42</v>
      </c>
      <c r="N223" s="6" t="n">
        <v>1</v>
      </c>
      <c r="O223" s="6" t="n"/>
      <c r="P223" s="6" t="n">
        <v>6097</v>
      </c>
      <c r="Q223" s="6" t="n">
        <v>0.75</v>
      </c>
      <c r="R223">
        <f>M223+IF(N223&gt;1,N(O223)*(N223-1),0)</f>
        <v/>
      </c>
      <c r="S223">
        <f>IFERROR(L223*MAX(N223,1)/R223*IF(ISBLANK(K213),1,K213),0)</f>
        <v/>
      </c>
      <c r="AB223" s="7" t="inlineStr">
        <is>
          <t>^Warhead_Demolition_Light</t>
        </is>
      </c>
    </row>
    <row r="224">
      <c r="B224" s="7" t="inlineStr">
        <is>
          <t xml:space="preserve">  ↳ DRPlasmaTankWeapon</t>
        </is>
      </c>
      <c r="C224" s="7" t="inlineStr">
        <is>
          <t>Armament@plasma</t>
        </is>
      </c>
      <c r="L224" s="6" t="n">
        <v>6250</v>
      </c>
      <c r="M224" s="6" t="n">
        <v>21</v>
      </c>
      <c r="N224" s="6" t="n">
        <v>1</v>
      </c>
      <c r="O224" s="6" t="n"/>
      <c r="P224" s="6" t="n">
        <v>5120</v>
      </c>
      <c r="Q224" s="6" t="n">
        <v>1</v>
      </c>
      <c r="R224">
        <f>M224+IF(N224&gt;1,N(O224)*(N224-1),0)</f>
        <v/>
      </c>
      <c r="S224">
        <f>IFERROR(L224*MAX(N224,1)/R224*IF(ISBLANK(K213),1,K213),0)</f>
        <v/>
      </c>
      <c r="AB224" s="7" t="inlineStr">
        <is>
          <t>^DRPlasmaWeapon</t>
        </is>
      </c>
    </row>
    <row r="225">
      <c r="B225" s="7" t="inlineStr">
        <is>
          <t xml:space="preserve">  ↳ SWLaserG</t>
        </is>
      </c>
      <c r="C225" s="7" t="inlineStr">
        <is>
          <t>Armament@litlaser</t>
        </is>
      </c>
      <c r="L225" s="6" t="n">
        <v>2000</v>
      </c>
      <c r="M225" s="6" t="n">
        <v>30</v>
      </c>
      <c r="N225" s="6" t="n">
        <v>6</v>
      </c>
      <c r="O225" s="6" t="n"/>
      <c r="P225" s="6" t="n">
        <v>6144</v>
      </c>
      <c r="Q225" s="6" t="n">
        <v>1</v>
      </c>
      <c r="R225">
        <f>M225+IF(N225&gt;1,N(O225)*(N225-1),0)</f>
        <v/>
      </c>
      <c r="S225">
        <f>IFERROR(L225*MAX(N225,1)/R225*IF(ISBLANK(K213),1,K213),0)</f>
        <v/>
      </c>
      <c r="AB225" s="7" t="inlineStr">
        <is>
          <t>SWLaser</t>
        </is>
      </c>
    </row>
    <row r="226">
      <c r="B226" s="7" t="inlineStr">
        <is>
          <t xml:space="preserve">  ↳ USALaserCannonAG</t>
        </is>
      </c>
      <c r="C226" s="7" t="inlineStr">
        <is>
          <t>Armament@medlaser</t>
        </is>
      </c>
      <c r="L226" s="6" t="n">
        <v>4000</v>
      </c>
      <c r="M226" s="6" t="n">
        <v>50</v>
      </c>
      <c r="N226" s="6" t="n">
        <v>3</v>
      </c>
      <c r="O226" s="6" t="n">
        <v>6</v>
      </c>
      <c r="P226" s="6" t="n">
        <v>7168</v>
      </c>
      <c r="Q226" s="6" t="n">
        <v>1</v>
      </c>
      <c r="R226">
        <f>M226+IF(N226&gt;1,N(O226)*(N226-1),0)</f>
        <v/>
      </c>
      <c r="S226">
        <f>IFERROR(L226*MAX(N226,1)/R226*IF(ISBLANK(K213),1,K213),0)</f>
        <v/>
      </c>
      <c r="AB226" s="7" t="inlineStr">
        <is>
          <t>^AntiGroundMissile</t>
        </is>
      </c>
    </row>
    <row r="227">
      <c r="B227" s="7" t="inlineStr">
        <is>
          <t xml:space="preserve">  ↳ SWGreenLaserG</t>
        </is>
      </c>
      <c r="C227" s="7" t="inlineStr">
        <is>
          <t>Armament@greenlaser</t>
        </is>
      </c>
      <c r="L227" s="6" t="n">
        <v>5000</v>
      </c>
      <c r="M227" s="6" t="n">
        <v>75</v>
      </c>
      <c r="N227" s="6" t="n">
        <v>1</v>
      </c>
      <c r="O227" s="6" t="n"/>
      <c r="P227" s="6" t="n">
        <v>7168</v>
      </c>
      <c r="Q227" s="6" t="n">
        <v>1</v>
      </c>
      <c r="R227">
        <f>M227+IF(N227&gt;1,N(O227)*(N227-1),0)</f>
        <v/>
      </c>
      <c r="S227">
        <f>IFERROR(L227*MAX(N227,1)/R227*IF(ISBLANK(K213),1,K213),0)</f>
        <v/>
      </c>
      <c r="AB227" s="7" t="inlineStr">
        <is>
          <t>SWGreenLaser</t>
        </is>
      </c>
    </row>
    <row r="228">
      <c r="B228" s="7" t="inlineStr">
        <is>
          <t xml:space="preserve">  ↳ SWGBigRedLaserG</t>
        </is>
      </c>
      <c r="C228" s="7" t="inlineStr">
        <is>
          <t>Armament@misslaser</t>
        </is>
      </c>
      <c r="L228" s="6" t="n">
        <v>4000</v>
      </c>
      <c r="M228" s="6" t="n">
        <v>75</v>
      </c>
      <c r="N228" s="6" t="n">
        <v>1</v>
      </c>
      <c r="O228" s="6" t="n"/>
      <c r="P228" s="6" t="n">
        <v>8192</v>
      </c>
      <c r="Q228" s="6" t="n">
        <v>1</v>
      </c>
      <c r="R228">
        <f>M228+IF(N228&gt;1,N(O228)*(N228-1),0)</f>
        <v/>
      </c>
      <c r="S228">
        <f>IFERROR(L228*MAX(N228,1)/R228*IF(ISBLANK(K213),1,K213),0)</f>
        <v/>
      </c>
      <c r="AB228" s="7" t="inlineStr">
        <is>
          <t>SWrBigRedLaser</t>
        </is>
      </c>
    </row>
    <row r="229">
      <c r="B229" s="7" t="inlineStr">
        <is>
          <t xml:space="preserve">  ↳ BigFlamer</t>
        </is>
      </c>
      <c r="C229" s="7" t="inlineStr">
        <is>
          <t>Armament@fire</t>
        </is>
      </c>
      <c r="L229" s="6" t="n">
        <v>14000</v>
      </c>
      <c r="M229" s="6" t="n">
        <v>50</v>
      </c>
      <c r="N229" s="6" t="n">
        <v>2</v>
      </c>
      <c r="O229" s="6" t="n">
        <v>10</v>
      </c>
      <c r="P229" s="6" t="n">
        <v>2390</v>
      </c>
      <c r="Q229" s="6" t="n">
        <v>1</v>
      </c>
      <c r="R229">
        <f>M229+IF(N229&gt;1,N(O229)*(N229-1),0)</f>
        <v/>
      </c>
      <c r="S229">
        <f>IFERROR(L229*MAX(N229,1)/R229*IF(ISBLANK(K213),1,K213),0)</f>
        <v/>
      </c>
      <c r="AB229" s="7" t="inlineStr">
        <is>
          <t>^Warhead_Flame_Medium</t>
        </is>
      </c>
    </row>
    <row r="230">
      <c r="B230" s="7" t="inlineStr">
        <is>
          <t xml:space="preserve">  ↳ RA2RadBeamWeapon</t>
        </is>
      </c>
      <c r="C230" s="7" t="inlineStr">
        <is>
          <t>Armament@chem</t>
        </is>
      </c>
      <c r="L230" s="6" t="n">
        <v>30000</v>
      </c>
      <c r="M230" s="6" t="n">
        <v>45</v>
      </c>
      <c r="N230" s="6" t="n">
        <v>1</v>
      </c>
      <c r="O230" s="6" t="n"/>
      <c r="P230" s="6" t="n">
        <v>6444</v>
      </c>
      <c r="Q230" s="6" t="n">
        <v>1</v>
      </c>
      <c r="R230">
        <f>M230+IF(N230&gt;1,N(O230)*(N230-1),0)</f>
        <v/>
      </c>
      <c r="S230">
        <f>IFERROR(L230*MAX(N230,1)/R230*IF(ISBLANK(K213),1,K213),0)</f>
        <v/>
      </c>
      <c r="AB230" s="7" t="inlineStr">
        <is>
          <t>^Warhead_Chemical_Medium</t>
        </is>
      </c>
    </row>
    <row r="231">
      <c r="B231" s="7" t="inlineStr">
        <is>
          <t xml:space="preserve">  ↳ RA2RadBeamWeapon</t>
        </is>
      </c>
      <c r="C231" s="7" t="inlineStr">
        <is>
          <t>Armament@thrax</t>
        </is>
      </c>
      <c r="L231" s="6" t="n">
        <v>30000</v>
      </c>
      <c r="M231" s="6" t="n">
        <v>45</v>
      </c>
      <c r="N231" s="6" t="n">
        <v>1</v>
      </c>
      <c r="O231" s="6" t="n"/>
      <c r="P231" s="6" t="n">
        <v>6444</v>
      </c>
      <c r="Q231" s="6" t="n">
        <v>1</v>
      </c>
      <c r="R231">
        <f>M231+IF(N231&gt;1,N(O231)*(N231-1),0)</f>
        <v/>
      </c>
      <c r="S231">
        <f>IFERROR(L231*MAX(N231,1)/R231*IF(ISBLANK(K213),1,K213),0)</f>
        <v/>
      </c>
      <c r="AB231" s="7" t="inlineStr">
        <is>
          <t>^Warhead_Chemical_Medium</t>
        </is>
      </c>
    </row>
    <row r="232">
      <c r="B232" s="7" t="inlineStr">
        <is>
          <t xml:space="preserve">  ↳ RA2MultiHoverMissile</t>
        </is>
      </c>
      <c r="C232" s="7" t="inlineStr">
        <is>
          <t>Armament@missile</t>
        </is>
      </c>
      <c r="L232" s="6" t="n">
        <v>4000</v>
      </c>
      <c r="M232" s="6" t="n">
        <v>20</v>
      </c>
      <c r="N232" s="6" t="n">
        <v>4</v>
      </c>
      <c r="O232" s="6" t="n"/>
      <c r="P232" s="6" t="n">
        <v>6170</v>
      </c>
      <c r="Q232" s="6" t="n">
        <v>0.875</v>
      </c>
      <c r="R232">
        <f>M232+IF(N232&gt;1,N(O232)*(N232-1),0)</f>
        <v/>
      </c>
      <c r="S232">
        <f>IFERROR(L232*MAX(N232,1)/R232*IF(ISBLANK(K213),1,K213),0)</f>
        <v/>
      </c>
      <c r="AB232" s="7" t="inlineStr">
        <is>
          <t>^Warhead_CannonHE_Medium, ^Warhead_MissileHE_Light</t>
        </is>
      </c>
    </row>
    <row r="233">
      <c r="B233" s="7" t="inlineStr">
        <is>
          <t xml:space="preserve">  ↳ IFVChronoBeam</t>
        </is>
      </c>
      <c r="C233" s="7" t="inlineStr">
        <is>
          <t>Armament@chrono</t>
        </is>
      </c>
      <c r="L233" s="6" t="n"/>
      <c r="M233" s="6" t="n">
        <v>1</v>
      </c>
      <c r="N233" s="6" t="n">
        <v>1</v>
      </c>
      <c r="O233" s="6" t="n"/>
      <c r="P233" s="6" t="n">
        <v>7500</v>
      </c>
      <c r="Q233" s="6" t="n">
        <v>1</v>
      </c>
      <c r="R233">
        <f>M233+IF(N233&gt;1,N(O233)*(N233-1),0)</f>
        <v/>
      </c>
      <c r="S233">
        <f>IFERROR(L233*MAX(N233,1)/R233*IF(ISBLANK(K213),1,K213),0)</f>
        <v/>
      </c>
      <c r="AB233" s="7" t="inlineStr">
        <is>
          <t>ChronoBeam</t>
        </is>
      </c>
    </row>
    <row r="234">
      <c r="B234" s="7" t="inlineStr">
        <is>
          <t xml:space="preserve">  ↳ IFVChronoSound</t>
        </is>
      </c>
      <c r="C234" s="7" t="inlineStr">
        <is>
          <t>Armament@chronosound</t>
        </is>
      </c>
      <c r="L234" s="6" t="n"/>
      <c r="M234" s="6" t="n">
        <v>180</v>
      </c>
      <c r="N234" s="6" t="n">
        <v>1</v>
      </c>
      <c r="O234" s="6" t="n"/>
      <c r="P234" s="6" t="n">
        <v>8000</v>
      </c>
      <c r="Q234" s="6" t="n">
        <v>1</v>
      </c>
      <c r="R234">
        <f>M234+IF(N234&gt;1,N(O234)*(N234-1),0)</f>
        <v/>
      </c>
      <c r="S234">
        <f>IFERROR(L234*MAX(N234,1)/R234*IF(ISBLANK(K213),1,K213),0)</f>
        <v/>
      </c>
      <c r="AB234" s="7" t="inlineStr">
        <is>
          <t>RA2ChronoTele</t>
        </is>
      </c>
    </row>
    <row r="235">
      <c r="B235" s="7" t="inlineStr">
        <is>
          <t xml:space="preserve">  ↳ DemoTruckTargeting</t>
        </is>
      </c>
      <c r="C235" s="7" t="inlineStr">
        <is>
          <t>Armament@ivan</t>
        </is>
      </c>
      <c r="L235" s="6" t="n"/>
      <c r="M235" s="6" t="n"/>
      <c r="N235" s="6" t="n">
        <v>1</v>
      </c>
      <c r="O235" s="6" t="n"/>
      <c r="P235" s="6" t="n">
        <v>2000</v>
      </c>
      <c r="Q235" s="6" t="n">
        <v>1</v>
      </c>
      <c r="R235">
        <f>M235+IF(N235&gt;1,N(O235)*(N235-1),0)</f>
        <v/>
      </c>
      <c r="S235">
        <f>IFERROR(L235*MAX(N235,1)/R235*IF(ISBLANK(K213),1,K213),0)</f>
        <v/>
      </c>
      <c r="AB235" s="7" t="inlineStr"/>
    </row>
    <row r="236">
      <c r="B236" s="7" t="inlineStr">
        <is>
          <t xml:space="preserve">  ↳ Fremen_L</t>
        </is>
      </c>
      <c r="C236" s="7" t="inlineStr">
        <is>
          <t>Armament@fremen</t>
        </is>
      </c>
      <c r="L236" s="6" t="n">
        <v>3000</v>
      </c>
      <c r="M236" s="6" t="n">
        <v>25</v>
      </c>
      <c r="N236" s="6" t="n">
        <v>1</v>
      </c>
      <c r="O236" s="6" t="n"/>
      <c r="P236" s="6" t="n">
        <v>2560</v>
      </c>
      <c r="Q236" s="6" t="n">
        <v>1</v>
      </c>
      <c r="R236">
        <f>M236+IF(N236&gt;1,N(O236)*(N236-1),0)</f>
        <v/>
      </c>
      <c r="S236">
        <f>IFERROR(L236*MAX(N236,1)/R236*IF(ISBLANK(K213),1,K213),0)</f>
        <v/>
      </c>
      <c r="AB236" s="7" t="inlineStr">
        <is>
          <t>M_HMG</t>
        </is>
      </c>
    </row>
    <row r="237">
      <c r="B237" s="7" t="inlineStr">
        <is>
          <t xml:space="preserve">  ↳ TSSonicZap</t>
        </is>
      </c>
      <c r="C237" s="7" t="inlineStr">
        <is>
          <t>Armament@sonic</t>
        </is>
      </c>
      <c r="L237" s="6" t="n">
        <v>5000</v>
      </c>
      <c r="M237" s="6" t="n">
        <v>60</v>
      </c>
      <c r="N237" s="6" t="n">
        <v>1</v>
      </c>
      <c r="O237" s="6" t="n"/>
      <c r="P237" s="6" t="n">
        <v>6144</v>
      </c>
      <c r="Q237" s="6" t="n">
        <v>1</v>
      </c>
      <c r="R237">
        <f>M237+IF(N237&gt;1,N(O237)*(N237-1),0)</f>
        <v/>
      </c>
      <c r="S237">
        <f>IFERROR(L237*MAX(N237,1)/R237*IF(ISBLANK(K213),1,K213),0)</f>
        <v/>
      </c>
      <c r="AB237" s="7" t="inlineStr"/>
    </row>
    <row r="238">
      <c r="B238" s="7" t="inlineStr">
        <is>
          <t xml:space="preserve">  ↳ MedicHeal</t>
        </is>
      </c>
      <c r="C238" s="7" t="inlineStr">
        <is>
          <t>Armament@heal</t>
        </is>
      </c>
      <c r="L238" s="6" t="n">
        <v>-3000</v>
      </c>
      <c r="M238" s="6" t="n">
        <v>10</v>
      </c>
      <c r="N238" s="6" t="n">
        <v>1</v>
      </c>
      <c r="O238" s="6" t="n"/>
      <c r="P238" s="6" t="n">
        <v>6000</v>
      </c>
      <c r="Q238" s="6" t="n">
        <v>1</v>
      </c>
      <c r="R238">
        <f>M238+IF(N238&gt;1,N(O238)*(N238-1),0)</f>
        <v/>
      </c>
      <c r="S238">
        <f>IFERROR(L238*MAX(N238,1)/R238*IF(ISBLANK(K213),1,K213),0)</f>
        <v/>
      </c>
      <c r="AB238" s="7" t="inlineStr">
        <is>
          <t>^HealingWeapon</t>
        </is>
      </c>
    </row>
    <row r="239">
      <c r="B239" s="7" t="inlineStr">
        <is>
          <t xml:space="preserve">  ↳ RA2HoverMissile</t>
        </is>
      </c>
      <c r="C239" s="7" t="inlineStr">
        <is>
          <t>Armament@primary</t>
        </is>
      </c>
      <c r="L239" s="6" t="n">
        <v>12000</v>
      </c>
      <c r="M239" s="6" t="n">
        <v>28</v>
      </c>
      <c r="N239" s="6" t="n">
        <v>2</v>
      </c>
      <c r="O239" s="6" t="n">
        <v>4</v>
      </c>
      <c r="P239" s="6" t="n">
        <v>5760</v>
      </c>
      <c r="Q239" s="6" t="n">
        <v>0.75</v>
      </c>
      <c r="R239">
        <f>M239+IF(N239&gt;1,N(O239)*(N239-1),0)</f>
        <v/>
      </c>
      <c r="S239">
        <f>IFERROR(L239*MAX(N239,1)/R239*IF(ISBLANK(K213),1,K213),0)</f>
        <v/>
      </c>
      <c r="AB239" s="7" t="inlineStr">
        <is>
          <t>^Warhead_Arrow_Light, ^Warhead_MissileAP_Light</t>
        </is>
      </c>
    </row>
    <row r="240">
      <c r="B240" s="7" t="inlineStr">
        <is>
          <t xml:space="preserve">  ↳ RA2HoverMissile_elite</t>
        </is>
      </c>
      <c r="C240" s="7" t="inlineStr">
        <is>
          <t>Armament@primaryelite</t>
        </is>
      </c>
      <c r="L240" s="6" t="n">
        <v>12000</v>
      </c>
      <c r="M240" s="6" t="n">
        <v>28</v>
      </c>
      <c r="N240" s="6" t="n">
        <v>4</v>
      </c>
      <c r="O240" s="6" t="n">
        <v>4</v>
      </c>
      <c r="P240" s="6" t="n">
        <v>6760</v>
      </c>
      <c r="Q240" s="6" t="n">
        <v>0.75</v>
      </c>
      <c r="R240">
        <f>M240+IF(N240&gt;1,N(O240)*(N240-1),0)</f>
        <v/>
      </c>
      <c r="S240">
        <f>IFERROR(L240*MAX(N240,1)/R240*IF(ISBLANK(K213),1,K213),0)</f>
        <v/>
      </c>
      <c r="AB240" s="7" t="inlineStr">
        <is>
          <t>^Warhead_Arrow_Light, ^Warhead_MissileAP_Light</t>
        </is>
      </c>
    </row>
    <row r="241">
      <c r="B241" s="7" t="inlineStr">
        <is>
          <t xml:space="preserve">  ↳ RA2HoverMissile_AA</t>
        </is>
      </c>
      <c r="C241" s="7" t="inlineStr">
        <is>
          <t>Armament@primaryAA</t>
        </is>
      </c>
      <c r="L241" s="6" t="n">
        <v>12000</v>
      </c>
      <c r="M241" s="6" t="n">
        <v>28</v>
      </c>
      <c r="N241" s="6" t="n">
        <v>2</v>
      </c>
      <c r="O241" s="6" t="n">
        <v>4</v>
      </c>
      <c r="P241" s="6" t="n">
        <v>8640</v>
      </c>
      <c r="Q241" s="6" t="n">
        <v>0.75</v>
      </c>
      <c r="R241">
        <f>M241+IF(N241&gt;1,N(O241)*(N241-1),0)</f>
        <v/>
      </c>
      <c r="S241">
        <f>IFERROR(L241*MAX(N241,1)/R241*IF(ISBLANK(K213),1,K213),0)</f>
        <v/>
      </c>
      <c r="AB241" s="7" t="inlineStr">
        <is>
          <t>^Warhead_Arrow_Light, ^Warhead_MissileAP_Light</t>
        </is>
      </c>
    </row>
    <row r="242">
      <c r="B242" s="7" t="inlineStr">
        <is>
          <t xml:space="preserve">  ↳ RA2HoverMissile_AA_elite</t>
        </is>
      </c>
      <c r="C242" s="7" t="inlineStr">
        <is>
          <t>Armament@primaryeliteAA</t>
        </is>
      </c>
      <c r="L242" s="6" t="n">
        <v>12000</v>
      </c>
      <c r="M242" s="6" t="n">
        <v>28</v>
      </c>
      <c r="N242" s="6" t="n">
        <v>4</v>
      </c>
      <c r="O242" s="6" t="n">
        <v>4</v>
      </c>
      <c r="P242" s="6" t="n">
        <v>9640</v>
      </c>
      <c r="Q242" s="6" t="n">
        <v>0.75</v>
      </c>
      <c r="R242">
        <f>M242+IF(N242&gt;1,N(O242)*(N242-1),0)</f>
        <v/>
      </c>
      <c r="S242">
        <f>IFERROR(L242*MAX(N242,1)/R242*IF(ISBLANK(K213),1,K213),0)</f>
        <v/>
      </c>
      <c r="AB242" s="7" t="inlineStr">
        <is>
          <t>^Warhead_Arrow_Light, ^Warhead_MissileAP_Light</t>
        </is>
      </c>
    </row>
    <row r="243">
      <c r="B243" s="7" t="inlineStr">
        <is>
          <t xml:space="preserve">  ↳ RA2ThunderboltMissile</t>
        </is>
      </c>
      <c r="C243" s="7" t="inlineStr">
        <is>
          <t>Armament@primaryThunderbolt</t>
        </is>
      </c>
      <c r="L243" s="6" t="n">
        <v>4000</v>
      </c>
      <c r="M243" s="6" t="n">
        <v>25</v>
      </c>
      <c r="N243" s="6" t="n">
        <v>1</v>
      </c>
      <c r="O243" s="6" t="n"/>
      <c r="P243" s="6" t="n">
        <v>5120</v>
      </c>
      <c r="Q243" s="6" t="n">
        <v>1</v>
      </c>
      <c r="R243">
        <f>M243+IF(N243&gt;1,N(O243)*(N243-1),0)</f>
        <v/>
      </c>
      <c r="S243">
        <f>IFERROR(L243*MAX(N243,1)/R243*IF(ISBLANK(K213),1,K213),0)</f>
        <v/>
      </c>
      <c r="AB243" s="7" t="inlineStr">
        <is>
          <t>^Warhead_MissileHE_Heavy, ^Warhead_MissileHE_Light</t>
        </is>
      </c>
    </row>
    <row r="244">
      <c r="B244" s="7" t="inlineStr">
        <is>
          <t xml:space="preserve">  ↳ RA2ThunderboltMissile_elite</t>
        </is>
      </c>
      <c r="C244" s="7" t="inlineStr">
        <is>
          <t>Armament@primaryeliteThunderbolt</t>
        </is>
      </c>
      <c r="L244" s="6" t="n">
        <v>4000</v>
      </c>
      <c r="M244" s="6" t="n">
        <v>25</v>
      </c>
      <c r="N244" s="6" t="n">
        <v>4</v>
      </c>
      <c r="O244" s="6" t="n"/>
      <c r="P244" s="6" t="n">
        <v>6760</v>
      </c>
      <c r="Q244" s="6" t="n">
        <v>1</v>
      </c>
      <c r="R244">
        <f>M244+IF(N244&gt;1,N(O244)*(N244-1),0)</f>
        <v/>
      </c>
      <c r="S244">
        <f>IFERROR(L244*MAX(N244,1)/R244*IF(ISBLANK(K213),1,K213),0)</f>
        <v/>
      </c>
      <c r="AB244" s="7" t="inlineStr">
        <is>
          <t>^Warhead_MissileHE_Heavy, ^Warhead_MissileHE_Light</t>
        </is>
      </c>
    </row>
    <row r="245">
      <c r="B245" s="7" t="inlineStr">
        <is>
          <t xml:space="preserve">  ↳ RA2ThunderboltMissile_AA</t>
        </is>
      </c>
      <c r="C245" s="7" t="inlineStr">
        <is>
          <t>Armament@primaryAAThunderbolt</t>
        </is>
      </c>
      <c r="L245" s="6" t="n">
        <v>4000</v>
      </c>
      <c r="M245" s="6" t="n">
        <v>25</v>
      </c>
      <c r="N245" s="6" t="n">
        <v>1</v>
      </c>
      <c r="O245" s="6" t="n"/>
      <c r="P245" s="6" t="n">
        <v>8640</v>
      </c>
      <c r="Q245" s="6" t="n">
        <v>1</v>
      </c>
      <c r="R245">
        <f>M245+IF(N245&gt;1,N(O245)*(N245-1),0)</f>
        <v/>
      </c>
      <c r="S245">
        <f>IFERROR(L245*MAX(N245,1)/R245*IF(ISBLANK(K213),1,K213),0)</f>
        <v/>
      </c>
      <c r="AB245" s="7" t="inlineStr">
        <is>
          <t>^Warhead_MissileHE_Heavy, ^Warhead_MissileHE_Light</t>
        </is>
      </c>
    </row>
    <row r="246">
      <c r="B246" s="7" t="inlineStr">
        <is>
          <t xml:space="preserve">  ↳ RA2ThunderboltMissile_AA_elite</t>
        </is>
      </c>
      <c r="C246" s="7" t="inlineStr">
        <is>
          <t>Armament@primaryeliteAAThunderbolt</t>
        </is>
      </c>
      <c r="L246" s="6" t="n">
        <v>4000</v>
      </c>
      <c r="M246" s="6" t="n">
        <v>25</v>
      </c>
      <c r="N246" s="6" t="n">
        <v>4</v>
      </c>
      <c r="O246" s="6" t="n"/>
      <c r="P246" s="6" t="n">
        <v>9640</v>
      </c>
      <c r="Q246" s="6" t="n">
        <v>1</v>
      </c>
      <c r="R246">
        <f>M246+IF(N246&gt;1,N(O246)*(N246-1),0)</f>
        <v/>
      </c>
      <c r="S246">
        <f>IFERROR(L246*MAX(N246,1)/R246*IF(ISBLANK(K213),1,K213),0)</f>
        <v/>
      </c>
      <c r="AB246" s="7" t="inlineStr">
        <is>
          <t>^Warhead_MissileHE_Heavy, ^Warhead_MissileHE_Light</t>
        </is>
      </c>
    </row>
    <row r="247">
      <c r="B247" s="7" t="inlineStr">
        <is>
          <t xml:space="preserve">  ↳ RA2MultiHoverMissile_elite</t>
        </is>
      </c>
      <c r="C247" s="7" t="inlineStr">
        <is>
          <t>Armament@missileelite</t>
        </is>
      </c>
      <c r="L247" s="6" t="n">
        <v>4000</v>
      </c>
      <c r="M247" s="6" t="n">
        <v>20</v>
      </c>
      <c r="N247" s="6" t="n">
        <v>4</v>
      </c>
      <c r="O247" s="6" t="n"/>
      <c r="P247" s="6" t="n">
        <v>7170</v>
      </c>
      <c r="Q247" s="6" t="n">
        <v>0.875</v>
      </c>
      <c r="R247">
        <f>M247+IF(N247&gt;1,N(O247)*(N247-1),0)</f>
        <v/>
      </c>
      <c r="S247">
        <f>IFERROR(L247*MAX(N247,1)/R247*IF(ISBLANK(K213),1,K213),0)</f>
        <v/>
      </c>
      <c r="AB247" s="7" t="inlineStr">
        <is>
          <t>^Warhead_CannonHE_Medium, ^Warhead_MissileHE_Light</t>
        </is>
      </c>
    </row>
    <row r="248">
      <c r="B248" s="7" t="inlineStr">
        <is>
          <t xml:space="preserve">  ↳ RA2MultiHoverMissile_AA</t>
        </is>
      </c>
      <c r="C248" s="7" t="inlineStr">
        <is>
          <t>Armament@missileAA</t>
        </is>
      </c>
      <c r="L248" s="6" t="n">
        <v>4000</v>
      </c>
      <c r="M248" s="6" t="n">
        <v>20</v>
      </c>
      <c r="N248" s="6" t="n">
        <v>4</v>
      </c>
      <c r="O248" s="6" t="n"/>
      <c r="P248" s="6" t="n">
        <v>9255</v>
      </c>
      <c r="Q248" s="6" t="n">
        <v>0.875</v>
      </c>
      <c r="R248">
        <f>M248+IF(N248&gt;1,N(O248)*(N248-1),0)</f>
        <v/>
      </c>
      <c r="S248">
        <f>IFERROR(L248*MAX(N248,1)/R248*IF(ISBLANK(K213),1,K213),0)</f>
        <v/>
      </c>
      <c r="AB248" s="7" t="inlineStr">
        <is>
          <t>^Warhead_CannonHE_Medium, ^Warhead_MissileHE_Light</t>
        </is>
      </c>
    </row>
    <row r="249">
      <c r="B249" s="7" t="inlineStr">
        <is>
          <t xml:space="preserve">  ↳ RA2MultiHoverMissile_AA_elite</t>
        </is>
      </c>
      <c r="C249" s="7" t="inlineStr">
        <is>
          <t>Armament@missileeliteAA</t>
        </is>
      </c>
      <c r="L249" s="6" t="n">
        <v>4000</v>
      </c>
      <c r="M249" s="6" t="n">
        <v>20</v>
      </c>
      <c r="N249" s="6" t="n">
        <v>4</v>
      </c>
      <c r="O249" s="6" t="n"/>
      <c r="P249" s="6" t="n">
        <v>10255</v>
      </c>
      <c r="Q249" s="6" t="n">
        <v>0.875</v>
      </c>
      <c r="R249">
        <f>M249+IF(N249&gt;1,N(O249)*(N249-1),0)</f>
        <v/>
      </c>
      <c r="S249">
        <f>IFERROR(L249*MAX(N249,1)/R249*IF(ISBLANK(K213),1,K213),0)</f>
        <v/>
      </c>
      <c r="AB249" s="7" t="inlineStr">
        <is>
          <t>^Warhead_CannonHE_Medium, ^Warhead_MissileHE_Light</t>
        </is>
      </c>
    </row>
    <row r="250">
      <c r="B250" s="7" t="inlineStr">
        <is>
          <t xml:space="preserve">  ↳ RA2MultiThunderboltMissile</t>
        </is>
      </c>
      <c r="C250" s="7" t="inlineStr">
        <is>
          <t>Armament@missileThunderbolt</t>
        </is>
      </c>
      <c r="L250" s="6" t="n">
        <v>4000</v>
      </c>
      <c r="M250" s="6" t="n">
        <v>25</v>
      </c>
      <c r="N250" s="6" t="n">
        <v>1</v>
      </c>
      <c r="O250" s="6" t="n"/>
      <c r="P250" s="6" t="n">
        <v>5120</v>
      </c>
      <c r="Q250" s="6" t="n">
        <v>1</v>
      </c>
      <c r="R250">
        <f>M250+IF(N250&gt;1,N(O250)*(N250-1),0)</f>
        <v/>
      </c>
      <c r="S250">
        <f>IFERROR(L250*MAX(N250,1)/R250*IF(ISBLANK(K213),1,K213),0)</f>
        <v/>
      </c>
      <c r="AB250" s="7" t="inlineStr">
        <is>
          <t>^Warhead_MissileHE_Heavy, ^Warhead_MissileHE_Light</t>
        </is>
      </c>
    </row>
    <row r="251">
      <c r="B251" s="7" t="inlineStr">
        <is>
          <t xml:space="preserve">  ↳ RA2MultiThunderboltMissile_elite</t>
        </is>
      </c>
      <c r="C251" s="7" t="inlineStr">
        <is>
          <t>Armament@missileeliteThunderbolt</t>
        </is>
      </c>
      <c r="L251" s="6" t="n">
        <v>4000</v>
      </c>
      <c r="M251" s="6" t="n">
        <v>25</v>
      </c>
      <c r="N251" s="6" t="n">
        <v>4</v>
      </c>
      <c r="O251" s="6" t="n"/>
      <c r="P251" s="6" t="n">
        <v>7170</v>
      </c>
      <c r="Q251" s="6" t="n">
        <v>1</v>
      </c>
      <c r="R251">
        <f>M251+IF(N251&gt;1,N(O251)*(N251-1),0)</f>
        <v/>
      </c>
      <c r="S251">
        <f>IFERROR(L251*MAX(N251,1)/R251*IF(ISBLANK(K213),1,K213),0)</f>
        <v/>
      </c>
      <c r="AB251" s="7" t="inlineStr">
        <is>
          <t>^Warhead_MissileHE_Heavy, ^Warhead_MissileHE_Light</t>
        </is>
      </c>
    </row>
    <row r="252">
      <c r="B252" s="7" t="inlineStr">
        <is>
          <t xml:space="preserve">  ↳ RA2MultiThunderboltMissile_AA</t>
        </is>
      </c>
      <c r="C252" s="7" t="inlineStr">
        <is>
          <t>Armament@missileAAThunderbolt</t>
        </is>
      </c>
      <c r="L252" s="6" t="n">
        <v>4000</v>
      </c>
      <c r="M252" s="6" t="n">
        <v>25</v>
      </c>
      <c r="N252" s="6" t="n">
        <v>1</v>
      </c>
      <c r="O252" s="6" t="n"/>
      <c r="P252" s="6" t="n">
        <v>9255</v>
      </c>
      <c r="Q252" s="6" t="n">
        <v>1</v>
      </c>
      <c r="R252">
        <f>M252+IF(N252&gt;1,N(O252)*(N252-1),0)</f>
        <v/>
      </c>
      <c r="S252">
        <f>IFERROR(L252*MAX(N252,1)/R252*IF(ISBLANK(K213),1,K213),0)</f>
        <v/>
      </c>
      <c r="AB252" s="7" t="inlineStr">
        <is>
          <t>^Warhead_MissileHE_Heavy, ^Warhead_MissileHE_Light</t>
        </is>
      </c>
    </row>
    <row r="253">
      <c r="B253" s="7" t="inlineStr">
        <is>
          <t xml:space="preserve">  ↳ RA2MultiThunderboltMissile_AA_elite</t>
        </is>
      </c>
      <c r="C253" s="7" t="inlineStr">
        <is>
          <t>Armament@missileeliteAAThunderbolt</t>
        </is>
      </c>
      <c r="L253" s="6" t="n">
        <v>4000</v>
      </c>
      <c r="M253" s="6" t="n">
        <v>25</v>
      </c>
      <c r="N253" s="6" t="n">
        <v>4</v>
      </c>
      <c r="O253" s="6" t="n"/>
      <c r="P253" s="6" t="n">
        <v>10255</v>
      </c>
      <c r="Q253" s="6" t="n">
        <v>1</v>
      </c>
      <c r="R253">
        <f>M253+IF(N253&gt;1,N(O253)*(N253-1),0)</f>
        <v/>
      </c>
      <c r="S253">
        <f>IFERROR(L253*MAX(N253,1)/R253*IF(ISBLANK(K213),1,K213),0)</f>
        <v/>
      </c>
      <c r="AB253" s="7" t="inlineStr">
        <is>
          <t>^Warhead_MissileHE_Heavy, ^Warhead_MissileHE_Light</t>
        </is>
      </c>
    </row>
    <row r="254">
      <c r="B254" s="7" t="inlineStr">
        <is>
          <t xml:space="preserve">  ↳ MedicHeal</t>
        </is>
      </c>
      <c r="C254" s="7" t="inlineStr">
        <is>
          <t>Armament@healer</t>
        </is>
      </c>
      <c r="L254" s="6" t="n">
        <v>-3000</v>
      </c>
      <c r="M254" s="6" t="n">
        <v>10</v>
      </c>
      <c r="N254" s="6" t="n">
        <v>1</v>
      </c>
      <c r="O254" s="6" t="n"/>
      <c r="P254" s="6" t="n">
        <v>6000</v>
      </c>
      <c r="Q254" s="6" t="n">
        <v>1</v>
      </c>
      <c r="R254">
        <f>M254+IF(N254&gt;1,N(O254)*(N254-1),0)</f>
        <v/>
      </c>
      <c r="S254">
        <f>IFERROR(L254*MAX(N254,1)/R254*IF(ISBLANK(K213),1,K213),0)</f>
        <v/>
      </c>
      <c r="AB254" s="7" t="inlineStr">
        <is>
          <t>^HealingWeapon</t>
        </is>
      </c>
    </row>
    <row r="255">
      <c r="B255" s="7" t="inlineStr">
        <is>
          <t xml:space="preserve">  ↳ RA2AWP</t>
        </is>
      </c>
      <c r="C255" s="7" t="inlineStr">
        <is>
          <t>Armament@ra1_allies_alliedsniper</t>
        </is>
      </c>
      <c r="L255" s="6" t="n">
        <v>44000</v>
      </c>
      <c r="M255" s="6" t="n">
        <v>54</v>
      </c>
      <c r="N255" s="6" t="n">
        <v>1</v>
      </c>
      <c r="O255" s="6" t="n"/>
      <c r="P255" s="6" t="n">
        <v>10000</v>
      </c>
      <c r="Q255" s="6" t="n">
        <v>0.75</v>
      </c>
      <c r="R255">
        <f>M255+IF(N255&gt;1,N(O255)*(N255-1),0)</f>
        <v/>
      </c>
      <c r="S255">
        <f>IFERROR(L255*MAX(N255,1)/R255*IF(ISBLANK(K213),1,K213),0)</f>
        <v/>
      </c>
      <c r="AB255" s="7" t="inlineStr">
        <is>
          <t>^Warhead_Sniper_Light</t>
        </is>
      </c>
    </row>
    <row r="256">
      <c r="A256" t="inlineStr">
        <is>
          <t>redalert2</t>
        </is>
      </c>
      <c r="B256" t="inlineStr">
        <is>
          <t>ra2_allies_ifv_mg</t>
        </is>
      </c>
      <c r="C256" t="inlineStr">
        <is>
          <t>actor_fv.name</t>
        </is>
      </c>
      <c r="D256" s="6" t="inlineStr">
        <is>
          <t>ScoutVehicle</t>
        </is>
      </c>
      <c r="E256" s="6" t="n">
        <v>25000</v>
      </c>
      <c r="F256" s="6" t="n">
        <v>150</v>
      </c>
      <c r="G256" t="inlineStr">
        <is>
          <t>Scout</t>
        </is>
      </c>
      <c r="H256" s="6" t="n">
        <v>1</v>
      </c>
      <c r="I256" s="6" t="n">
        <v>1</v>
      </c>
      <c r="J256" s="6" t="n">
        <v>1</v>
      </c>
      <c r="K256" s="6" t="n"/>
      <c r="P256">
        <f>MAX(P257,P258,P259,P260,P261,P262,P263,P264,P265,P266,P267,P268,P269,P270,P271,P272,P273,P274,P275,P279,P280,P281,P282,P283,P284,P285,P286,P287,P288,P289,P290,P291,P292,P293,P294,P295,P296,P297,P298)</f>
        <v/>
      </c>
      <c r="S256">
        <f>S257+S258+S259+S260+S261+S262+S263+S264+S265+S266+S267+S268+S269+S270+S271+S272+S273+S274+S275+S279+S280+S281+S282+S283+S284+S285+S286+S287+S288+S289+S290+S291+S292+S293+S294+S295+S296+S297+S298</f>
        <v/>
      </c>
      <c r="T256">
        <f>(E256/100000+F256/100+(P256/1000)*J256/5+S256/200)*200*I256*H256</f>
        <v/>
      </c>
      <c r="U256">
        <f>((E256*F256/25000)+((P256/1000)*J256*S256/2.5))*I256*H256</f>
        <v/>
      </c>
      <c r="V256">
        <f>(E256*F256*(P256/1000)*J256*S256*I256*H256)/12500000</f>
        <v/>
      </c>
      <c r="W256">
        <f>(((E256/30000)+(F256/200)+(S256/450)+((P256/4500)*J256))*300/4+(((E256/30000)*(F256/200))+(((P256/4500)*J256)*(S256/450)))*300/2+((E256/30000)*(F256/200)*((P256/4500)*J256)*(S256/450))*300)*(H256/1.0)/3</f>
        <v/>
      </c>
      <c r="X256" s="6" t="n">
        <v>500</v>
      </c>
      <c r="Y256">
        <f>IFERROR(W256-X256,"")</f>
        <v/>
      </c>
      <c r="Z256">
        <f>IFERROR(ABS(Y256)/MAX(X256,1),"")</f>
        <v/>
      </c>
      <c r="AA256">
        <f>IFERROR(ROUND(((3*X256-(((E256/30000)+(F256/200)+(S256/450))*300/4+((E256/30000)*(F256/200))*300/2)*(H256/1.0))/(300/4+((S256/450))*300/2+((E256/30000)*(F256/200)*(S256/450))*300)*(H256/1.0)*4500)/J256,-1),"")</f>
        <v/>
      </c>
    </row>
    <row r="257">
      <c r="B257" s="7" t="inlineStr">
        <is>
          <t xml:space="preserve">  ↳ RA2CRM60</t>
        </is>
      </c>
      <c r="C257" s="7" t="inlineStr">
        <is>
          <t>Armament@mg</t>
        </is>
      </c>
      <c r="L257" s="6" t="n">
        <v>4000</v>
      </c>
      <c r="M257" s="6" t="n">
        <v>14</v>
      </c>
      <c r="N257" s="6" t="n">
        <v>4</v>
      </c>
      <c r="O257" s="6" t="n">
        <v>2</v>
      </c>
      <c r="P257" s="6" t="n">
        <v>5660</v>
      </c>
      <c r="Q257" s="6" t="n">
        <v>0.875</v>
      </c>
      <c r="R257">
        <f>M257+IF(N257&gt;1,N(O257)*(N257-1),0)</f>
        <v/>
      </c>
      <c r="S257">
        <f>IFERROR(L257*MAX(N257,1)/R257*IF(ISBLANK(K256),1,K256),0)</f>
        <v/>
      </c>
      <c r="AB257" s="7" t="inlineStr">
        <is>
          <t>^Warhead_Bullet_Light, ^Warhead_Bullet_Medium</t>
        </is>
      </c>
    </row>
    <row r="258">
      <c r="B258" s="7" t="inlineStr">
        <is>
          <t xml:space="preserve">  ↳ RA2CRM60H</t>
        </is>
      </c>
      <c r="C258" s="7" t="inlineStr">
        <is>
          <t>Armament@hmg</t>
        </is>
      </c>
      <c r="L258" s="6" t="n">
        <v>6000</v>
      </c>
      <c r="M258" s="6" t="n">
        <v>10</v>
      </c>
      <c r="N258" s="6" t="n">
        <v>6</v>
      </c>
      <c r="O258" s="6" t="n">
        <v>2</v>
      </c>
      <c r="P258" s="6" t="n">
        <v>4692</v>
      </c>
      <c r="Q258" s="6" t="n">
        <v>1.125</v>
      </c>
      <c r="R258">
        <f>M258+IF(N258&gt;1,N(O258)*(N258-1),0)</f>
        <v/>
      </c>
      <c r="S258">
        <f>IFERROR(L258*MAX(N258,1)/R258*IF(ISBLANK(K256),1,K256),0)</f>
        <v/>
      </c>
      <c r="AB258" s="7" t="inlineStr">
        <is>
          <t>^Warhead_CannonHE_Heavy, ^Warhead_Bullet_Medium</t>
        </is>
      </c>
    </row>
    <row r="259">
      <c r="B259" s="7" t="inlineStr">
        <is>
          <t xml:space="preserve">  ↳ wc_tower_fire</t>
        </is>
      </c>
      <c r="C259" s="7" t="inlineStr">
        <is>
          <t>Armament@archer</t>
        </is>
      </c>
      <c r="L259" s="6" t="n">
        <v>2500</v>
      </c>
      <c r="M259" s="6" t="n">
        <v>40</v>
      </c>
      <c r="N259" s="6" t="n">
        <v>1</v>
      </c>
      <c r="O259" s="6" t="n"/>
      <c r="P259" s="6" t="n">
        <v>8704</v>
      </c>
      <c r="Q259" s="6" t="n">
        <v>1</v>
      </c>
      <c r="R259">
        <f>M259+IF(N259&gt;1,N(O259)*(N259-1),0)</f>
        <v/>
      </c>
      <c r="S259">
        <f>IFERROR(L259*MAX(N259,1)/R259*IF(ISBLANK(K256),1,K256),0)</f>
        <v/>
      </c>
      <c r="AB259" s="7" t="inlineStr">
        <is>
          <t>bowFire</t>
        </is>
      </c>
    </row>
    <row r="260">
      <c r="B260" s="7" t="inlineStr">
        <is>
          <t xml:space="preserve">  ↳ RA2IFVRepair</t>
        </is>
      </c>
      <c r="C260" s="7" t="inlineStr">
        <is>
          <t>Armament@repair</t>
        </is>
      </c>
      <c r="L260" s="6" t="n">
        <v>-3000</v>
      </c>
      <c r="M260" s="6" t="n">
        <v>50</v>
      </c>
      <c r="N260" s="6" t="n">
        <v>10</v>
      </c>
      <c r="O260" s="6" t="n">
        <v>1</v>
      </c>
      <c r="P260" s="6" t="n">
        <v>5000</v>
      </c>
      <c r="Q260" s="6" t="n">
        <v>1</v>
      </c>
      <c r="R260">
        <f>M260+IF(N260&gt;1,N(O260)*(N260-1),0)</f>
        <v/>
      </c>
      <c r="S260">
        <f>IFERROR(L260*MAX(N260,1)/R260*IF(ISBLANK(K256),1,K256),0)</f>
        <v/>
      </c>
      <c r="AB260" s="7" t="inlineStr">
        <is>
          <t>^RepairWeapon</t>
        </is>
      </c>
    </row>
    <row r="261">
      <c r="B261" s="7" t="inlineStr">
        <is>
          <t xml:space="preserve">  ↳ LightSniper</t>
        </is>
      </c>
      <c r="C261" s="7" t="inlineStr">
        <is>
          <t>Armament@lightsniper</t>
        </is>
      </c>
      <c r="L261" s="6" t="n">
        <v>30000</v>
      </c>
      <c r="M261" s="6" t="n">
        <v>100</v>
      </c>
      <c r="N261" s="6" t="n">
        <v>1</v>
      </c>
      <c r="O261" s="6" t="n"/>
      <c r="P261" s="6" t="n">
        <v>9153</v>
      </c>
      <c r="Q261" s="6" t="n">
        <v>0.75</v>
      </c>
      <c r="R261">
        <f>M261+IF(N261&gt;1,N(O261)*(N261-1),0)</f>
        <v/>
      </c>
      <c r="S261">
        <f>IFERROR(L261*MAX(N261,1)/R261*IF(ISBLANK(K256),1,K256),0)</f>
        <v/>
      </c>
      <c r="AB261" s="7" t="inlineStr">
        <is>
          <t>^Warhead_Sniper_Light</t>
        </is>
      </c>
    </row>
    <row r="262">
      <c r="B262" s="7" t="inlineStr">
        <is>
          <t xml:space="preserve">  ↳ RA2DoublePistolsIFV</t>
        </is>
      </c>
      <c r="C262" s="7" t="inlineStr">
        <is>
          <t>Armament@hero</t>
        </is>
      </c>
      <c r="L262" s="6" t="n">
        <v>14000</v>
      </c>
      <c r="M262" s="6" t="n">
        <v>12</v>
      </c>
      <c r="N262" s="6" t="n">
        <v>2</v>
      </c>
      <c r="O262" s="6" t="n">
        <v>3</v>
      </c>
      <c r="P262" s="6" t="n">
        <v>8000</v>
      </c>
      <c r="Q262" s="6" t="n">
        <v>0.75</v>
      </c>
      <c r="R262">
        <f>M262+IF(N262&gt;1,N(O262)*(N262-1),0)</f>
        <v/>
      </c>
      <c r="S262">
        <f>IFERROR(L262*MAX(N262,1)/R262*IF(ISBLANK(K256),1,K256),0)</f>
        <v/>
      </c>
      <c r="AB262" s="7" t="inlineStr">
        <is>
          <t>^Warhead_Sniper_Light</t>
        </is>
      </c>
    </row>
    <row r="263">
      <c r="B263" s="7" t="inlineStr">
        <is>
          <t xml:space="preserve">  ↳ TTankZap</t>
        </is>
      </c>
      <c r="C263" s="7" t="inlineStr">
        <is>
          <t>Armament@tesla</t>
        </is>
      </c>
      <c r="L263" s="6" t="n">
        <v>40000</v>
      </c>
      <c r="M263" s="6" t="n">
        <v>80</v>
      </c>
      <c r="N263" s="6" t="n">
        <v>1</v>
      </c>
      <c r="O263" s="6" t="n"/>
      <c r="P263" s="6" t="n">
        <v>7300</v>
      </c>
      <c r="Q263" s="6" t="n">
        <v>1.25</v>
      </c>
      <c r="R263">
        <f>M263+IF(N263&gt;1,N(O263)*(N263-1),0)</f>
        <v/>
      </c>
      <c r="S263">
        <f>IFERROR(L263*MAX(N263,1)/R263*IF(ISBLANK(K256),1,K256),0)</f>
        <v/>
      </c>
      <c r="AB263" s="7" t="inlineStr">
        <is>
          <t>^Warhead_Tesla_Heavy</t>
        </is>
      </c>
    </row>
    <row r="264">
      <c r="B264" s="7" t="inlineStr">
        <is>
          <t xml:space="preserve">  ↳ DragunovSniper</t>
        </is>
      </c>
      <c r="C264" s="7" t="inlineStr">
        <is>
          <t>Armament@flak</t>
        </is>
      </c>
      <c r="L264" s="6" t="n">
        <v>400000</v>
      </c>
      <c r="M264" s="6" t="n">
        <v>85</v>
      </c>
      <c r="N264" s="6" t="n">
        <v>1</v>
      </c>
      <c r="O264" s="6" t="n"/>
      <c r="P264" s="6" t="n">
        <v>5804</v>
      </c>
      <c r="Q264" s="6" t="n">
        <v>1</v>
      </c>
      <c r="R264">
        <f>M264+IF(N264&gt;1,N(O264)*(N264-1),0)</f>
        <v/>
      </c>
      <c r="S264">
        <f>IFERROR(L264*MAX(N264,1)/R264*IF(ISBLANK(K256),1,K256),0)</f>
        <v/>
      </c>
      <c r="AB264" s="7" t="inlineStr">
        <is>
          <t>^TankDestroyerCannon, ^RailgunWeapon, ^LightMissile, ^HeavyCannon, ^FlakWeapon</t>
        </is>
      </c>
    </row>
    <row r="265">
      <c r="B265" s="7" t="inlineStr">
        <is>
          <t xml:space="preserve">  ↳ RA2MirageGun</t>
        </is>
      </c>
      <c r="C265" s="7" t="inlineStr">
        <is>
          <t>Armament@cannon</t>
        </is>
      </c>
      <c r="L265" s="6" t="n">
        <v>24000</v>
      </c>
      <c r="M265" s="6" t="n">
        <v>39</v>
      </c>
      <c r="N265" s="6" t="n">
        <v>1</v>
      </c>
      <c r="O265" s="6" t="n"/>
      <c r="P265" s="6" t="n">
        <v>6031</v>
      </c>
      <c r="Q265" s="6" t="n">
        <v>0.75</v>
      </c>
      <c r="R265">
        <f>M265+IF(N265&gt;1,N(O265)*(N265-1),0)</f>
        <v/>
      </c>
      <c r="S265">
        <f>IFERROR(L265*MAX(N265,1)/R265*IF(ISBLANK(K256),1,K256),0)</f>
        <v/>
      </c>
      <c r="AB265" s="7" t="inlineStr">
        <is>
          <t>^Warhead_CannonAP_Light</t>
        </is>
      </c>
    </row>
    <row r="266">
      <c r="B266" s="7" t="inlineStr">
        <is>
          <t xml:space="preserve">  ↳ Grenade</t>
        </is>
      </c>
      <c r="C266" s="7" t="inlineStr">
        <is>
          <t>Armament@grenade</t>
        </is>
      </c>
      <c r="L266" s="6" t="n">
        <v>16000</v>
      </c>
      <c r="M266" s="6" t="n">
        <v>42</v>
      </c>
      <c r="N266" s="6" t="n">
        <v>1</v>
      </c>
      <c r="O266" s="6" t="n"/>
      <c r="P266" s="6" t="n">
        <v>6097</v>
      </c>
      <c r="Q266" s="6" t="n">
        <v>0.75</v>
      </c>
      <c r="R266">
        <f>M266+IF(N266&gt;1,N(O266)*(N266-1),0)</f>
        <v/>
      </c>
      <c r="S266">
        <f>IFERROR(L266*MAX(N266,1)/R266*IF(ISBLANK(K256),1,K256),0)</f>
        <v/>
      </c>
      <c r="AB266" s="7" t="inlineStr">
        <is>
          <t>^Warhead_Demolition_Light</t>
        </is>
      </c>
    </row>
    <row r="267">
      <c r="B267" s="7" t="inlineStr">
        <is>
          <t xml:space="preserve">  ↳ DRPlasmaTankWeapon</t>
        </is>
      </c>
      <c r="C267" s="7" t="inlineStr">
        <is>
          <t>Armament@plasma</t>
        </is>
      </c>
      <c r="L267" s="6" t="n">
        <v>6250</v>
      </c>
      <c r="M267" s="6" t="n">
        <v>21</v>
      </c>
      <c r="N267" s="6" t="n">
        <v>1</v>
      </c>
      <c r="O267" s="6" t="n"/>
      <c r="P267" s="6" t="n">
        <v>5120</v>
      </c>
      <c r="Q267" s="6" t="n">
        <v>1</v>
      </c>
      <c r="R267">
        <f>M267+IF(N267&gt;1,N(O267)*(N267-1),0)</f>
        <v/>
      </c>
      <c r="S267">
        <f>IFERROR(L267*MAX(N267,1)/R267*IF(ISBLANK(K256),1,K256),0)</f>
        <v/>
      </c>
      <c r="AB267" s="7" t="inlineStr">
        <is>
          <t>^DRPlasmaWeapon</t>
        </is>
      </c>
    </row>
    <row r="268">
      <c r="B268" s="7" t="inlineStr">
        <is>
          <t xml:space="preserve">  ↳ SWLaserG</t>
        </is>
      </c>
      <c r="C268" s="7" t="inlineStr">
        <is>
          <t>Armament@litlaser</t>
        </is>
      </c>
      <c r="L268" s="6" t="n">
        <v>2000</v>
      </c>
      <c r="M268" s="6" t="n">
        <v>30</v>
      </c>
      <c r="N268" s="6" t="n">
        <v>6</v>
      </c>
      <c r="O268" s="6" t="n"/>
      <c r="P268" s="6" t="n">
        <v>6144</v>
      </c>
      <c r="Q268" s="6" t="n">
        <v>1</v>
      </c>
      <c r="R268">
        <f>M268+IF(N268&gt;1,N(O268)*(N268-1),0)</f>
        <v/>
      </c>
      <c r="S268">
        <f>IFERROR(L268*MAX(N268,1)/R268*IF(ISBLANK(K256),1,K256),0)</f>
        <v/>
      </c>
      <c r="AB268" s="7" t="inlineStr">
        <is>
          <t>SWLaser</t>
        </is>
      </c>
    </row>
    <row r="269">
      <c r="B269" s="7" t="inlineStr">
        <is>
          <t xml:space="preserve">  ↳ USALaserCannonAG</t>
        </is>
      </c>
      <c r="C269" s="7" t="inlineStr">
        <is>
          <t>Armament@medlaser</t>
        </is>
      </c>
      <c r="L269" s="6" t="n">
        <v>4000</v>
      </c>
      <c r="M269" s="6" t="n">
        <v>50</v>
      </c>
      <c r="N269" s="6" t="n">
        <v>3</v>
      </c>
      <c r="O269" s="6" t="n">
        <v>6</v>
      </c>
      <c r="P269" s="6" t="n">
        <v>7168</v>
      </c>
      <c r="Q269" s="6" t="n">
        <v>1</v>
      </c>
      <c r="R269">
        <f>M269+IF(N269&gt;1,N(O269)*(N269-1),0)</f>
        <v/>
      </c>
      <c r="S269">
        <f>IFERROR(L269*MAX(N269,1)/R269*IF(ISBLANK(K256),1,K256),0)</f>
        <v/>
      </c>
      <c r="AB269" s="7" t="inlineStr">
        <is>
          <t>^AntiGroundMissile</t>
        </is>
      </c>
    </row>
    <row r="270">
      <c r="B270" s="7" t="inlineStr">
        <is>
          <t xml:space="preserve">  ↳ SWGreenLaserG</t>
        </is>
      </c>
      <c r="C270" s="7" t="inlineStr">
        <is>
          <t>Armament@greenlaser</t>
        </is>
      </c>
      <c r="L270" s="6" t="n">
        <v>5000</v>
      </c>
      <c r="M270" s="6" t="n">
        <v>75</v>
      </c>
      <c r="N270" s="6" t="n">
        <v>1</v>
      </c>
      <c r="O270" s="6" t="n"/>
      <c r="P270" s="6" t="n">
        <v>7168</v>
      </c>
      <c r="Q270" s="6" t="n">
        <v>1</v>
      </c>
      <c r="R270">
        <f>M270+IF(N270&gt;1,N(O270)*(N270-1),0)</f>
        <v/>
      </c>
      <c r="S270">
        <f>IFERROR(L270*MAX(N270,1)/R270*IF(ISBLANK(K256),1,K256),0)</f>
        <v/>
      </c>
      <c r="AB270" s="7" t="inlineStr">
        <is>
          <t>SWGreenLaser</t>
        </is>
      </c>
    </row>
    <row r="271">
      <c r="B271" s="7" t="inlineStr">
        <is>
          <t xml:space="preserve">  ↳ SWGBigRedLaserG</t>
        </is>
      </c>
      <c r="C271" s="7" t="inlineStr">
        <is>
          <t>Armament@misslaser</t>
        </is>
      </c>
      <c r="L271" s="6" t="n">
        <v>4000</v>
      </c>
      <c r="M271" s="6" t="n">
        <v>75</v>
      </c>
      <c r="N271" s="6" t="n">
        <v>1</v>
      </c>
      <c r="O271" s="6" t="n"/>
      <c r="P271" s="6" t="n">
        <v>8192</v>
      </c>
      <c r="Q271" s="6" t="n">
        <v>1</v>
      </c>
      <c r="R271">
        <f>M271+IF(N271&gt;1,N(O271)*(N271-1),0)</f>
        <v/>
      </c>
      <c r="S271">
        <f>IFERROR(L271*MAX(N271,1)/R271*IF(ISBLANK(K256),1,K256),0)</f>
        <v/>
      </c>
      <c r="AB271" s="7" t="inlineStr">
        <is>
          <t>SWrBigRedLaser</t>
        </is>
      </c>
    </row>
    <row r="272">
      <c r="B272" s="7" t="inlineStr">
        <is>
          <t xml:space="preserve">  ↳ BigFlamer</t>
        </is>
      </c>
      <c r="C272" s="7" t="inlineStr">
        <is>
          <t>Armament@fire</t>
        </is>
      </c>
      <c r="L272" s="6" t="n">
        <v>14000</v>
      </c>
      <c r="M272" s="6" t="n">
        <v>50</v>
      </c>
      <c r="N272" s="6" t="n">
        <v>2</v>
      </c>
      <c r="O272" s="6" t="n">
        <v>10</v>
      </c>
      <c r="P272" s="6" t="n">
        <v>2390</v>
      </c>
      <c r="Q272" s="6" t="n">
        <v>1</v>
      </c>
      <c r="R272">
        <f>M272+IF(N272&gt;1,N(O272)*(N272-1),0)</f>
        <v/>
      </c>
      <c r="S272">
        <f>IFERROR(L272*MAX(N272,1)/R272*IF(ISBLANK(K256),1,K256),0)</f>
        <v/>
      </c>
      <c r="AB272" s="7" t="inlineStr">
        <is>
          <t>^Warhead_Flame_Medium</t>
        </is>
      </c>
    </row>
    <row r="273">
      <c r="B273" s="7" t="inlineStr">
        <is>
          <t xml:space="preserve">  ↳ RA2RadBeamWeapon</t>
        </is>
      </c>
      <c r="C273" s="7" t="inlineStr">
        <is>
          <t>Armament@chem</t>
        </is>
      </c>
      <c r="L273" s="6" t="n">
        <v>30000</v>
      </c>
      <c r="M273" s="6" t="n">
        <v>45</v>
      </c>
      <c r="N273" s="6" t="n">
        <v>1</v>
      </c>
      <c r="O273" s="6" t="n"/>
      <c r="P273" s="6" t="n">
        <v>6444</v>
      </c>
      <c r="Q273" s="6" t="n">
        <v>1</v>
      </c>
      <c r="R273">
        <f>M273+IF(N273&gt;1,N(O273)*(N273-1),0)</f>
        <v/>
      </c>
      <c r="S273">
        <f>IFERROR(L273*MAX(N273,1)/R273*IF(ISBLANK(K256),1,K256),0)</f>
        <v/>
      </c>
      <c r="AB273" s="7" t="inlineStr">
        <is>
          <t>^Warhead_Chemical_Medium</t>
        </is>
      </c>
    </row>
    <row r="274">
      <c r="B274" s="7" t="inlineStr">
        <is>
          <t xml:space="preserve">  ↳ RA2RadBeamWeapon</t>
        </is>
      </c>
      <c r="C274" s="7" t="inlineStr">
        <is>
          <t>Armament@thrax</t>
        </is>
      </c>
      <c r="L274" s="6" t="n">
        <v>30000</v>
      </c>
      <c r="M274" s="6" t="n">
        <v>45</v>
      </c>
      <c r="N274" s="6" t="n">
        <v>1</v>
      </c>
      <c r="O274" s="6" t="n"/>
      <c r="P274" s="6" t="n">
        <v>6444</v>
      </c>
      <c r="Q274" s="6" t="n">
        <v>1</v>
      </c>
      <c r="R274">
        <f>M274+IF(N274&gt;1,N(O274)*(N274-1),0)</f>
        <v/>
      </c>
      <c r="S274">
        <f>IFERROR(L274*MAX(N274,1)/R274*IF(ISBLANK(K256),1,K256),0)</f>
        <v/>
      </c>
      <c r="AB274" s="7" t="inlineStr">
        <is>
          <t>^Warhead_Chemical_Medium</t>
        </is>
      </c>
    </row>
    <row r="275">
      <c r="B275" s="7" t="inlineStr">
        <is>
          <t xml:space="preserve">  ↳ RA2MultiHoverMissile</t>
        </is>
      </c>
      <c r="C275" s="7" t="inlineStr">
        <is>
          <t>Armament@missile</t>
        </is>
      </c>
      <c r="L275" s="6" t="n">
        <v>4000</v>
      </c>
      <c r="M275" s="6" t="n">
        <v>20</v>
      </c>
      <c r="N275" s="6" t="n">
        <v>4</v>
      </c>
      <c r="O275" s="6" t="n"/>
      <c r="P275" s="6" t="n">
        <v>6170</v>
      </c>
      <c r="Q275" s="6" t="n">
        <v>0.875</v>
      </c>
      <c r="R275">
        <f>M275+IF(N275&gt;1,N(O275)*(N275-1),0)</f>
        <v/>
      </c>
      <c r="S275">
        <f>IFERROR(L275*MAX(N275,1)/R275*IF(ISBLANK(K256),1,K256),0)</f>
        <v/>
      </c>
      <c r="AB275" s="7" t="inlineStr">
        <is>
          <t>^Warhead_CannonHE_Medium, ^Warhead_MissileHE_Light</t>
        </is>
      </c>
    </row>
    <row r="276">
      <c r="B276" s="7" t="inlineStr">
        <is>
          <t xml:space="preserve">  ↳ IFVChronoBeam</t>
        </is>
      </c>
      <c r="C276" s="7" t="inlineStr">
        <is>
          <t>Armament@chrono</t>
        </is>
      </c>
      <c r="L276" s="6" t="n"/>
      <c r="M276" s="6" t="n">
        <v>1</v>
      </c>
      <c r="N276" s="6" t="n">
        <v>1</v>
      </c>
      <c r="O276" s="6" t="n"/>
      <c r="P276" s="6" t="n">
        <v>7500</v>
      </c>
      <c r="Q276" s="6" t="n">
        <v>1</v>
      </c>
      <c r="R276">
        <f>M276+IF(N276&gt;1,N(O276)*(N276-1),0)</f>
        <v/>
      </c>
      <c r="S276">
        <f>IFERROR(L276*MAX(N276,1)/R276*IF(ISBLANK(K256),1,K256),0)</f>
        <v/>
      </c>
      <c r="AB276" s="7" t="inlineStr">
        <is>
          <t>ChronoBeam</t>
        </is>
      </c>
    </row>
    <row r="277">
      <c r="B277" s="7" t="inlineStr">
        <is>
          <t xml:space="preserve">  ↳ IFVChronoSound</t>
        </is>
      </c>
      <c r="C277" s="7" t="inlineStr">
        <is>
          <t>Armament@chronosound</t>
        </is>
      </c>
      <c r="L277" s="6" t="n"/>
      <c r="M277" s="6" t="n">
        <v>180</v>
      </c>
      <c r="N277" s="6" t="n">
        <v>1</v>
      </c>
      <c r="O277" s="6" t="n"/>
      <c r="P277" s="6" t="n">
        <v>8000</v>
      </c>
      <c r="Q277" s="6" t="n">
        <v>1</v>
      </c>
      <c r="R277">
        <f>M277+IF(N277&gt;1,N(O277)*(N277-1),0)</f>
        <v/>
      </c>
      <c r="S277">
        <f>IFERROR(L277*MAX(N277,1)/R277*IF(ISBLANK(K256),1,K256),0)</f>
        <v/>
      </c>
      <c r="AB277" s="7" t="inlineStr">
        <is>
          <t>RA2ChronoTele</t>
        </is>
      </c>
    </row>
    <row r="278">
      <c r="B278" s="7" t="inlineStr">
        <is>
          <t xml:space="preserve">  ↳ DemoTruckTargeting</t>
        </is>
      </c>
      <c r="C278" s="7" t="inlineStr">
        <is>
          <t>Armament@ivan</t>
        </is>
      </c>
      <c r="L278" s="6" t="n"/>
      <c r="M278" s="6" t="n"/>
      <c r="N278" s="6" t="n">
        <v>1</v>
      </c>
      <c r="O278" s="6" t="n"/>
      <c r="P278" s="6" t="n">
        <v>2000</v>
      </c>
      <c r="Q278" s="6" t="n">
        <v>1</v>
      </c>
      <c r="R278">
        <f>M278+IF(N278&gt;1,N(O278)*(N278-1),0)</f>
        <v/>
      </c>
      <c r="S278">
        <f>IFERROR(L278*MAX(N278,1)/R278*IF(ISBLANK(K256),1,K256),0)</f>
        <v/>
      </c>
      <c r="AB278" s="7" t="inlineStr"/>
    </row>
    <row r="279">
      <c r="B279" s="7" t="inlineStr">
        <is>
          <t xml:space="preserve">  ↳ Fremen_L</t>
        </is>
      </c>
      <c r="C279" s="7" t="inlineStr">
        <is>
          <t>Armament@fremen</t>
        </is>
      </c>
      <c r="L279" s="6" t="n">
        <v>3000</v>
      </c>
      <c r="M279" s="6" t="n">
        <v>25</v>
      </c>
      <c r="N279" s="6" t="n">
        <v>1</v>
      </c>
      <c r="O279" s="6" t="n"/>
      <c r="P279" s="6" t="n">
        <v>2560</v>
      </c>
      <c r="Q279" s="6" t="n">
        <v>1</v>
      </c>
      <c r="R279">
        <f>M279+IF(N279&gt;1,N(O279)*(N279-1),0)</f>
        <v/>
      </c>
      <c r="S279">
        <f>IFERROR(L279*MAX(N279,1)/R279*IF(ISBLANK(K256),1,K256),0)</f>
        <v/>
      </c>
      <c r="AB279" s="7" t="inlineStr">
        <is>
          <t>M_HMG</t>
        </is>
      </c>
    </row>
    <row r="280">
      <c r="B280" s="7" t="inlineStr">
        <is>
          <t xml:space="preserve">  ↳ TSSonicZap</t>
        </is>
      </c>
      <c r="C280" s="7" t="inlineStr">
        <is>
          <t>Armament@sonic</t>
        </is>
      </c>
      <c r="L280" s="6" t="n">
        <v>5000</v>
      </c>
      <c r="M280" s="6" t="n">
        <v>60</v>
      </c>
      <c r="N280" s="6" t="n">
        <v>1</v>
      </c>
      <c r="O280" s="6" t="n"/>
      <c r="P280" s="6" t="n">
        <v>6144</v>
      </c>
      <c r="Q280" s="6" t="n">
        <v>1</v>
      </c>
      <c r="R280">
        <f>M280+IF(N280&gt;1,N(O280)*(N280-1),0)</f>
        <v/>
      </c>
      <c r="S280">
        <f>IFERROR(L280*MAX(N280,1)/R280*IF(ISBLANK(K256),1,K256),0)</f>
        <v/>
      </c>
      <c r="AB280" s="7" t="inlineStr"/>
    </row>
    <row r="281">
      <c r="B281" s="7" t="inlineStr">
        <is>
          <t xml:space="preserve">  ↳ MedicHeal</t>
        </is>
      </c>
      <c r="C281" s="7" t="inlineStr">
        <is>
          <t>Armament@heal</t>
        </is>
      </c>
      <c r="L281" s="6" t="n">
        <v>-3000</v>
      </c>
      <c r="M281" s="6" t="n">
        <v>10</v>
      </c>
      <c r="N281" s="6" t="n">
        <v>1</v>
      </c>
      <c r="O281" s="6" t="n"/>
      <c r="P281" s="6" t="n">
        <v>6000</v>
      </c>
      <c r="Q281" s="6" t="n">
        <v>1</v>
      </c>
      <c r="R281">
        <f>M281+IF(N281&gt;1,N(O281)*(N281-1),0)</f>
        <v/>
      </c>
      <c r="S281">
        <f>IFERROR(L281*MAX(N281,1)/R281*IF(ISBLANK(K256),1,K256),0)</f>
        <v/>
      </c>
      <c r="AB281" s="7" t="inlineStr">
        <is>
          <t>^HealingWeapon</t>
        </is>
      </c>
    </row>
    <row r="282">
      <c r="B282" s="7" t="inlineStr">
        <is>
          <t xml:space="preserve">  ↳ RA2HoverMissile</t>
        </is>
      </c>
      <c r="C282" s="7" t="inlineStr">
        <is>
          <t>Armament@primary</t>
        </is>
      </c>
      <c r="L282" s="6" t="n">
        <v>12000</v>
      </c>
      <c r="M282" s="6" t="n">
        <v>28</v>
      </c>
      <c r="N282" s="6" t="n">
        <v>2</v>
      </c>
      <c r="O282" s="6" t="n">
        <v>4</v>
      </c>
      <c r="P282" s="6" t="n">
        <v>5760</v>
      </c>
      <c r="Q282" s="6" t="n">
        <v>0.75</v>
      </c>
      <c r="R282">
        <f>M282+IF(N282&gt;1,N(O282)*(N282-1),0)</f>
        <v/>
      </c>
      <c r="S282">
        <f>IFERROR(L282*MAX(N282,1)/R282*IF(ISBLANK(K256),1,K256),0)</f>
        <v/>
      </c>
      <c r="AB282" s="7" t="inlineStr">
        <is>
          <t>^Warhead_Arrow_Light, ^Warhead_MissileAP_Light</t>
        </is>
      </c>
    </row>
    <row r="283">
      <c r="B283" s="7" t="inlineStr">
        <is>
          <t xml:space="preserve">  ↳ RA2HoverMissile_elite</t>
        </is>
      </c>
      <c r="C283" s="7" t="inlineStr">
        <is>
          <t>Armament@primaryelite</t>
        </is>
      </c>
      <c r="L283" s="6" t="n">
        <v>12000</v>
      </c>
      <c r="M283" s="6" t="n">
        <v>28</v>
      </c>
      <c r="N283" s="6" t="n">
        <v>4</v>
      </c>
      <c r="O283" s="6" t="n">
        <v>4</v>
      </c>
      <c r="P283" s="6" t="n">
        <v>6760</v>
      </c>
      <c r="Q283" s="6" t="n">
        <v>0.75</v>
      </c>
      <c r="R283">
        <f>M283+IF(N283&gt;1,N(O283)*(N283-1),0)</f>
        <v/>
      </c>
      <c r="S283">
        <f>IFERROR(L283*MAX(N283,1)/R283*IF(ISBLANK(K256),1,K256),0)</f>
        <v/>
      </c>
      <c r="AB283" s="7" t="inlineStr">
        <is>
          <t>^Warhead_Arrow_Light, ^Warhead_MissileAP_Light</t>
        </is>
      </c>
    </row>
    <row r="284">
      <c r="B284" s="7" t="inlineStr">
        <is>
          <t xml:space="preserve">  ↳ RA2HoverMissile_AA</t>
        </is>
      </c>
      <c r="C284" s="7" t="inlineStr">
        <is>
          <t>Armament@primaryAA</t>
        </is>
      </c>
      <c r="L284" s="6" t="n">
        <v>12000</v>
      </c>
      <c r="M284" s="6" t="n">
        <v>28</v>
      </c>
      <c r="N284" s="6" t="n">
        <v>2</v>
      </c>
      <c r="O284" s="6" t="n">
        <v>4</v>
      </c>
      <c r="P284" s="6" t="n">
        <v>8640</v>
      </c>
      <c r="Q284" s="6" t="n">
        <v>0.75</v>
      </c>
      <c r="R284">
        <f>M284+IF(N284&gt;1,N(O284)*(N284-1),0)</f>
        <v/>
      </c>
      <c r="S284">
        <f>IFERROR(L284*MAX(N284,1)/R284*IF(ISBLANK(K256),1,K256),0)</f>
        <v/>
      </c>
      <c r="AB284" s="7" t="inlineStr">
        <is>
          <t>^Warhead_Arrow_Light, ^Warhead_MissileAP_Light</t>
        </is>
      </c>
    </row>
    <row r="285">
      <c r="B285" s="7" t="inlineStr">
        <is>
          <t xml:space="preserve">  ↳ RA2HoverMissile_AA_elite</t>
        </is>
      </c>
      <c r="C285" s="7" t="inlineStr">
        <is>
          <t>Armament@primaryeliteAA</t>
        </is>
      </c>
      <c r="L285" s="6" t="n">
        <v>12000</v>
      </c>
      <c r="M285" s="6" t="n">
        <v>28</v>
      </c>
      <c r="N285" s="6" t="n">
        <v>4</v>
      </c>
      <c r="O285" s="6" t="n">
        <v>4</v>
      </c>
      <c r="P285" s="6" t="n">
        <v>9640</v>
      </c>
      <c r="Q285" s="6" t="n">
        <v>0.75</v>
      </c>
      <c r="R285">
        <f>M285+IF(N285&gt;1,N(O285)*(N285-1),0)</f>
        <v/>
      </c>
      <c r="S285">
        <f>IFERROR(L285*MAX(N285,1)/R285*IF(ISBLANK(K256),1,K256),0)</f>
        <v/>
      </c>
      <c r="AB285" s="7" t="inlineStr">
        <is>
          <t>^Warhead_Arrow_Light, ^Warhead_MissileAP_Light</t>
        </is>
      </c>
    </row>
    <row r="286">
      <c r="B286" s="7" t="inlineStr">
        <is>
          <t xml:space="preserve">  ↳ RA2ThunderboltMissile</t>
        </is>
      </c>
      <c r="C286" s="7" t="inlineStr">
        <is>
          <t>Armament@primaryThunderbolt</t>
        </is>
      </c>
      <c r="L286" s="6" t="n">
        <v>4000</v>
      </c>
      <c r="M286" s="6" t="n">
        <v>25</v>
      </c>
      <c r="N286" s="6" t="n">
        <v>1</v>
      </c>
      <c r="O286" s="6" t="n"/>
      <c r="P286" s="6" t="n">
        <v>5120</v>
      </c>
      <c r="Q286" s="6" t="n">
        <v>1</v>
      </c>
      <c r="R286">
        <f>M286+IF(N286&gt;1,N(O286)*(N286-1),0)</f>
        <v/>
      </c>
      <c r="S286">
        <f>IFERROR(L286*MAX(N286,1)/R286*IF(ISBLANK(K256),1,K256),0)</f>
        <v/>
      </c>
      <c r="AB286" s="7" t="inlineStr">
        <is>
          <t>^Warhead_MissileHE_Heavy, ^Warhead_MissileHE_Light</t>
        </is>
      </c>
    </row>
    <row r="287">
      <c r="B287" s="7" t="inlineStr">
        <is>
          <t xml:space="preserve">  ↳ RA2ThunderboltMissile_elite</t>
        </is>
      </c>
      <c r="C287" s="7" t="inlineStr">
        <is>
          <t>Armament@primaryeliteThunderbolt</t>
        </is>
      </c>
      <c r="L287" s="6" t="n">
        <v>4000</v>
      </c>
      <c r="M287" s="6" t="n">
        <v>25</v>
      </c>
      <c r="N287" s="6" t="n">
        <v>4</v>
      </c>
      <c r="O287" s="6" t="n"/>
      <c r="P287" s="6" t="n">
        <v>6760</v>
      </c>
      <c r="Q287" s="6" t="n">
        <v>1</v>
      </c>
      <c r="R287">
        <f>M287+IF(N287&gt;1,N(O287)*(N287-1),0)</f>
        <v/>
      </c>
      <c r="S287">
        <f>IFERROR(L287*MAX(N287,1)/R287*IF(ISBLANK(K256),1,K256),0)</f>
        <v/>
      </c>
      <c r="AB287" s="7" t="inlineStr">
        <is>
          <t>^Warhead_MissileHE_Heavy, ^Warhead_MissileHE_Light</t>
        </is>
      </c>
    </row>
    <row r="288">
      <c r="B288" s="7" t="inlineStr">
        <is>
          <t xml:space="preserve">  ↳ RA2ThunderboltMissile_AA</t>
        </is>
      </c>
      <c r="C288" s="7" t="inlineStr">
        <is>
          <t>Armament@primaryAAThunderbolt</t>
        </is>
      </c>
      <c r="L288" s="6" t="n">
        <v>4000</v>
      </c>
      <c r="M288" s="6" t="n">
        <v>25</v>
      </c>
      <c r="N288" s="6" t="n">
        <v>1</v>
      </c>
      <c r="O288" s="6" t="n"/>
      <c r="P288" s="6" t="n">
        <v>8640</v>
      </c>
      <c r="Q288" s="6" t="n">
        <v>1</v>
      </c>
      <c r="R288">
        <f>M288+IF(N288&gt;1,N(O288)*(N288-1),0)</f>
        <v/>
      </c>
      <c r="S288">
        <f>IFERROR(L288*MAX(N288,1)/R288*IF(ISBLANK(K256),1,K256),0)</f>
        <v/>
      </c>
      <c r="AB288" s="7" t="inlineStr">
        <is>
          <t>^Warhead_MissileHE_Heavy, ^Warhead_MissileHE_Light</t>
        </is>
      </c>
    </row>
    <row r="289">
      <c r="B289" s="7" t="inlineStr">
        <is>
          <t xml:space="preserve">  ↳ RA2ThunderboltMissile_AA_elite</t>
        </is>
      </c>
      <c r="C289" s="7" t="inlineStr">
        <is>
          <t>Armament@primaryeliteAAThunderbolt</t>
        </is>
      </c>
      <c r="L289" s="6" t="n">
        <v>4000</v>
      </c>
      <c r="M289" s="6" t="n">
        <v>25</v>
      </c>
      <c r="N289" s="6" t="n">
        <v>4</v>
      </c>
      <c r="O289" s="6" t="n"/>
      <c r="P289" s="6" t="n">
        <v>9640</v>
      </c>
      <c r="Q289" s="6" t="n">
        <v>1</v>
      </c>
      <c r="R289">
        <f>M289+IF(N289&gt;1,N(O289)*(N289-1),0)</f>
        <v/>
      </c>
      <c r="S289">
        <f>IFERROR(L289*MAX(N289,1)/R289*IF(ISBLANK(K256),1,K256),0)</f>
        <v/>
      </c>
      <c r="AB289" s="7" t="inlineStr">
        <is>
          <t>^Warhead_MissileHE_Heavy, ^Warhead_MissileHE_Light</t>
        </is>
      </c>
    </row>
    <row r="290">
      <c r="B290" s="7" t="inlineStr">
        <is>
          <t xml:space="preserve">  ↳ RA2MultiHoverMissile_elite</t>
        </is>
      </c>
      <c r="C290" s="7" t="inlineStr">
        <is>
          <t>Armament@missileelite</t>
        </is>
      </c>
      <c r="L290" s="6" t="n">
        <v>4000</v>
      </c>
      <c r="M290" s="6" t="n">
        <v>20</v>
      </c>
      <c r="N290" s="6" t="n">
        <v>4</v>
      </c>
      <c r="O290" s="6" t="n"/>
      <c r="P290" s="6" t="n">
        <v>7170</v>
      </c>
      <c r="Q290" s="6" t="n">
        <v>0.875</v>
      </c>
      <c r="R290">
        <f>M290+IF(N290&gt;1,N(O290)*(N290-1),0)</f>
        <v/>
      </c>
      <c r="S290">
        <f>IFERROR(L290*MAX(N290,1)/R290*IF(ISBLANK(K256),1,K256),0)</f>
        <v/>
      </c>
      <c r="AB290" s="7" t="inlineStr">
        <is>
          <t>^Warhead_CannonHE_Medium, ^Warhead_MissileHE_Light</t>
        </is>
      </c>
    </row>
    <row r="291">
      <c r="B291" s="7" t="inlineStr">
        <is>
          <t xml:space="preserve">  ↳ RA2MultiHoverMissile_AA</t>
        </is>
      </c>
      <c r="C291" s="7" t="inlineStr">
        <is>
          <t>Armament@missileAA</t>
        </is>
      </c>
      <c r="L291" s="6" t="n">
        <v>4000</v>
      </c>
      <c r="M291" s="6" t="n">
        <v>20</v>
      </c>
      <c r="N291" s="6" t="n">
        <v>4</v>
      </c>
      <c r="O291" s="6" t="n"/>
      <c r="P291" s="6" t="n">
        <v>9255</v>
      </c>
      <c r="Q291" s="6" t="n">
        <v>0.875</v>
      </c>
      <c r="R291">
        <f>M291+IF(N291&gt;1,N(O291)*(N291-1),0)</f>
        <v/>
      </c>
      <c r="S291">
        <f>IFERROR(L291*MAX(N291,1)/R291*IF(ISBLANK(K256),1,K256),0)</f>
        <v/>
      </c>
      <c r="AB291" s="7" t="inlineStr">
        <is>
          <t>^Warhead_CannonHE_Medium, ^Warhead_MissileHE_Light</t>
        </is>
      </c>
    </row>
    <row r="292">
      <c r="B292" s="7" t="inlineStr">
        <is>
          <t xml:space="preserve">  ↳ RA2MultiHoverMissile_AA_elite</t>
        </is>
      </c>
      <c r="C292" s="7" t="inlineStr">
        <is>
          <t>Armament@missileeliteAA</t>
        </is>
      </c>
      <c r="L292" s="6" t="n">
        <v>4000</v>
      </c>
      <c r="M292" s="6" t="n">
        <v>20</v>
      </c>
      <c r="N292" s="6" t="n">
        <v>4</v>
      </c>
      <c r="O292" s="6" t="n"/>
      <c r="P292" s="6" t="n">
        <v>10255</v>
      </c>
      <c r="Q292" s="6" t="n">
        <v>0.875</v>
      </c>
      <c r="R292">
        <f>M292+IF(N292&gt;1,N(O292)*(N292-1),0)</f>
        <v/>
      </c>
      <c r="S292">
        <f>IFERROR(L292*MAX(N292,1)/R292*IF(ISBLANK(K256),1,K256),0)</f>
        <v/>
      </c>
      <c r="AB292" s="7" t="inlineStr">
        <is>
          <t>^Warhead_CannonHE_Medium, ^Warhead_MissileHE_Light</t>
        </is>
      </c>
    </row>
    <row r="293">
      <c r="B293" s="7" t="inlineStr">
        <is>
          <t xml:space="preserve">  ↳ RA2MultiThunderboltMissile</t>
        </is>
      </c>
      <c r="C293" s="7" t="inlineStr">
        <is>
          <t>Armament@missileThunderbolt</t>
        </is>
      </c>
      <c r="L293" s="6" t="n">
        <v>4000</v>
      </c>
      <c r="M293" s="6" t="n">
        <v>25</v>
      </c>
      <c r="N293" s="6" t="n">
        <v>1</v>
      </c>
      <c r="O293" s="6" t="n"/>
      <c r="P293" s="6" t="n">
        <v>5120</v>
      </c>
      <c r="Q293" s="6" t="n">
        <v>1</v>
      </c>
      <c r="R293">
        <f>M293+IF(N293&gt;1,N(O293)*(N293-1),0)</f>
        <v/>
      </c>
      <c r="S293">
        <f>IFERROR(L293*MAX(N293,1)/R293*IF(ISBLANK(K256),1,K256),0)</f>
        <v/>
      </c>
      <c r="AB293" s="7" t="inlineStr">
        <is>
          <t>^Warhead_MissileHE_Heavy, ^Warhead_MissileHE_Light</t>
        </is>
      </c>
    </row>
    <row r="294">
      <c r="B294" s="7" t="inlineStr">
        <is>
          <t xml:space="preserve">  ↳ RA2MultiThunderboltMissile_elite</t>
        </is>
      </c>
      <c r="C294" s="7" t="inlineStr">
        <is>
          <t>Armament@missileeliteThunderbolt</t>
        </is>
      </c>
      <c r="L294" s="6" t="n">
        <v>4000</v>
      </c>
      <c r="M294" s="6" t="n">
        <v>25</v>
      </c>
      <c r="N294" s="6" t="n">
        <v>4</v>
      </c>
      <c r="O294" s="6" t="n"/>
      <c r="P294" s="6" t="n">
        <v>7170</v>
      </c>
      <c r="Q294" s="6" t="n">
        <v>1</v>
      </c>
      <c r="R294">
        <f>M294+IF(N294&gt;1,N(O294)*(N294-1),0)</f>
        <v/>
      </c>
      <c r="S294">
        <f>IFERROR(L294*MAX(N294,1)/R294*IF(ISBLANK(K256),1,K256),0)</f>
        <v/>
      </c>
      <c r="AB294" s="7" t="inlineStr">
        <is>
          <t>^Warhead_MissileHE_Heavy, ^Warhead_MissileHE_Light</t>
        </is>
      </c>
    </row>
    <row r="295">
      <c r="B295" s="7" t="inlineStr">
        <is>
          <t xml:space="preserve">  ↳ RA2MultiThunderboltMissile_AA</t>
        </is>
      </c>
      <c r="C295" s="7" t="inlineStr">
        <is>
          <t>Armament@missileAAThunderbolt</t>
        </is>
      </c>
      <c r="L295" s="6" t="n">
        <v>4000</v>
      </c>
      <c r="M295" s="6" t="n">
        <v>25</v>
      </c>
      <c r="N295" s="6" t="n">
        <v>1</v>
      </c>
      <c r="O295" s="6" t="n"/>
      <c r="P295" s="6" t="n">
        <v>9255</v>
      </c>
      <c r="Q295" s="6" t="n">
        <v>1</v>
      </c>
      <c r="R295">
        <f>M295+IF(N295&gt;1,N(O295)*(N295-1),0)</f>
        <v/>
      </c>
      <c r="S295">
        <f>IFERROR(L295*MAX(N295,1)/R295*IF(ISBLANK(K256),1,K256),0)</f>
        <v/>
      </c>
      <c r="AB295" s="7" t="inlineStr">
        <is>
          <t>^Warhead_MissileHE_Heavy, ^Warhead_MissileHE_Light</t>
        </is>
      </c>
    </row>
    <row r="296">
      <c r="B296" s="7" t="inlineStr">
        <is>
          <t xml:space="preserve">  ↳ RA2MultiThunderboltMissile_AA_elite</t>
        </is>
      </c>
      <c r="C296" s="7" t="inlineStr">
        <is>
          <t>Armament@missileeliteAAThunderbolt</t>
        </is>
      </c>
      <c r="L296" s="6" t="n">
        <v>4000</v>
      </c>
      <c r="M296" s="6" t="n">
        <v>25</v>
      </c>
      <c r="N296" s="6" t="n">
        <v>4</v>
      </c>
      <c r="O296" s="6" t="n"/>
      <c r="P296" s="6" t="n">
        <v>10255</v>
      </c>
      <c r="Q296" s="6" t="n">
        <v>1</v>
      </c>
      <c r="R296">
        <f>M296+IF(N296&gt;1,N(O296)*(N296-1),0)</f>
        <v/>
      </c>
      <c r="S296">
        <f>IFERROR(L296*MAX(N296,1)/R296*IF(ISBLANK(K256),1,K256),0)</f>
        <v/>
      </c>
      <c r="AB296" s="7" t="inlineStr">
        <is>
          <t>^Warhead_MissileHE_Heavy, ^Warhead_MissileHE_Light</t>
        </is>
      </c>
    </row>
    <row r="297">
      <c r="B297" s="7" t="inlineStr">
        <is>
          <t xml:space="preserve">  ↳ MedicHeal</t>
        </is>
      </c>
      <c r="C297" s="7" t="inlineStr">
        <is>
          <t>Armament@healer</t>
        </is>
      </c>
      <c r="L297" s="6" t="n">
        <v>-3000</v>
      </c>
      <c r="M297" s="6" t="n">
        <v>10</v>
      </c>
      <c r="N297" s="6" t="n">
        <v>1</v>
      </c>
      <c r="O297" s="6" t="n"/>
      <c r="P297" s="6" t="n">
        <v>6000</v>
      </c>
      <c r="Q297" s="6" t="n">
        <v>1</v>
      </c>
      <c r="R297">
        <f>M297+IF(N297&gt;1,N(O297)*(N297-1),0)</f>
        <v/>
      </c>
      <c r="S297">
        <f>IFERROR(L297*MAX(N297,1)/R297*IF(ISBLANK(K256),1,K256),0)</f>
        <v/>
      </c>
      <c r="AB297" s="7" t="inlineStr">
        <is>
          <t>^HealingWeapon</t>
        </is>
      </c>
    </row>
    <row r="298">
      <c r="B298" s="7" t="inlineStr">
        <is>
          <t xml:space="preserve">  ↳ RA2AWP</t>
        </is>
      </c>
      <c r="C298" s="7" t="inlineStr">
        <is>
          <t>Armament@ra1_allies_alliedsniper</t>
        </is>
      </c>
      <c r="L298" s="6" t="n">
        <v>44000</v>
      </c>
      <c r="M298" s="6" t="n">
        <v>54</v>
      </c>
      <c r="N298" s="6" t="n">
        <v>1</v>
      </c>
      <c r="O298" s="6" t="n"/>
      <c r="P298" s="6" t="n">
        <v>10000</v>
      </c>
      <c r="Q298" s="6" t="n">
        <v>0.75</v>
      </c>
      <c r="R298">
        <f>M298+IF(N298&gt;1,N(O298)*(N298-1),0)</f>
        <v/>
      </c>
      <c r="S298">
        <f>IFERROR(L298*MAX(N298,1)/R298*IF(ISBLANK(K256),1,K256),0)</f>
        <v/>
      </c>
      <c r="AB298" s="7" t="inlineStr">
        <is>
          <t>^Warhead_Sniper_Light</t>
        </is>
      </c>
    </row>
    <row r="299">
      <c r="A299" t="inlineStr">
        <is>
          <t>redalert2</t>
        </is>
      </c>
      <c r="B299" t="inlineStr">
        <is>
          <t>ra2_allies_ifv_missile</t>
        </is>
      </c>
      <c r="C299" t="inlineStr">
        <is>
          <t>actor_fv.name</t>
        </is>
      </c>
      <c r="D299" s="6" t="inlineStr">
        <is>
          <t>ScoutVehicle</t>
        </is>
      </c>
      <c r="E299" s="6" t="n">
        <v>25000</v>
      </c>
      <c r="F299" s="6" t="n">
        <v>150</v>
      </c>
      <c r="G299" t="inlineStr">
        <is>
          <t>Scout</t>
        </is>
      </c>
      <c r="H299" s="6" t="n">
        <v>1</v>
      </c>
      <c r="I299" s="6" t="n">
        <v>1</v>
      </c>
      <c r="J299" s="6" t="n">
        <v>1</v>
      </c>
      <c r="K299" s="6" t="n"/>
      <c r="P299">
        <f>MAX(P300,P301,P302,P303,P304,P305,P306,P307,P308,P309,P310,P311,P312,P313,P314,P315,P316,P317,P318,P322,P323,P324,P325,P326,P327,P328,P329,P330,P331,P332,P333,P334,P335,P336,P337,P338,P339,P340,P341)</f>
        <v/>
      </c>
      <c r="S299">
        <f>S300+S301+S302+S303+S304+S305+S306+S307+S308+S309+S310+S311+S312+S313+S314+S315+S316+S317+S318+S322+S323+S324+S325+S326+S327+S328+S329+S330+S331+S332+S333+S334+S335+S336+S337+S338+S339+S340+S341</f>
        <v/>
      </c>
      <c r="T299">
        <f>(E299/100000+F299/100+(P299/1000)*J299/5+S299/200)*200*I299*H299</f>
        <v/>
      </c>
      <c r="U299">
        <f>((E299*F299/25000)+((P299/1000)*J299*S299/2.5))*I299*H299</f>
        <v/>
      </c>
      <c r="V299">
        <f>(E299*F299*(P299/1000)*J299*S299*I299*H299)/12500000</f>
        <v/>
      </c>
      <c r="W299">
        <f>(((E299/30000)+(F299/200)+(S299/450)+((P299/4500)*J299))*300/4+(((E299/30000)*(F299/200))+(((P299/4500)*J299)*(S299/450)))*300/2+((E299/30000)*(F299/200)*((P299/4500)*J299)*(S299/450))*300)*(H299/1.0)/3</f>
        <v/>
      </c>
      <c r="X299" s="6" t="n">
        <v>500</v>
      </c>
      <c r="Y299">
        <f>IFERROR(W299-X299,"")</f>
        <v/>
      </c>
      <c r="Z299">
        <f>IFERROR(ABS(Y299)/MAX(X299,1),"")</f>
        <v/>
      </c>
      <c r="AA299">
        <f>IFERROR(ROUND(((3*X299-(((E299/30000)+(F299/200)+(S299/450))*300/4+((E299/30000)*(F299/200))*300/2)*(H299/1.0))/(300/4+((S299/450))*300/2+((E299/30000)*(F299/200)*(S299/450))*300)*(H299/1.0)*4500)/J299,-1),"")</f>
        <v/>
      </c>
    </row>
    <row r="300">
      <c r="B300" s="7" t="inlineStr">
        <is>
          <t xml:space="preserve">  ↳ RA2CRM60</t>
        </is>
      </c>
      <c r="C300" s="7" t="inlineStr">
        <is>
          <t>Armament@mg</t>
        </is>
      </c>
      <c r="L300" s="6" t="n">
        <v>4000</v>
      </c>
      <c r="M300" s="6" t="n">
        <v>14</v>
      </c>
      <c r="N300" s="6" t="n">
        <v>4</v>
      </c>
      <c r="O300" s="6" t="n">
        <v>2</v>
      </c>
      <c r="P300" s="6" t="n">
        <v>5660</v>
      </c>
      <c r="Q300" s="6" t="n">
        <v>0.875</v>
      </c>
      <c r="R300">
        <f>M300+IF(N300&gt;1,N(O300)*(N300-1),0)</f>
        <v/>
      </c>
      <c r="S300">
        <f>IFERROR(L300*MAX(N300,1)/R300*IF(ISBLANK(K299),1,K299),0)</f>
        <v/>
      </c>
      <c r="AB300" s="7" t="inlineStr">
        <is>
          <t>^Warhead_Bullet_Light, ^Warhead_Bullet_Medium</t>
        </is>
      </c>
    </row>
    <row r="301">
      <c r="B301" s="7" t="inlineStr">
        <is>
          <t xml:space="preserve">  ↳ RA2CRM60H</t>
        </is>
      </c>
      <c r="C301" s="7" t="inlineStr">
        <is>
          <t>Armament@hmg</t>
        </is>
      </c>
      <c r="L301" s="6" t="n">
        <v>6000</v>
      </c>
      <c r="M301" s="6" t="n">
        <v>10</v>
      </c>
      <c r="N301" s="6" t="n">
        <v>6</v>
      </c>
      <c r="O301" s="6" t="n">
        <v>2</v>
      </c>
      <c r="P301" s="6" t="n">
        <v>4692</v>
      </c>
      <c r="Q301" s="6" t="n">
        <v>1.125</v>
      </c>
      <c r="R301">
        <f>M301+IF(N301&gt;1,N(O301)*(N301-1),0)</f>
        <v/>
      </c>
      <c r="S301">
        <f>IFERROR(L301*MAX(N301,1)/R301*IF(ISBLANK(K299),1,K299),0)</f>
        <v/>
      </c>
      <c r="AB301" s="7" t="inlineStr">
        <is>
          <t>^Warhead_CannonHE_Heavy, ^Warhead_Bullet_Medium</t>
        </is>
      </c>
    </row>
    <row r="302">
      <c r="B302" s="7" t="inlineStr">
        <is>
          <t xml:space="preserve">  ↳ wc_tower_fire</t>
        </is>
      </c>
      <c r="C302" s="7" t="inlineStr">
        <is>
          <t>Armament@archer</t>
        </is>
      </c>
      <c r="L302" s="6" t="n">
        <v>2500</v>
      </c>
      <c r="M302" s="6" t="n">
        <v>40</v>
      </c>
      <c r="N302" s="6" t="n">
        <v>1</v>
      </c>
      <c r="O302" s="6" t="n"/>
      <c r="P302" s="6" t="n">
        <v>8704</v>
      </c>
      <c r="Q302" s="6" t="n">
        <v>1</v>
      </c>
      <c r="R302">
        <f>M302+IF(N302&gt;1,N(O302)*(N302-1),0)</f>
        <v/>
      </c>
      <c r="S302">
        <f>IFERROR(L302*MAX(N302,1)/R302*IF(ISBLANK(K299),1,K299),0)</f>
        <v/>
      </c>
      <c r="AB302" s="7" t="inlineStr">
        <is>
          <t>bowFire</t>
        </is>
      </c>
    </row>
    <row r="303">
      <c r="B303" s="7" t="inlineStr">
        <is>
          <t xml:space="preserve">  ↳ RA2IFVRepair</t>
        </is>
      </c>
      <c r="C303" s="7" t="inlineStr">
        <is>
          <t>Armament@repair</t>
        </is>
      </c>
      <c r="L303" s="6" t="n">
        <v>-3000</v>
      </c>
      <c r="M303" s="6" t="n">
        <v>50</v>
      </c>
      <c r="N303" s="6" t="n">
        <v>10</v>
      </c>
      <c r="O303" s="6" t="n">
        <v>1</v>
      </c>
      <c r="P303" s="6" t="n">
        <v>5000</v>
      </c>
      <c r="Q303" s="6" t="n">
        <v>1</v>
      </c>
      <c r="R303">
        <f>M303+IF(N303&gt;1,N(O303)*(N303-1),0)</f>
        <v/>
      </c>
      <c r="S303">
        <f>IFERROR(L303*MAX(N303,1)/R303*IF(ISBLANK(K299),1,K299),0)</f>
        <v/>
      </c>
      <c r="AB303" s="7" t="inlineStr">
        <is>
          <t>^RepairWeapon</t>
        </is>
      </c>
    </row>
    <row r="304">
      <c r="B304" s="7" t="inlineStr">
        <is>
          <t xml:space="preserve">  ↳ LightSniper</t>
        </is>
      </c>
      <c r="C304" s="7" t="inlineStr">
        <is>
          <t>Armament@lightsniper</t>
        </is>
      </c>
      <c r="L304" s="6" t="n">
        <v>30000</v>
      </c>
      <c r="M304" s="6" t="n">
        <v>100</v>
      </c>
      <c r="N304" s="6" t="n">
        <v>1</v>
      </c>
      <c r="O304" s="6" t="n"/>
      <c r="P304" s="6" t="n">
        <v>9153</v>
      </c>
      <c r="Q304" s="6" t="n">
        <v>0.75</v>
      </c>
      <c r="R304">
        <f>M304+IF(N304&gt;1,N(O304)*(N304-1),0)</f>
        <v/>
      </c>
      <c r="S304">
        <f>IFERROR(L304*MAX(N304,1)/R304*IF(ISBLANK(K299),1,K299),0)</f>
        <v/>
      </c>
      <c r="AB304" s="7" t="inlineStr">
        <is>
          <t>^Warhead_Sniper_Light</t>
        </is>
      </c>
    </row>
    <row r="305">
      <c r="B305" s="7" t="inlineStr">
        <is>
          <t xml:space="preserve">  ↳ RA2DoublePistolsIFV</t>
        </is>
      </c>
      <c r="C305" s="7" t="inlineStr">
        <is>
          <t>Armament@hero</t>
        </is>
      </c>
      <c r="L305" s="6" t="n">
        <v>14000</v>
      </c>
      <c r="M305" s="6" t="n">
        <v>12</v>
      </c>
      <c r="N305" s="6" t="n">
        <v>2</v>
      </c>
      <c r="O305" s="6" t="n">
        <v>3</v>
      </c>
      <c r="P305" s="6" t="n">
        <v>8000</v>
      </c>
      <c r="Q305" s="6" t="n">
        <v>0.75</v>
      </c>
      <c r="R305">
        <f>M305+IF(N305&gt;1,N(O305)*(N305-1),0)</f>
        <v/>
      </c>
      <c r="S305">
        <f>IFERROR(L305*MAX(N305,1)/R305*IF(ISBLANK(K299),1,K299),0)</f>
        <v/>
      </c>
      <c r="AB305" s="7" t="inlineStr">
        <is>
          <t>^Warhead_Sniper_Light</t>
        </is>
      </c>
    </row>
    <row r="306">
      <c r="B306" s="7" t="inlineStr">
        <is>
          <t xml:space="preserve">  ↳ TTankZap</t>
        </is>
      </c>
      <c r="C306" s="7" t="inlineStr">
        <is>
          <t>Armament@tesla</t>
        </is>
      </c>
      <c r="L306" s="6" t="n">
        <v>40000</v>
      </c>
      <c r="M306" s="6" t="n">
        <v>80</v>
      </c>
      <c r="N306" s="6" t="n">
        <v>1</v>
      </c>
      <c r="O306" s="6" t="n"/>
      <c r="P306" s="6" t="n">
        <v>7300</v>
      </c>
      <c r="Q306" s="6" t="n">
        <v>1.25</v>
      </c>
      <c r="R306">
        <f>M306+IF(N306&gt;1,N(O306)*(N306-1),0)</f>
        <v/>
      </c>
      <c r="S306">
        <f>IFERROR(L306*MAX(N306,1)/R306*IF(ISBLANK(K299),1,K299),0)</f>
        <v/>
      </c>
      <c r="AB306" s="7" t="inlineStr">
        <is>
          <t>^Warhead_Tesla_Heavy</t>
        </is>
      </c>
    </row>
    <row r="307">
      <c r="B307" s="7" t="inlineStr">
        <is>
          <t xml:space="preserve">  ↳ DragunovSniper</t>
        </is>
      </c>
      <c r="C307" s="7" t="inlineStr">
        <is>
          <t>Armament@flak</t>
        </is>
      </c>
      <c r="L307" s="6" t="n">
        <v>400000</v>
      </c>
      <c r="M307" s="6" t="n">
        <v>85</v>
      </c>
      <c r="N307" s="6" t="n">
        <v>1</v>
      </c>
      <c r="O307" s="6" t="n"/>
      <c r="P307" s="6" t="n">
        <v>5804</v>
      </c>
      <c r="Q307" s="6" t="n">
        <v>1</v>
      </c>
      <c r="R307">
        <f>M307+IF(N307&gt;1,N(O307)*(N307-1),0)</f>
        <v/>
      </c>
      <c r="S307">
        <f>IFERROR(L307*MAX(N307,1)/R307*IF(ISBLANK(K299),1,K299),0)</f>
        <v/>
      </c>
      <c r="AB307" s="7" t="inlineStr">
        <is>
          <t>^TankDestroyerCannon, ^RailgunWeapon, ^LightMissile, ^HeavyCannon, ^FlakWeapon</t>
        </is>
      </c>
    </row>
    <row r="308">
      <c r="B308" s="7" t="inlineStr">
        <is>
          <t xml:space="preserve">  ↳ RA2MirageGun</t>
        </is>
      </c>
      <c r="C308" s="7" t="inlineStr">
        <is>
          <t>Armament@cannon</t>
        </is>
      </c>
      <c r="L308" s="6" t="n">
        <v>24000</v>
      </c>
      <c r="M308" s="6" t="n">
        <v>39</v>
      </c>
      <c r="N308" s="6" t="n">
        <v>1</v>
      </c>
      <c r="O308" s="6" t="n"/>
      <c r="P308" s="6" t="n">
        <v>6031</v>
      </c>
      <c r="Q308" s="6" t="n">
        <v>0.75</v>
      </c>
      <c r="R308">
        <f>M308+IF(N308&gt;1,N(O308)*(N308-1),0)</f>
        <v/>
      </c>
      <c r="S308">
        <f>IFERROR(L308*MAX(N308,1)/R308*IF(ISBLANK(K299),1,K299),0)</f>
        <v/>
      </c>
      <c r="AB308" s="7" t="inlineStr">
        <is>
          <t>^Warhead_CannonAP_Light</t>
        </is>
      </c>
    </row>
    <row r="309">
      <c r="B309" s="7" t="inlineStr">
        <is>
          <t xml:space="preserve">  ↳ Grenade</t>
        </is>
      </c>
      <c r="C309" s="7" t="inlineStr">
        <is>
          <t>Armament@grenade</t>
        </is>
      </c>
      <c r="L309" s="6" t="n">
        <v>16000</v>
      </c>
      <c r="M309" s="6" t="n">
        <v>42</v>
      </c>
      <c r="N309" s="6" t="n">
        <v>1</v>
      </c>
      <c r="O309" s="6" t="n"/>
      <c r="P309" s="6" t="n">
        <v>6097</v>
      </c>
      <c r="Q309" s="6" t="n">
        <v>0.75</v>
      </c>
      <c r="R309">
        <f>M309+IF(N309&gt;1,N(O309)*(N309-1),0)</f>
        <v/>
      </c>
      <c r="S309">
        <f>IFERROR(L309*MAX(N309,1)/R309*IF(ISBLANK(K299),1,K299),0)</f>
        <v/>
      </c>
      <c r="AB309" s="7" t="inlineStr">
        <is>
          <t>^Warhead_Demolition_Light</t>
        </is>
      </c>
    </row>
    <row r="310">
      <c r="B310" s="7" t="inlineStr">
        <is>
          <t xml:space="preserve">  ↳ DRPlasmaTankWeapon</t>
        </is>
      </c>
      <c r="C310" s="7" t="inlineStr">
        <is>
          <t>Armament@plasma</t>
        </is>
      </c>
      <c r="L310" s="6" t="n">
        <v>6250</v>
      </c>
      <c r="M310" s="6" t="n">
        <v>21</v>
      </c>
      <c r="N310" s="6" t="n">
        <v>1</v>
      </c>
      <c r="O310" s="6" t="n"/>
      <c r="P310" s="6" t="n">
        <v>5120</v>
      </c>
      <c r="Q310" s="6" t="n">
        <v>1</v>
      </c>
      <c r="R310">
        <f>M310+IF(N310&gt;1,N(O310)*(N310-1),0)</f>
        <v/>
      </c>
      <c r="S310">
        <f>IFERROR(L310*MAX(N310,1)/R310*IF(ISBLANK(K299),1,K299),0)</f>
        <v/>
      </c>
      <c r="AB310" s="7" t="inlineStr">
        <is>
          <t>^DRPlasmaWeapon</t>
        </is>
      </c>
    </row>
    <row r="311">
      <c r="B311" s="7" t="inlineStr">
        <is>
          <t xml:space="preserve">  ↳ SWLaserG</t>
        </is>
      </c>
      <c r="C311" s="7" t="inlineStr">
        <is>
          <t>Armament@litlaser</t>
        </is>
      </c>
      <c r="L311" s="6" t="n">
        <v>2000</v>
      </c>
      <c r="M311" s="6" t="n">
        <v>30</v>
      </c>
      <c r="N311" s="6" t="n">
        <v>6</v>
      </c>
      <c r="O311" s="6" t="n"/>
      <c r="P311" s="6" t="n">
        <v>6144</v>
      </c>
      <c r="Q311" s="6" t="n">
        <v>1</v>
      </c>
      <c r="R311">
        <f>M311+IF(N311&gt;1,N(O311)*(N311-1),0)</f>
        <v/>
      </c>
      <c r="S311">
        <f>IFERROR(L311*MAX(N311,1)/R311*IF(ISBLANK(K299),1,K299),0)</f>
        <v/>
      </c>
      <c r="AB311" s="7" t="inlineStr">
        <is>
          <t>SWLaser</t>
        </is>
      </c>
    </row>
    <row r="312">
      <c r="B312" s="7" t="inlineStr">
        <is>
          <t xml:space="preserve">  ↳ USALaserCannonAG</t>
        </is>
      </c>
      <c r="C312" s="7" t="inlineStr">
        <is>
          <t>Armament@medlaser</t>
        </is>
      </c>
      <c r="L312" s="6" t="n">
        <v>4000</v>
      </c>
      <c r="M312" s="6" t="n">
        <v>50</v>
      </c>
      <c r="N312" s="6" t="n">
        <v>3</v>
      </c>
      <c r="O312" s="6" t="n">
        <v>6</v>
      </c>
      <c r="P312" s="6" t="n">
        <v>7168</v>
      </c>
      <c r="Q312" s="6" t="n">
        <v>1</v>
      </c>
      <c r="R312">
        <f>M312+IF(N312&gt;1,N(O312)*(N312-1),0)</f>
        <v/>
      </c>
      <c r="S312">
        <f>IFERROR(L312*MAX(N312,1)/R312*IF(ISBLANK(K299),1,K299),0)</f>
        <v/>
      </c>
      <c r="AB312" s="7" t="inlineStr">
        <is>
          <t>^AntiGroundMissile</t>
        </is>
      </c>
    </row>
    <row r="313">
      <c r="B313" s="7" t="inlineStr">
        <is>
          <t xml:space="preserve">  ↳ SWGreenLaserG</t>
        </is>
      </c>
      <c r="C313" s="7" t="inlineStr">
        <is>
          <t>Armament@greenlaser</t>
        </is>
      </c>
      <c r="L313" s="6" t="n">
        <v>5000</v>
      </c>
      <c r="M313" s="6" t="n">
        <v>75</v>
      </c>
      <c r="N313" s="6" t="n">
        <v>1</v>
      </c>
      <c r="O313" s="6" t="n"/>
      <c r="P313" s="6" t="n">
        <v>7168</v>
      </c>
      <c r="Q313" s="6" t="n">
        <v>1</v>
      </c>
      <c r="R313">
        <f>M313+IF(N313&gt;1,N(O313)*(N313-1),0)</f>
        <v/>
      </c>
      <c r="S313">
        <f>IFERROR(L313*MAX(N313,1)/R313*IF(ISBLANK(K299),1,K299),0)</f>
        <v/>
      </c>
      <c r="AB313" s="7" t="inlineStr">
        <is>
          <t>SWGreenLaser</t>
        </is>
      </c>
    </row>
    <row r="314">
      <c r="B314" s="7" t="inlineStr">
        <is>
          <t xml:space="preserve">  ↳ SWGBigRedLaserG</t>
        </is>
      </c>
      <c r="C314" s="7" t="inlineStr">
        <is>
          <t>Armament@misslaser</t>
        </is>
      </c>
      <c r="L314" s="6" t="n">
        <v>4000</v>
      </c>
      <c r="M314" s="6" t="n">
        <v>75</v>
      </c>
      <c r="N314" s="6" t="n">
        <v>1</v>
      </c>
      <c r="O314" s="6" t="n"/>
      <c r="P314" s="6" t="n">
        <v>8192</v>
      </c>
      <c r="Q314" s="6" t="n">
        <v>1</v>
      </c>
      <c r="R314">
        <f>M314+IF(N314&gt;1,N(O314)*(N314-1),0)</f>
        <v/>
      </c>
      <c r="S314">
        <f>IFERROR(L314*MAX(N314,1)/R314*IF(ISBLANK(K299),1,K299),0)</f>
        <v/>
      </c>
      <c r="AB314" s="7" t="inlineStr">
        <is>
          <t>SWrBigRedLaser</t>
        </is>
      </c>
    </row>
    <row r="315">
      <c r="B315" s="7" t="inlineStr">
        <is>
          <t xml:space="preserve">  ↳ BigFlamer</t>
        </is>
      </c>
      <c r="C315" s="7" t="inlineStr">
        <is>
          <t>Armament@fire</t>
        </is>
      </c>
      <c r="L315" s="6" t="n">
        <v>14000</v>
      </c>
      <c r="M315" s="6" t="n">
        <v>50</v>
      </c>
      <c r="N315" s="6" t="n">
        <v>2</v>
      </c>
      <c r="O315" s="6" t="n">
        <v>10</v>
      </c>
      <c r="P315" s="6" t="n">
        <v>2390</v>
      </c>
      <c r="Q315" s="6" t="n">
        <v>1</v>
      </c>
      <c r="R315">
        <f>M315+IF(N315&gt;1,N(O315)*(N315-1),0)</f>
        <v/>
      </c>
      <c r="S315">
        <f>IFERROR(L315*MAX(N315,1)/R315*IF(ISBLANK(K299),1,K299),0)</f>
        <v/>
      </c>
      <c r="AB315" s="7" t="inlineStr">
        <is>
          <t>^Warhead_Flame_Medium</t>
        </is>
      </c>
    </row>
    <row r="316">
      <c r="B316" s="7" t="inlineStr">
        <is>
          <t xml:space="preserve">  ↳ RA2RadBeamWeapon</t>
        </is>
      </c>
      <c r="C316" s="7" t="inlineStr">
        <is>
          <t>Armament@chem</t>
        </is>
      </c>
      <c r="L316" s="6" t="n">
        <v>30000</v>
      </c>
      <c r="M316" s="6" t="n">
        <v>45</v>
      </c>
      <c r="N316" s="6" t="n">
        <v>1</v>
      </c>
      <c r="O316" s="6" t="n"/>
      <c r="P316" s="6" t="n">
        <v>6444</v>
      </c>
      <c r="Q316" s="6" t="n">
        <v>1</v>
      </c>
      <c r="R316">
        <f>M316+IF(N316&gt;1,N(O316)*(N316-1),0)</f>
        <v/>
      </c>
      <c r="S316">
        <f>IFERROR(L316*MAX(N316,1)/R316*IF(ISBLANK(K299),1,K299),0)</f>
        <v/>
      </c>
      <c r="AB316" s="7" t="inlineStr">
        <is>
          <t>^Warhead_Chemical_Medium</t>
        </is>
      </c>
    </row>
    <row r="317">
      <c r="B317" s="7" t="inlineStr">
        <is>
          <t xml:space="preserve">  ↳ RA2RadBeamWeapon</t>
        </is>
      </c>
      <c r="C317" s="7" t="inlineStr">
        <is>
          <t>Armament@thrax</t>
        </is>
      </c>
      <c r="L317" s="6" t="n">
        <v>30000</v>
      </c>
      <c r="M317" s="6" t="n">
        <v>45</v>
      </c>
      <c r="N317" s="6" t="n">
        <v>1</v>
      </c>
      <c r="O317" s="6" t="n"/>
      <c r="P317" s="6" t="n">
        <v>6444</v>
      </c>
      <c r="Q317" s="6" t="n">
        <v>1</v>
      </c>
      <c r="R317">
        <f>M317+IF(N317&gt;1,N(O317)*(N317-1),0)</f>
        <v/>
      </c>
      <c r="S317">
        <f>IFERROR(L317*MAX(N317,1)/R317*IF(ISBLANK(K299),1,K299),0)</f>
        <v/>
      </c>
      <c r="AB317" s="7" t="inlineStr">
        <is>
          <t>^Warhead_Chemical_Medium</t>
        </is>
      </c>
    </row>
    <row r="318">
      <c r="B318" s="7" t="inlineStr">
        <is>
          <t xml:space="preserve">  ↳ RA2MultiHoverMissile</t>
        </is>
      </c>
      <c r="C318" s="7" t="inlineStr">
        <is>
          <t>Armament@missile</t>
        </is>
      </c>
      <c r="L318" s="6" t="n">
        <v>4000</v>
      </c>
      <c r="M318" s="6" t="n">
        <v>20</v>
      </c>
      <c r="N318" s="6" t="n">
        <v>4</v>
      </c>
      <c r="O318" s="6" t="n"/>
      <c r="P318" s="6" t="n">
        <v>6170</v>
      </c>
      <c r="Q318" s="6" t="n">
        <v>0.875</v>
      </c>
      <c r="R318">
        <f>M318+IF(N318&gt;1,N(O318)*(N318-1),0)</f>
        <v/>
      </c>
      <c r="S318">
        <f>IFERROR(L318*MAX(N318,1)/R318*IF(ISBLANK(K299),1,K299),0)</f>
        <v/>
      </c>
      <c r="AB318" s="7" t="inlineStr">
        <is>
          <t>^Warhead_CannonHE_Medium, ^Warhead_MissileHE_Light</t>
        </is>
      </c>
    </row>
    <row r="319">
      <c r="B319" s="7" t="inlineStr">
        <is>
          <t xml:space="preserve">  ↳ IFVChronoBeam</t>
        </is>
      </c>
      <c r="C319" s="7" t="inlineStr">
        <is>
          <t>Armament@chrono</t>
        </is>
      </c>
      <c r="L319" s="6" t="n"/>
      <c r="M319" s="6" t="n">
        <v>1</v>
      </c>
      <c r="N319" s="6" t="n">
        <v>1</v>
      </c>
      <c r="O319" s="6" t="n"/>
      <c r="P319" s="6" t="n">
        <v>7500</v>
      </c>
      <c r="Q319" s="6" t="n">
        <v>1</v>
      </c>
      <c r="R319">
        <f>M319+IF(N319&gt;1,N(O319)*(N319-1),0)</f>
        <v/>
      </c>
      <c r="S319">
        <f>IFERROR(L319*MAX(N319,1)/R319*IF(ISBLANK(K299),1,K299),0)</f>
        <v/>
      </c>
      <c r="AB319" s="7" t="inlineStr">
        <is>
          <t>ChronoBeam</t>
        </is>
      </c>
    </row>
    <row r="320">
      <c r="B320" s="7" t="inlineStr">
        <is>
          <t xml:space="preserve">  ↳ IFVChronoSound</t>
        </is>
      </c>
      <c r="C320" s="7" t="inlineStr">
        <is>
          <t>Armament@chronosound</t>
        </is>
      </c>
      <c r="L320" s="6" t="n"/>
      <c r="M320" s="6" t="n">
        <v>180</v>
      </c>
      <c r="N320" s="6" t="n">
        <v>1</v>
      </c>
      <c r="O320" s="6" t="n"/>
      <c r="P320" s="6" t="n">
        <v>8000</v>
      </c>
      <c r="Q320" s="6" t="n">
        <v>1</v>
      </c>
      <c r="R320">
        <f>M320+IF(N320&gt;1,N(O320)*(N320-1),0)</f>
        <v/>
      </c>
      <c r="S320">
        <f>IFERROR(L320*MAX(N320,1)/R320*IF(ISBLANK(K299),1,K299),0)</f>
        <v/>
      </c>
      <c r="AB320" s="7" t="inlineStr">
        <is>
          <t>RA2ChronoTele</t>
        </is>
      </c>
    </row>
    <row r="321">
      <c r="B321" s="7" t="inlineStr">
        <is>
          <t xml:space="preserve">  ↳ DemoTruckTargeting</t>
        </is>
      </c>
      <c r="C321" s="7" t="inlineStr">
        <is>
          <t>Armament@ivan</t>
        </is>
      </c>
      <c r="L321" s="6" t="n"/>
      <c r="M321" s="6" t="n"/>
      <c r="N321" s="6" t="n">
        <v>1</v>
      </c>
      <c r="O321" s="6" t="n"/>
      <c r="P321" s="6" t="n">
        <v>2000</v>
      </c>
      <c r="Q321" s="6" t="n">
        <v>1</v>
      </c>
      <c r="R321">
        <f>M321+IF(N321&gt;1,N(O321)*(N321-1),0)</f>
        <v/>
      </c>
      <c r="S321">
        <f>IFERROR(L321*MAX(N321,1)/R321*IF(ISBLANK(K299),1,K299),0)</f>
        <v/>
      </c>
      <c r="AB321" s="7" t="inlineStr"/>
    </row>
    <row r="322">
      <c r="B322" s="7" t="inlineStr">
        <is>
          <t xml:space="preserve">  ↳ Fremen_L</t>
        </is>
      </c>
      <c r="C322" s="7" t="inlineStr">
        <is>
          <t>Armament@fremen</t>
        </is>
      </c>
      <c r="L322" s="6" t="n">
        <v>3000</v>
      </c>
      <c r="M322" s="6" t="n">
        <v>25</v>
      </c>
      <c r="N322" s="6" t="n">
        <v>1</v>
      </c>
      <c r="O322" s="6" t="n"/>
      <c r="P322" s="6" t="n">
        <v>2560</v>
      </c>
      <c r="Q322" s="6" t="n">
        <v>1</v>
      </c>
      <c r="R322">
        <f>M322+IF(N322&gt;1,N(O322)*(N322-1),0)</f>
        <v/>
      </c>
      <c r="S322">
        <f>IFERROR(L322*MAX(N322,1)/R322*IF(ISBLANK(K299),1,K299),0)</f>
        <v/>
      </c>
      <c r="AB322" s="7" t="inlineStr">
        <is>
          <t>M_HMG</t>
        </is>
      </c>
    </row>
    <row r="323">
      <c r="B323" s="7" t="inlineStr">
        <is>
          <t xml:space="preserve">  ↳ TSSonicZap</t>
        </is>
      </c>
      <c r="C323" s="7" t="inlineStr">
        <is>
          <t>Armament@sonic</t>
        </is>
      </c>
      <c r="L323" s="6" t="n">
        <v>5000</v>
      </c>
      <c r="M323" s="6" t="n">
        <v>60</v>
      </c>
      <c r="N323" s="6" t="n">
        <v>1</v>
      </c>
      <c r="O323" s="6" t="n"/>
      <c r="P323" s="6" t="n">
        <v>6144</v>
      </c>
      <c r="Q323" s="6" t="n">
        <v>1</v>
      </c>
      <c r="R323">
        <f>M323+IF(N323&gt;1,N(O323)*(N323-1),0)</f>
        <v/>
      </c>
      <c r="S323">
        <f>IFERROR(L323*MAX(N323,1)/R323*IF(ISBLANK(K299),1,K299),0)</f>
        <v/>
      </c>
      <c r="AB323" s="7" t="inlineStr"/>
    </row>
    <row r="324">
      <c r="B324" s="7" t="inlineStr">
        <is>
          <t xml:space="preserve">  ↳ MedicHeal</t>
        </is>
      </c>
      <c r="C324" s="7" t="inlineStr">
        <is>
          <t>Armament@heal</t>
        </is>
      </c>
      <c r="L324" s="6" t="n">
        <v>-3000</v>
      </c>
      <c r="M324" s="6" t="n">
        <v>10</v>
      </c>
      <c r="N324" s="6" t="n">
        <v>1</v>
      </c>
      <c r="O324" s="6" t="n"/>
      <c r="P324" s="6" t="n">
        <v>6000</v>
      </c>
      <c r="Q324" s="6" t="n">
        <v>1</v>
      </c>
      <c r="R324">
        <f>M324+IF(N324&gt;1,N(O324)*(N324-1),0)</f>
        <v/>
      </c>
      <c r="S324">
        <f>IFERROR(L324*MAX(N324,1)/R324*IF(ISBLANK(K299),1,K299),0)</f>
        <v/>
      </c>
      <c r="AB324" s="7" t="inlineStr">
        <is>
          <t>^HealingWeapon</t>
        </is>
      </c>
    </row>
    <row r="325">
      <c r="B325" s="7" t="inlineStr">
        <is>
          <t xml:space="preserve">  ↳ RA2HoverMissile</t>
        </is>
      </c>
      <c r="C325" s="7" t="inlineStr">
        <is>
          <t>Armament@primary</t>
        </is>
      </c>
      <c r="L325" s="6" t="n">
        <v>12000</v>
      </c>
      <c r="M325" s="6" t="n">
        <v>28</v>
      </c>
      <c r="N325" s="6" t="n">
        <v>2</v>
      </c>
      <c r="O325" s="6" t="n">
        <v>4</v>
      </c>
      <c r="P325" s="6" t="n">
        <v>5760</v>
      </c>
      <c r="Q325" s="6" t="n">
        <v>0.75</v>
      </c>
      <c r="R325">
        <f>M325+IF(N325&gt;1,N(O325)*(N325-1),0)</f>
        <v/>
      </c>
      <c r="S325">
        <f>IFERROR(L325*MAX(N325,1)/R325*IF(ISBLANK(K299),1,K299),0)</f>
        <v/>
      </c>
      <c r="AB325" s="7" t="inlineStr">
        <is>
          <t>^Warhead_Arrow_Light, ^Warhead_MissileAP_Light</t>
        </is>
      </c>
    </row>
    <row r="326">
      <c r="B326" s="7" t="inlineStr">
        <is>
          <t xml:space="preserve">  ↳ RA2HoverMissile_elite</t>
        </is>
      </c>
      <c r="C326" s="7" t="inlineStr">
        <is>
          <t>Armament@primaryelite</t>
        </is>
      </c>
      <c r="L326" s="6" t="n">
        <v>12000</v>
      </c>
      <c r="M326" s="6" t="n">
        <v>28</v>
      </c>
      <c r="N326" s="6" t="n">
        <v>4</v>
      </c>
      <c r="O326" s="6" t="n">
        <v>4</v>
      </c>
      <c r="P326" s="6" t="n">
        <v>6760</v>
      </c>
      <c r="Q326" s="6" t="n">
        <v>0.75</v>
      </c>
      <c r="R326">
        <f>M326+IF(N326&gt;1,N(O326)*(N326-1),0)</f>
        <v/>
      </c>
      <c r="S326">
        <f>IFERROR(L326*MAX(N326,1)/R326*IF(ISBLANK(K299),1,K299),0)</f>
        <v/>
      </c>
      <c r="AB326" s="7" t="inlineStr">
        <is>
          <t>^Warhead_Arrow_Light, ^Warhead_MissileAP_Light</t>
        </is>
      </c>
    </row>
    <row r="327">
      <c r="B327" s="7" t="inlineStr">
        <is>
          <t xml:space="preserve">  ↳ RA2HoverMissile_AA</t>
        </is>
      </c>
      <c r="C327" s="7" t="inlineStr">
        <is>
          <t>Armament@primaryAA</t>
        </is>
      </c>
      <c r="L327" s="6" t="n">
        <v>12000</v>
      </c>
      <c r="M327" s="6" t="n">
        <v>28</v>
      </c>
      <c r="N327" s="6" t="n">
        <v>2</v>
      </c>
      <c r="O327" s="6" t="n">
        <v>4</v>
      </c>
      <c r="P327" s="6" t="n">
        <v>8640</v>
      </c>
      <c r="Q327" s="6" t="n">
        <v>0.75</v>
      </c>
      <c r="R327">
        <f>M327+IF(N327&gt;1,N(O327)*(N327-1),0)</f>
        <v/>
      </c>
      <c r="S327">
        <f>IFERROR(L327*MAX(N327,1)/R327*IF(ISBLANK(K299),1,K299),0)</f>
        <v/>
      </c>
      <c r="AB327" s="7" t="inlineStr">
        <is>
          <t>^Warhead_Arrow_Light, ^Warhead_MissileAP_Light</t>
        </is>
      </c>
    </row>
    <row r="328">
      <c r="B328" s="7" t="inlineStr">
        <is>
          <t xml:space="preserve">  ↳ RA2HoverMissile_AA_elite</t>
        </is>
      </c>
      <c r="C328" s="7" t="inlineStr">
        <is>
          <t>Armament@primaryeliteAA</t>
        </is>
      </c>
      <c r="L328" s="6" t="n">
        <v>12000</v>
      </c>
      <c r="M328" s="6" t="n">
        <v>28</v>
      </c>
      <c r="N328" s="6" t="n">
        <v>4</v>
      </c>
      <c r="O328" s="6" t="n">
        <v>4</v>
      </c>
      <c r="P328" s="6" t="n">
        <v>9640</v>
      </c>
      <c r="Q328" s="6" t="n">
        <v>0.75</v>
      </c>
      <c r="R328">
        <f>M328+IF(N328&gt;1,N(O328)*(N328-1),0)</f>
        <v/>
      </c>
      <c r="S328">
        <f>IFERROR(L328*MAX(N328,1)/R328*IF(ISBLANK(K299),1,K299),0)</f>
        <v/>
      </c>
      <c r="AB328" s="7" t="inlineStr">
        <is>
          <t>^Warhead_Arrow_Light, ^Warhead_MissileAP_Light</t>
        </is>
      </c>
    </row>
    <row r="329">
      <c r="B329" s="7" t="inlineStr">
        <is>
          <t xml:space="preserve">  ↳ RA2ThunderboltMissile</t>
        </is>
      </c>
      <c r="C329" s="7" t="inlineStr">
        <is>
          <t>Armament@primaryThunderbolt</t>
        </is>
      </c>
      <c r="L329" s="6" t="n">
        <v>4000</v>
      </c>
      <c r="M329" s="6" t="n">
        <v>25</v>
      </c>
      <c r="N329" s="6" t="n">
        <v>1</v>
      </c>
      <c r="O329" s="6" t="n"/>
      <c r="P329" s="6" t="n">
        <v>5120</v>
      </c>
      <c r="Q329" s="6" t="n">
        <v>1</v>
      </c>
      <c r="R329">
        <f>M329+IF(N329&gt;1,N(O329)*(N329-1),0)</f>
        <v/>
      </c>
      <c r="S329">
        <f>IFERROR(L329*MAX(N329,1)/R329*IF(ISBLANK(K299),1,K299),0)</f>
        <v/>
      </c>
      <c r="AB329" s="7" t="inlineStr">
        <is>
          <t>^Warhead_MissileHE_Heavy, ^Warhead_MissileHE_Light</t>
        </is>
      </c>
    </row>
    <row r="330">
      <c r="B330" s="7" t="inlineStr">
        <is>
          <t xml:space="preserve">  ↳ RA2ThunderboltMissile_elite</t>
        </is>
      </c>
      <c r="C330" s="7" t="inlineStr">
        <is>
          <t>Armament@primaryeliteThunderbolt</t>
        </is>
      </c>
      <c r="L330" s="6" t="n">
        <v>4000</v>
      </c>
      <c r="M330" s="6" t="n">
        <v>25</v>
      </c>
      <c r="N330" s="6" t="n">
        <v>4</v>
      </c>
      <c r="O330" s="6" t="n"/>
      <c r="P330" s="6" t="n">
        <v>6760</v>
      </c>
      <c r="Q330" s="6" t="n">
        <v>1</v>
      </c>
      <c r="R330">
        <f>M330+IF(N330&gt;1,N(O330)*(N330-1),0)</f>
        <v/>
      </c>
      <c r="S330">
        <f>IFERROR(L330*MAX(N330,1)/R330*IF(ISBLANK(K299),1,K299),0)</f>
        <v/>
      </c>
      <c r="AB330" s="7" t="inlineStr">
        <is>
          <t>^Warhead_MissileHE_Heavy, ^Warhead_MissileHE_Light</t>
        </is>
      </c>
    </row>
    <row r="331">
      <c r="B331" s="7" t="inlineStr">
        <is>
          <t xml:space="preserve">  ↳ RA2ThunderboltMissile_AA</t>
        </is>
      </c>
      <c r="C331" s="7" t="inlineStr">
        <is>
          <t>Armament@primaryAAThunderbolt</t>
        </is>
      </c>
      <c r="L331" s="6" t="n">
        <v>4000</v>
      </c>
      <c r="M331" s="6" t="n">
        <v>25</v>
      </c>
      <c r="N331" s="6" t="n">
        <v>1</v>
      </c>
      <c r="O331" s="6" t="n"/>
      <c r="P331" s="6" t="n">
        <v>8640</v>
      </c>
      <c r="Q331" s="6" t="n">
        <v>1</v>
      </c>
      <c r="R331">
        <f>M331+IF(N331&gt;1,N(O331)*(N331-1),0)</f>
        <v/>
      </c>
      <c r="S331">
        <f>IFERROR(L331*MAX(N331,1)/R331*IF(ISBLANK(K299),1,K299),0)</f>
        <v/>
      </c>
      <c r="AB331" s="7" t="inlineStr">
        <is>
          <t>^Warhead_MissileHE_Heavy, ^Warhead_MissileHE_Light</t>
        </is>
      </c>
    </row>
    <row r="332">
      <c r="B332" s="7" t="inlineStr">
        <is>
          <t xml:space="preserve">  ↳ RA2ThunderboltMissile_AA_elite</t>
        </is>
      </c>
      <c r="C332" s="7" t="inlineStr">
        <is>
          <t>Armament@primaryeliteAAThunderbolt</t>
        </is>
      </c>
      <c r="L332" s="6" t="n">
        <v>4000</v>
      </c>
      <c r="M332" s="6" t="n">
        <v>25</v>
      </c>
      <c r="N332" s="6" t="n">
        <v>4</v>
      </c>
      <c r="O332" s="6" t="n"/>
      <c r="P332" s="6" t="n">
        <v>9640</v>
      </c>
      <c r="Q332" s="6" t="n">
        <v>1</v>
      </c>
      <c r="R332">
        <f>M332+IF(N332&gt;1,N(O332)*(N332-1),0)</f>
        <v/>
      </c>
      <c r="S332">
        <f>IFERROR(L332*MAX(N332,1)/R332*IF(ISBLANK(K299),1,K299),0)</f>
        <v/>
      </c>
      <c r="AB332" s="7" t="inlineStr">
        <is>
          <t>^Warhead_MissileHE_Heavy, ^Warhead_MissileHE_Light</t>
        </is>
      </c>
    </row>
    <row r="333">
      <c r="B333" s="7" t="inlineStr">
        <is>
          <t xml:space="preserve">  ↳ RA2MultiHoverMissile_elite</t>
        </is>
      </c>
      <c r="C333" s="7" t="inlineStr">
        <is>
          <t>Armament@missileelite</t>
        </is>
      </c>
      <c r="L333" s="6" t="n">
        <v>4000</v>
      </c>
      <c r="M333" s="6" t="n">
        <v>20</v>
      </c>
      <c r="N333" s="6" t="n">
        <v>4</v>
      </c>
      <c r="O333" s="6" t="n"/>
      <c r="P333" s="6" t="n">
        <v>7170</v>
      </c>
      <c r="Q333" s="6" t="n">
        <v>0.875</v>
      </c>
      <c r="R333">
        <f>M333+IF(N333&gt;1,N(O333)*(N333-1),0)</f>
        <v/>
      </c>
      <c r="S333">
        <f>IFERROR(L333*MAX(N333,1)/R333*IF(ISBLANK(K299),1,K299),0)</f>
        <v/>
      </c>
      <c r="AB333" s="7" t="inlineStr">
        <is>
          <t>^Warhead_CannonHE_Medium, ^Warhead_MissileHE_Light</t>
        </is>
      </c>
    </row>
    <row r="334">
      <c r="B334" s="7" t="inlineStr">
        <is>
          <t xml:space="preserve">  ↳ RA2MultiHoverMissile_AA</t>
        </is>
      </c>
      <c r="C334" s="7" t="inlineStr">
        <is>
          <t>Armament@missileAA</t>
        </is>
      </c>
      <c r="L334" s="6" t="n">
        <v>4000</v>
      </c>
      <c r="M334" s="6" t="n">
        <v>20</v>
      </c>
      <c r="N334" s="6" t="n">
        <v>4</v>
      </c>
      <c r="O334" s="6" t="n"/>
      <c r="P334" s="6" t="n">
        <v>9255</v>
      </c>
      <c r="Q334" s="6" t="n">
        <v>0.875</v>
      </c>
      <c r="R334">
        <f>M334+IF(N334&gt;1,N(O334)*(N334-1),0)</f>
        <v/>
      </c>
      <c r="S334">
        <f>IFERROR(L334*MAX(N334,1)/R334*IF(ISBLANK(K299),1,K299),0)</f>
        <v/>
      </c>
      <c r="AB334" s="7" t="inlineStr">
        <is>
          <t>^Warhead_CannonHE_Medium, ^Warhead_MissileHE_Light</t>
        </is>
      </c>
    </row>
    <row r="335">
      <c r="B335" s="7" t="inlineStr">
        <is>
          <t xml:space="preserve">  ↳ RA2MultiHoverMissile_AA_elite</t>
        </is>
      </c>
      <c r="C335" s="7" t="inlineStr">
        <is>
          <t>Armament@missileeliteAA</t>
        </is>
      </c>
      <c r="L335" s="6" t="n">
        <v>4000</v>
      </c>
      <c r="M335" s="6" t="n">
        <v>20</v>
      </c>
      <c r="N335" s="6" t="n">
        <v>4</v>
      </c>
      <c r="O335" s="6" t="n"/>
      <c r="P335" s="6" t="n">
        <v>10255</v>
      </c>
      <c r="Q335" s="6" t="n">
        <v>0.875</v>
      </c>
      <c r="R335">
        <f>M335+IF(N335&gt;1,N(O335)*(N335-1),0)</f>
        <v/>
      </c>
      <c r="S335">
        <f>IFERROR(L335*MAX(N335,1)/R335*IF(ISBLANK(K299),1,K299),0)</f>
        <v/>
      </c>
      <c r="AB335" s="7" t="inlineStr">
        <is>
          <t>^Warhead_CannonHE_Medium, ^Warhead_MissileHE_Light</t>
        </is>
      </c>
    </row>
    <row r="336">
      <c r="B336" s="7" t="inlineStr">
        <is>
          <t xml:space="preserve">  ↳ RA2MultiThunderboltMissile</t>
        </is>
      </c>
      <c r="C336" s="7" t="inlineStr">
        <is>
          <t>Armament@missileThunderbolt</t>
        </is>
      </c>
      <c r="L336" s="6" t="n">
        <v>4000</v>
      </c>
      <c r="M336" s="6" t="n">
        <v>25</v>
      </c>
      <c r="N336" s="6" t="n">
        <v>1</v>
      </c>
      <c r="O336" s="6" t="n"/>
      <c r="P336" s="6" t="n">
        <v>5120</v>
      </c>
      <c r="Q336" s="6" t="n">
        <v>1</v>
      </c>
      <c r="R336">
        <f>M336+IF(N336&gt;1,N(O336)*(N336-1),0)</f>
        <v/>
      </c>
      <c r="S336">
        <f>IFERROR(L336*MAX(N336,1)/R336*IF(ISBLANK(K299),1,K299),0)</f>
        <v/>
      </c>
      <c r="AB336" s="7" t="inlineStr">
        <is>
          <t>^Warhead_MissileHE_Heavy, ^Warhead_MissileHE_Light</t>
        </is>
      </c>
    </row>
    <row r="337">
      <c r="B337" s="7" t="inlineStr">
        <is>
          <t xml:space="preserve">  ↳ RA2MultiThunderboltMissile_elite</t>
        </is>
      </c>
      <c r="C337" s="7" t="inlineStr">
        <is>
          <t>Armament@missileeliteThunderbolt</t>
        </is>
      </c>
      <c r="L337" s="6" t="n">
        <v>4000</v>
      </c>
      <c r="M337" s="6" t="n">
        <v>25</v>
      </c>
      <c r="N337" s="6" t="n">
        <v>4</v>
      </c>
      <c r="O337" s="6" t="n"/>
      <c r="P337" s="6" t="n">
        <v>7170</v>
      </c>
      <c r="Q337" s="6" t="n">
        <v>1</v>
      </c>
      <c r="R337">
        <f>M337+IF(N337&gt;1,N(O337)*(N337-1),0)</f>
        <v/>
      </c>
      <c r="S337">
        <f>IFERROR(L337*MAX(N337,1)/R337*IF(ISBLANK(K299),1,K299),0)</f>
        <v/>
      </c>
      <c r="AB337" s="7" t="inlineStr">
        <is>
          <t>^Warhead_MissileHE_Heavy, ^Warhead_MissileHE_Light</t>
        </is>
      </c>
    </row>
    <row r="338">
      <c r="B338" s="7" t="inlineStr">
        <is>
          <t xml:space="preserve">  ↳ RA2MultiThunderboltMissile_AA</t>
        </is>
      </c>
      <c r="C338" s="7" t="inlineStr">
        <is>
          <t>Armament@missileAAThunderbolt</t>
        </is>
      </c>
      <c r="L338" s="6" t="n">
        <v>4000</v>
      </c>
      <c r="M338" s="6" t="n">
        <v>25</v>
      </c>
      <c r="N338" s="6" t="n">
        <v>1</v>
      </c>
      <c r="O338" s="6" t="n"/>
      <c r="P338" s="6" t="n">
        <v>9255</v>
      </c>
      <c r="Q338" s="6" t="n">
        <v>1</v>
      </c>
      <c r="R338">
        <f>M338+IF(N338&gt;1,N(O338)*(N338-1),0)</f>
        <v/>
      </c>
      <c r="S338">
        <f>IFERROR(L338*MAX(N338,1)/R338*IF(ISBLANK(K299),1,K299),0)</f>
        <v/>
      </c>
      <c r="AB338" s="7" t="inlineStr">
        <is>
          <t>^Warhead_MissileHE_Heavy, ^Warhead_MissileHE_Light</t>
        </is>
      </c>
    </row>
    <row r="339">
      <c r="B339" s="7" t="inlineStr">
        <is>
          <t xml:space="preserve">  ↳ RA2MultiThunderboltMissile_AA_elite</t>
        </is>
      </c>
      <c r="C339" s="7" t="inlineStr">
        <is>
          <t>Armament@missileeliteAAThunderbolt</t>
        </is>
      </c>
      <c r="L339" s="6" t="n">
        <v>4000</v>
      </c>
      <c r="M339" s="6" t="n">
        <v>25</v>
      </c>
      <c r="N339" s="6" t="n">
        <v>4</v>
      </c>
      <c r="O339" s="6" t="n"/>
      <c r="P339" s="6" t="n">
        <v>10255</v>
      </c>
      <c r="Q339" s="6" t="n">
        <v>1</v>
      </c>
      <c r="R339">
        <f>M339+IF(N339&gt;1,N(O339)*(N339-1),0)</f>
        <v/>
      </c>
      <c r="S339">
        <f>IFERROR(L339*MAX(N339,1)/R339*IF(ISBLANK(K299),1,K299),0)</f>
        <v/>
      </c>
      <c r="AB339" s="7" t="inlineStr">
        <is>
          <t>^Warhead_MissileHE_Heavy, ^Warhead_MissileHE_Light</t>
        </is>
      </c>
    </row>
    <row r="340">
      <c r="B340" s="7" t="inlineStr">
        <is>
          <t xml:space="preserve">  ↳ MedicHeal</t>
        </is>
      </c>
      <c r="C340" s="7" t="inlineStr">
        <is>
          <t>Armament@healer</t>
        </is>
      </c>
      <c r="L340" s="6" t="n">
        <v>-3000</v>
      </c>
      <c r="M340" s="6" t="n">
        <v>10</v>
      </c>
      <c r="N340" s="6" t="n">
        <v>1</v>
      </c>
      <c r="O340" s="6" t="n"/>
      <c r="P340" s="6" t="n">
        <v>6000</v>
      </c>
      <c r="Q340" s="6" t="n">
        <v>1</v>
      </c>
      <c r="R340">
        <f>M340+IF(N340&gt;1,N(O340)*(N340-1),0)</f>
        <v/>
      </c>
      <c r="S340">
        <f>IFERROR(L340*MAX(N340,1)/R340*IF(ISBLANK(K299),1,K299),0)</f>
        <v/>
      </c>
      <c r="AB340" s="7" t="inlineStr">
        <is>
          <t>^HealingWeapon</t>
        </is>
      </c>
    </row>
    <row r="341">
      <c r="B341" s="7" t="inlineStr">
        <is>
          <t xml:space="preserve">  ↳ RA2AWP</t>
        </is>
      </c>
      <c r="C341" s="7" t="inlineStr">
        <is>
          <t>Armament@ra1_allies_alliedsniper</t>
        </is>
      </c>
      <c r="L341" s="6" t="n">
        <v>44000</v>
      </c>
      <c r="M341" s="6" t="n">
        <v>54</v>
      </c>
      <c r="N341" s="6" t="n">
        <v>1</v>
      </c>
      <c r="O341" s="6" t="n"/>
      <c r="P341" s="6" t="n">
        <v>10000</v>
      </c>
      <c r="Q341" s="6" t="n">
        <v>0.75</v>
      </c>
      <c r="R341">
        <f>M341+IF(N341&gt;1,N(O341)*(N341-1),0)</f>
        <v/>
      </c>
      <c r="S341">
        <f>IFERROR(L341*MAX(N341,1)/R341*IF(ISBLANK(K299),1,K299),0)</f>
        <v/>
      </c>
      <c r="AB341" s="7" t="inlineStr">
        <is>
          <t>^Warhead_Sniper_Light</t>
        </is>
      </c>
    </row>
    <row r="342">
      <c r="A342" t="inlineStr">
        <is>
          <t>redalert2</t>
        </is>
      </c>
      <c r="B342" t="inlineStr">
        <is>
          <t>ra2_allies_ifv_repair</t>
        </is>
      </c>
      <c r="C342" t="inlineStr">
        <is>
          <t>actor_fv.name</t>
        </is>
      </c>
      <c r="D342" s="6" t="inlineStr">
        <is>
          <t>ScoutVehicle</t>
        </is>
      </c>
      <c r="E342" s="6" t="n">
        <v>25000</v>
      </c>
      <c r="F342" s="6" t="n">
        <v>150</v>
      </c>
      <c r="G342" t="inlineStr">
        <is>
          <t>Scout</t>
        </is>
      </c>
      <c r="H342" s="6" t="n">
        <v>0.7143</v>
      </c>
      <c r="I342" s="6" t="n">
        <v>1</v>
      </c>
      <c r="J342" s="6" t="n">
        <v>1</v>
      </c>
      <c r="K342" s="6" t="n"/>
      <c r="P342">
        <f>MAX(P343,P344,P345,P346,P347,P348,P349,P350,P351,P352,P353,P354,P355,P356,P357,P358,P359,P360,P361,P365,P366,P367,P368,P369,P370,P371,P372,P373,P374,P375,P376,P377,P378,P379,P380,P381,P382,P383,P384)</f>
        <v/>
      </c>
      <c r="S342">
        <f>S343+S344+S345+S346+S347+S348+S349+S350+S351+S352+S353+S354+S355+S356+S357+S358+S359+S360+S361+S365+S366+S367+S368+S369+S370+S371+S372+S373+S374+S375+S376+S377+S378+S379+S380+S381+S382+S383+S384</f>
        <v/>
      </c>
      <c r="T342">
        <f>(E342/100000+F342/100+(P342/1000)*J342/5+S342/200)*200*I342*H342</f>
        <v/>
      </c>
      <c r="U342">
        <f>((E342*F342/25000)+((P342/1000)*J342*S342/2.5))*I342*H342</f>
        <v/>
      </c>
      <c r="V342">
        <f>(E342*F342*(P342/1000)*J342*S342*I342*H342)/12500000</f>
        <v/>
      </c>
      <c r="W342">
        <f>(((E342/30000)+(F342/200)+(S342/450)+((P342/4500)*J342))*300/4+(((E342/30000)*(F342/200))+(((P342/4500)*J342)*(S342/450)))*300/2+((E342/30000)*(F342/200)*((P342/4500)*J342)*(S342/450))*300)*(H342/1.0)/3</f>
        <v/>
      </c>
      <c r="X342" s="6" t="n">
        <v>500</v>
      </c>
      <c r="Y342">
        <f>IFERROR(W342-X342,"")</f>
        <v/>
      </c>
      <c r="Z342">
        <f>IFERROR(ABS(Y342)/MAX(X342,1),"")</f>
        <v/>
      </c>
      <c r="AA342">
        <f>IFERROR(ROUND(((3*X342-(((E342/30000)+(F342/200)+(S342/450))*300/4+((E342/30000)*(F342/200))*300/2)*(H342/1.0))/(300/4+((S342/450))*300/2+((E342/30000)*(F342/200)*(S342/450))*300)*(H342/1.0)*4500)/J342,-1),"")</f>
        <v/>
      </c>
    </row>
    <row r="343">
      <c r="B343" s="7" t="inlineStr">
        <is>
          <t xml:space="preserve">  ↳ RA2CRM60</t>
        </is>
      </c>
      <c r="C343" s="7" t="inlineStr">
        <is>
          <t>Armament@mg</t>
        </is>
      </c>
      <c r="L343" s="6" t="n">
        <v>4000</v>
      </c>
      <c r="M343" s="6" t="n">
        <v>14</v>
      </c>
      <c r="N343" s="6" t="n">
        <v>4</v>
      </c>
      <c r="O343" s="6" t="n">
        <v>2</v>
      </c>
      <c r="P343" s="6" t="n">
        <v>5660</v>
      </c>
      <c r="Q343" s="6" t="n">
        <v>0.875</v>
      </c>
      <c r="R343">
        <f>M343+IF(N343&gt;1,N(O343)*(N343-1),0)</f>
        <v/>
      </c>
      <c r="S343">
        <f>IFERROR(L343*MAX(N343,1)/R343*IF(ISBLANK(K342),1,K342),0)</f>
        <v/>
      </c>
      <c r="AB343" s="7" t="inlineStr">
        <is>
          <t>^Warhead_Bullet_Light, ^Warhead_Bullet_Medium</t>
        </is>
      </c>
    </row>
    <row r="344">
      <c r="B344" s="7" t="inlineStr">
        <is>
          <t xml:space="preserve">  ↳ RA2CRM60H</t>
        </is>
      </c>
      <c r="C344" s="7" t="inlineStr">
        <is>
          <t>Armament@hmg</t>
        </is>
      </c>
      <c r="L344" s="6" t="n">
        <v>6000</v>
      </c>
      <c r="M344" s="6" t="n">
        <v>10</v>
      </c>
      <c r="N344" s="6" t="n">
        <v>6</v>
      </c>
      <c r="O344" s="6" t="n">
        <v>2</v>
      </c>
      <c r="P344" s="6" t="n">
        <v>4692</v>
      </c>
      <c r="Q344" s="6" t="n">
        <v>1.125</v>
      </c>
      <c r="R344">
        <f>M344+IF(N344&gt;1,N(O344)*(N344-1),0)</f>
        <v/>
      </c>
      <c r="S344">
        <f>IFERROR(L344*MAX(N344,1)/R344*IF(ISBLANK(K342),1,K342),0)</f>
        <v/>
      </c>
      <c r="AB344" s="7" t="inlineStr">
        <is>
          <t>^Warhead_CannonHE_Heavy, ^Warhead_Bullet_Medium</t>
        </is>
      </c>
    </row>
    <row r="345">
      <c r="B345" s="7" t="inlineStr">
        <is>
          <t xml:space="preserve">  ↳ wc_tower_fire</t>
        </is>
      </c>
      <c r="C345" s="7" t="inlineStr">
        <is>
          <t>Armament@archer</t>
        </is>
      </c>
      <c r="L345" s="6" t="n">
        <v>2500</v>
      </c>
      <c r="M345" s="6" t="n">
        <v>40</v>
      </c>
      <c r="N345" s="6" t="n">
        <v>1</v>
      </c>
      <c r="O345" s="6" t="n"/>
      <c r="P345" s="6" t="n">
        <v>8704</v>
      </c>
      <c r="Q345" s="6" t="n">
        <v>1</v>
      </c>
      <c r="R345">
        <f>M345+IF(N345&gt;1,N(O345)*(N345-1),0)</f>
        <v/>
      </c>
      <c r="S345">
        <f>IFERROR(L345*MAX(N345,1)/R345*IF(ISBLANK(K342),1,K342),0)</f>
        <v/>
      </c>
      <c r="AB345" s="7" t="inlineStr">
        <is>
          <t>bowFire</t>
        </is>
      </c>
    </row>
    <row r="346">
      <c r="B346" s="7" t="inlineStr">
        <is>
          <t xml:space="preserve">  ↳ RA2IFVRepair</t>
        </is>
      </c>
      <c r="C346" s="7" t="inlineStr">
        <is>
          <t>Armament@repair</t>
        </is>
      </c>
      <c r="L346" s="6" t="n">
        <v>-3000</v>
      </c>
      <c r="M346" s="6" t="n">
        <v>50</v>
      </c>
      <c r="N346" s="6" t="n">
        <v>10</v>
      </c>
      <c r="O346" s="6" t="n">
        <v>1</v>
      </c>
      <c r="P346" s="6" t="n">
        <v>5000</v>
      </c>
      <c r="Q346" s="6" t="n">
        <v>1</v>
      </c>
      <c r="R346">
        <f>M346+IF(N346&gt;1,N(O346)*(N346-1),0)</f>
        <v/>
      </c>
      <c r="S346">
        <f>IFERROR(L346*MAX(N346,1)/R346*IF(ISBLANK(K342),1,K342),0)</f>
        <v/>
      </c>
      <c r="AB346" s="7" t="inlineStr">
        <is>
          <t>^RepairWeapon</t>
        </is>
      </c>
    </row>
    <row r="347">
      <c r="B347" s="7" t="inlineStr">
        <is>
          <t xml:space="preserve">  ↳ LightSniper</t>
        </is>
      </c>
      <c r="C347" s="7" t="inlineStr">
        <is>
          <t>Armament@lightsniper</t>
        </is>
      </c>
      <c r="L347" s="6" t="n">
        <v>30000</v>
      </c>
      <c r="M347" s="6" t="n">
        <v>100</v>
      </c>
      <c r="N347" s="6" t="n">
        <v>1</v>
      </c>
      <c r="O347" s="6" t="n"/>
      <c r="P347" s="6" t="n">
        <v>9153</v>
      </c>
      <c r="Q347" s="6" t="n">
        <v>0.75</v>
      </c>
      <c r="R347">
        <f>M347+IF(N347&gt;1,N(O347)*(N347-1),0)</f>
        <v/>
      </c>
      <c r="S347">
        <f>IFERROR(L347*MAX(N347,1)/R347*IF(ISBLANK(K342),1,K342),0)</f>
        <v/>
      </c>
      <c r="AB347" s="7" t="inlineStr">
        <is>
          <t>^Warhead_Sniper_Light</t>
        </is>
      </c>
    </row>
    <row r="348">
      <c r="B348" s="7" t="inlineStr">
        <is>
          <t xml:space="preserve">  ↳ RA2DoublePistolsIFV</t>
        </is>
      </c>
      <c r="C348" s="7" t="inlineStr">
        <is>
          <t>Armament@hero</t>
        </is>
      </c>
      <c r="L348" s="6" t="n">
        <v>14000</v>
      </c>
      <c r="M348" s="6" t="n">
        <v>12</v>
      </c>
      <c r="N348" s="6" t="n">
        <v>2</v>
      </c>
      <c r="O348" s="6" t="n">
        <v>3</v>
      </c>
      <c r="P348" s="6" t="n">
        <v>8000</v>
      </c>
      <c r="Q348" s="6" t="n">
        <v>0.75</v>
      </c>
      <c r="R348">
        <f>M348+IF(N348&gt;1,N(O348)*(N348-1),0)</f>
        <v/>
      </c>
      <c r="S348">
        <f>IFERROR(L348*MAX(N348,1)/R348*IF(ISBLANK(K342),1,K342),0)</f>
        <v/>
      </c>
      <c r="AB348" s="7" t="inlineStr">
        <is>
          <t>^Warhead_Sniper_Light</t>
        </is>
      </c>
    </row>
    <row r="349">
      <c r="B349" s="7" t="inlineStr">
        <is>
          <t xml:space="preserve">  ↳ TTankZap</t>
        </is>
      </c>
      <c r="C349" s="7" t="inlineStr">
        <is>
          <t>Armament@tesla</t>
        </is>
      </c>
      <c r="L349" s="6" t="n">
        <v>40000</v>
      </c>
      <c r="M349" s="6" t="n">
        <v>80</v>
      </c>
      <c r="N349" s="6" t="n">
        <v>1</v>
      </c>
      <c r="O349" s="6" t="n"/>
      <c r="P349" s="6" t="n">
        <v>7300</v>
      </c>
      <c r="Q349" s="6" t="n">
        <v>1.25</v>
      </c>
      <c r="R349">
        <f>M349+IF(N349&gt;1,N(O349)*(N349-1),0)</f>
        <v/>
      </c>
      <c r="S349">
        <f>IFERROR(L349*MAX(N349,1)/R349*IF(ISBLANK(K342),1,K342),0)</f>
        <v/>
      </c>
      <c r="AB349" s="7" t="inlineStr">
        <is>
          <t>^Warhead_Tesla_Heavy</t>
        </is>
      </c>
    </row>
    <row r="350">
      <c r="B350" s="7" t="inlineStr">
        <is>
          <t xml:space="preserve">  ↳ DragunovSniper</t>
        </is>
      </c>
      <c r="C350" s="7" t="inlineStr">
        <is>
          <t>Armament@flak</t>
        </is>
      </c>
      <c r="L350" s="6" t="n">
        <v>400000</v>
      </c>
      <c r="M350" s="6" t="n">
        <v>85</v>
      </c>
      <c r="N350" s="6" t="n">
        <v>1</v>
      </c>
      <c r="O350" s="6" t="n"/>
      <c r="P350" s="6" t="n">
        <v>5804</v>
      </c>
      <c r="Q350" s="6" t="n">
        <v>1</v>
      </c>
      <c r="R350">
        <f>M350+IF(N350&gt;1,N(O350)*(N350-1),0)</f>
        <v/>
      </c>
      <c r="S350">
        <f>IFERROR(L350*MAX(N350,1)/R350*IF(ISBLANK(K342),1,K342),0)</f>
        <v/>
      </c>
      <c r="AB350" s="7" t="inlineStr">
        <is>
          <t>^TankDestroyerCannon, ^RailgunWeapon, ^LightMissile, ^HeavyCannon, ^FlakWeapon</t>
        </is>
      </c>
    </row>
    <row r="351">
      <c r="B351" s="7" t="inlineStr">
        <is>
          <t xml:space="preserve">  ↳ RA2MirageGun</t>
        </is>
      </c>
      <c r="C351" s="7" t="inlineStr">
        <is>
          <t>Armament@cannon</t>
        </is>
      </c>
      <c r="L351" s="6" t="n">
        <v>24000</v>
      </c>
      <c r="M351" s="6" t="n">
        <v>39</v>
      </c>
      <c r="N351" s="6" t="n">
        <v>1</v>
      </c>
      <c r="O351" s="6" t="n"/>
      <c r="P351" s="6" t="n">
        <v>6031</v>
      </c>
      <c r="Q351" s="6" t="n">
        <v>0.75</v>
      </c>
      <c r="R351">
        <f>M351+IF(N351&gt;1,N(O351)*(N351-1),0)</f>
        <v/>
      </c>
      <c r="S351">
        <f>IFERROR(L351*MAX(N351,1)/R351*IF(ISBLANK(K342),1,K342),0)</f>
        <v/>
      </c>
      <c r="AB351" s="7" t="inlineStr">
        <is>
          <t>^Warhead_CannonAP_Light</t>
        </is>
      </c>
    </row>
    <row r="352">
      <c r="B352" s="7" t="inlineStr">
        <is>
          <t xml:space="preserve">  ↳ Grenade</t>
        </is>
      </c>
      <c r="C352" s="7" t="inlineStr">
        <is>
          <t>Armament@grenade</t>
        </is>
      </c>
      <c r="L352" s="6" t="n">
        <v>16000</v>
      </c>
      <c r="M352" s="6" t="n">
        <v>42</v>
      </c>
      <c r="N352" s="6" t="n">
        <v>1</v>
      </c>
      <c r="O352" s="6" t="n"/>
      <c r="P352" s="6" t="n">
        <v>6097</v>
      </c>
      <c r="Q352" s="6" t="n">
        <v>0.75</v>
      </c>
      <c r="R352">
        <f>M352+IF(N352&gt;1,N(O352)*(N352-1),0)</f>
        <v/>
      </c>
      <c r="S352">
        <f>IFERROR(L352*MAX(N352,1)/R352*IF(ISBLANK(K342),1,K342),0)</f>
        <v/>
      </c>
      <c r="AB352" s="7" t="inlineStr">
        <is>
          <t>^Warhead_Demolition_Light</t>
        </is>
      </c>
    </row>
    <row r="353">
      <c r="B353" s="7" t="inlineStr">
        <is>
          <t xml:space="preserve">  ↳ DRPlasmaTankWeapon</t>
        </is>
      </c>
      <c r="C353" s="7" t="inlineStr">
        <is>
          <t>Armament@plasma</t>
        </is>
      </c>
      <c r="L353" s="6" t="n">
        <v>6250</v>
      </c>
      <c r="M353" s="6" t="n">
        <v>21</v>
      </c>
      <c r="N353" s="6" t="n">
        <v>1</v>
      </c>
      <c r="O353" s="6" t="n"/>
      <c r="P353" s="6" t="n">
        <v>5120</v>
      </c>
      <c r="Q353" s="6" t="n">
        <v>1</v>
      </c>
      <c r="R353">
        <f>M353+IF(N353&gt;1,N(O353)*(N353-1),0)</f>
        <v/>
      </c>
      <c r="S353">
        <f>IFERROR(L353*MAX(N353,1)/R353*IF(ISBLANK(K342),1,K342),0)</f>
        <v/>
      </c>
      <c r="AB353" s="7" t="inlineStr">
        <is>
          <t>^DRPlasmaWeapon</t>
        </is>
      </c>
    </row>
    <row r="354">
      <c r="B354" s="7" t="inlineStr">
        <is>
          <t xml:space="preserve">  ↳ SWLaserG</t>
        </is>
      </c>
      <c r="C354" s="7" t="inlineStr">
        <is>
          <t>Armament@litlaser</t>
        </is>
      </c>
      <c r="L354" s="6" t="n">
        <v>2000</v>
      </c>
      <c r="M354" s="6" t="n">
        <v>30</v>
      </c>
      <c r="N354" s="6" t="n">
        <v>6</v>
      </c>
      <c r="O354" s="6" t="n"/>
      <c r="P354" s="6" t="n">
        <v>6144</v>
      </c>
      <c r="Q354" s="6" t="n">
        <v>1</v>
      </c>
      <c r="R354">
        <f>M354+IF(N354&gt;1,N(O354)*(N354-1),0)</f>
        <v/>
      </c>
      <c r="S354">
        <f>IFERROR(L354*MAX(N354,1)/R354*IF(ISBLANK(K342),1,K342),0)</f>
        <v/>
      </c>
      <c r="AB354" s="7" t="inlineStr">
        <is>
          <t>SWLaser</t>
        </is>
      </c>
    </row>
    <row r="355">
      <c r="B355" s="7" t="inlineStr">
        <is>
          <t xml:space="preserve">  ↳ USALaserCannonAG</t>
        </is>
      </c>
      <c r="C355" s="7" t="inlineStr">
        <is>
          <t>Armament@medlaser</t>
        </is>
      </c>
      <c r="L355" s="6" t="n">
        <v>4000</v>
      </c>
      <c r="M355" s="6" t="n">
        <v>50</v>
      </c>
      <c r="N355" s="6" t="n">
        <v>3</v>
      </c>
      <c r="O355" s="6" t="n">
        <v>6</v>
      </c>
      <c r="P355" s="6" t="n">
        <v>7168</v>
      </c>
      <c r="Q355" s="6" t="n">
        <v>1</v>
      </c>
      <c r="R355">
        <f>M355+IF(N355&gt;1,N(O355)*(N355-1),0)</f>
        <v/>
      </c>
      <c r="S355">
        <f>IFERROR(L355*MAX(N355,1)/R355*IF(ISBLANK(K342),1,K342),0)</f>
        <v/>
      </c>
      <c r="AB355" s="7" t="inlineStr">
        <is>
          <t>^AntiGroundMissile</t>
        </is>
      </c>
    </row>
    <row r="356">
      <c r="B356" s="7" t="inlineStr">
        <is>
          <t xml:space="preserve">  ↳ SWGreenLaserG</t>
        </is>
      </c>
      <c r="C356" s="7" t="inlineStr">
        <is>
          <t>Armament@greenlaser</t>
        </is>
      </c>
      <c r="L356" s="6" t="n">
        <v>5000</v>
      </c>
      <c r="M356" s="6" t="n">
        <v>75</v>
      </c>
      <c r="N356" s="6" t="n">
        <v>1</v>
      </c>
      <c r="O356" s="6" t="n"/>
      <c r="P356" s="6" t="n">
        <v>7168</v>
      </c>
      <c r="Q356" s="6" t="n">
        <v>1</v>
      </c>
      <c r="R356">
        <f>M356+IF(N356&gt;1,N(O356)*(N356-1),0)</f>
        <v/>
      </c>
      <c r="S356">
        <f>IFERROR(L356*MAX(N356,1)/R356*IF(ISBLANK(K342),1,K342),0)</f>
        <v/>
      </c>
      <c r="AB356" s="7" t="inlineStr">
        <is>
          <t>SWGreenLaser</t>
        </is>
      </c>
    </row>
    <row r="357">
      <c r="B357" s="7" t="inlineStr">
        <is>
          <t xml:space="preserve">  ↳ SWGBigRedLaserG</t>
        </is>
      </c>
      <c r="C357" s="7" t="inlineStr">
        <is>
          <t>Armament@misslaser</t>
        </is>
      </c>
      <c r="L357" s="6" t="n">
        <v>4000</v>
      </c>
      <c r="M357" s="6" t="n">
        <v>75</v>
      </c>
      <c r="N357" s="6" t="n">
        <v>1</v>
      </c>
      <c r="O357" s="6" t="n"/>
      <c r="P357" s="6" t="n">
        <v>8192</v>
      </c>
      <c r="Q357" s="6" t="n">
        <v>1</v>
      </c>
      <c r="R357">
        <f>M357+IF(N357&gt;1,N(O357)*(N357-1),0)</f>
        <v/>
      </c>
      <c r="S357">
        <f>IFERROR(L357*MAX(N357,1)/R357*IF(ISBLANK(K342),1,K342),0)</f>
        <v/>
      </c>
      <c r="AB357" s="7" t="inlineStr">
        <is>
          <t>SWrBigRedLaser</t>
        </is>
      </c>
    </row>
    <row r="358">
      <c r="B358" s="7" t="inlineStr">
        <is>
          <t xml:space="preserve">  ↳ BigFlamer</t>
        </is>
      </c>
      <c r="C358" s="7" t="inlineStr">
        <is>
          <t>Armament@fire</t>
        </is>
      </c>
      <c r="L358" s="6" t="n">
        <v>14000</v>
      </c>
      <c r="M358" s="6" t="n">
        <v>50</v>
      </c>
      <c r="N358" s="6" t="n">
        <v>2</v>
      </c>
      <c r="O358" s="6" t="n">
        <v>10</v>
      </c>
      <c r="P358" s="6" t="n">
        <v>2390</v>
      </c>
      <c r="Q358" s="6" t="n">
        <v>1</v>
      </c>
      <c r="R358">
        <f>M358+IF(N358&gt;1,N(O358)*(N358-1),0)</f>
        <v/>
      </c>
      <c r="S358">
        <f>IFERROR(L358*MAX(N358,1)/R358*IF(ISBLANK(K342),1,K342),0)</f>
        <v/>
      </c>
      <c r="AB358" s="7" t="inlineStr">
        <is>
          <t>^Warhead_Flame_Medium</t>
        </is>
      </c>
    </row>
    <row r="359">
      <c r="B359" s="7" t="inlineStr">
        <is>
          <t xml:space="preserve">  ↳ RA2RadBeamWeapon</t>
        </is>
      </c>
      <c r="C359" s="7" t="inlineStr">
        <is>
          <t>Armament@chem</t>
        </is>
      </c>
      <c r="L359" s="6" t="n">
        <v>30000</v>
      </c>
      <c r="M359" s="6" t="n">
        <v>45</v>
      </c>
      <c r="N359" s="6" t="n">
        <v>1</v>
      </c>
      <c r="O359" s="6" t="n"/>
      <c r="P359" s="6" t="n">
        <v>6444</v>
      </c>
      <c r="Q359" s="6" t="n">
        <v>1</v>
      </c>
      <c r="R359">
        <f>M359+IF(N359&gt;1,N(O359)*(N359-1),0)</f>
        <v/>
      </c>
      <c r="S359">
        <f>IFERROR(L359*MAX(N359,1)/R359*IF(ISBLANK(K342),1,K342),0)</f>
        <v/>
      </c>
      <c r="AB359" s="7" t="inlineStr">
        <is>
          <t>^Warhead_Chemical_Medium</t>
        </is>
      </c>
    </row>
    <row r="360">
      <c r="B360" s="7" t="inlineStr">
        <is>
          <t xml:space="preserve">  ↳ RA2RadBeamWeapon</t>
        </is>
      </c>
      <c r="C360" s="7" t="inlineStr">
        <is>
          <t>Armament@thrax</t>
        </is>
      </c>
      <c r="L360" s="6" t="n">
        <v>30000</v>
      </c>
      <c r="M360" s="6" t="n">
        <v>45</v>
      </c>
      <c r="N360" s="6" t="n">
        <v>1</v>
      </c>
      <c r="O360" s="6" t="n"/>
      <c r="P360" s="6" t="n">
        <v>6444</v>
      </c>
      <c r="Q360" s="6" t="n">
        <v>1</v>
      </c>
      <c r="R360">
        <f>M360+IF(N360&gt;1,N(O360)*(N360-1),0)</f>
        <v/>
      </c>
      <c r="S360">
        <f>IFERROR(L360*MAX(N360,1)/R360*IF(ISBLANK(K342),1,K342),0)</f>
        <v/>
      </c>
      <c r="AB360" s="7" t="inlineStr">
        <is>
          <t>^Warhead_Chemical_Medium</t>
        </is>
      </c>
    </row>
    <row r="361">
      <c r="B361" s="7" t="inlineStr">
        <is>
          <t xml:space="preserve">  ↳ RA2MultiHoverMissile</t>
        </is>
      </c>
      <c r="C361" s="7" t="inlineStr">
        <is>
          <t>Armament@missile</t>
        </is>
      </c>
      <c r="L361" s="6" t="n">
        <v>4000</v>
      </c>
      <c r="M361" s="6" t="n">
        <v>20</v>
      </c>
      <c r="N361" s="6" t="n">
        <v>4</v>
      </c>
      <c r="O361" s="6" t="n"/>
      <c r="P361" s="6" t="n">
        <v>6170</v>
      </c>
      <c r="Q361" s="6" t="n">
        <v>0.875</v>
      </c>
      <c r="R361">
        <f>M361+IF(N361&gt;1,N(O361)*(N361-1),0)</f>
        <v/>
      </c>
      <c r="S361">
        <f>IFERROR(L361*MAX(N361,1)/R361*IF(ISBLANK(K342),1,K342),0)</f>
        <v/>
      </c>
      <c r="AB361" s="7" t="inlineStr">
        <is>
          <t>^Warhead_CannonHE_Medium, ^Warhead_MissileHE_Light</t>
        </is>
      </c>
    </row>
    <row r="362">
      <c r="B362" s="7" t="inlineStr">
        <is>
          <t xml:space="preserve">  ↳ IFVChronoBeam</t>
        </is>
      </c>
      <c r="C362" s="7" t="inlineStr">
        <is>
          <t>Armament@chrono</t>
        </is>
      </c>
      <c r="L362" s="6" t="n"/>
      <c r="M362" s="6" t="n">
        <v>1</v>
      </c>
      <c r="N362" s="6" t="n">
        <v>1</v>
      </c>
      <c r="O362" s="6" t="n"/>
      <c r="P362" s="6" t="n">
        <v>7500</v>
      </c>
      <c r="Q362" s="6" t="n">
        <v>1</v>
      </c>
      <c r="R362">
        <f>M362+IF(N362&gt;1,N(O362)*(N362-1),0)</f>
        <v/>
      </c>
      <c r="S362">
        <f>IFERROR(L362*MAX(N362,1)/R362*IF(ISBLANK(K342),1,K342),0)</f>
        <v/>
      </c>
      <c r="AB362" s="7" t="inlineStr">
        <is>
          <t>ChronoBeam</t>
        </is>
      </c>
    </row>
    <row r="363">
      <c r="B363" s="7" t="inlineStr">
        <is>
          <t xml:space="preserve">  ↳ IFVChronoSound</t>
        </is>
      </c>
      <c r="C363" s="7" t="inlineStr">
        <is>
          <t>Armament@chronosound</t>
        </is>
      </c>
      <c r="L363" s="6" t="n"/>
      <c r="M363" s="6" t="n">
        <v>180</v>
      </c>
      <c r="N363" s="6" t="n">
        <v>1</v>
      </c>
      <c r="O363" s="6" t="n"/>
      <c r="P363" s="6" t="n">
        <v>8000</v>
      </c>
      <c r="Q363" s="6" t="n">
        <v>1</v>
      </c>
      <c r="R363">
        <f>M363+IF(N363&gt;1,N(O363)*(N363-1),0)</f>
        <v/>
      </c>
      <c r="S363">
        <f>IFERROR(L363*MAX(N363,1)/R363*IF(ISBLANK(K342),1,K342),0)</f>
        <v/>
      </c>
      <c r="AB363" s="7" t="inlineStr">
        <is>
          <t>RA2ChronoTele</t>
        </is>
      </c>
    </row>
    <row r="364">
      <c r="B364" s="7" t="inlineStr">
        <is>
          <t xml:space="preserve">  ↳ DemoTruckTargeting</t>
        </is>
      </c>
      <c r="C364" s="7" t="inlineStr">
        <is>
          <t>Armament@ivan</t>
        </is>
      </c>
      <c r="L364" s="6" t="n"/>
      <c r="M364" s="6" t="n"/>
      <c r="N364" s="6" t="n">
        <v>1</v>
      </c>
      <c r="O364" s="6" t="n"/>
      <c r="P364" s="6" t="n">
        <v>2000</v>
      </c>
      <c r="Q364" s="6" t="n">
        <v>1</v>
      </c>
      <c r="R364">
        <f>M364+IF(N364&gt;1,N(O364)*(N364-1),0)</f>
        <v/>
      </c>
      <c r="S364">
        <f>IFERROR(L364*MAX(N364,1)/R364*IF(ISBLANK(K342),1,K342),0)</f>
        <v/>
      </c>
      <c r="AB364" s="7" t="inlineStr"/>
    </row>
    <row r="365">
      <c r="B365" s="7" t="inlineStr">
        <is>
          <t xml:space="preserve">  ↳ Fremen_L</t>
        </is>
      </c>
      <c r="C365" s="7" t="inlineStr">
        <is>
          <t>Armament@fremen</t>
        </is>
      </c>
      <c r="L365" s="6" t="n">
        <v>3000</v>
      </c>
      <c r="M365" s="6" t="n">
        <v>25</v>
      </c>
      <c r="N365" s="6" t="n">
        <v>1</v>
      </c>
      <c r="O365" s="6" t="n"/>
      <c r="P365" s="6" t="n">
        <v>2560</v>
      </c>
      <c r="Q365" s="6" t="n">
        <v>1</v>
      </c>
      <c r="R365">
        <f>M365+IF(N365&gt;1,N(O365)*(N365-1),0)</f>
        <v/>
      </c>
      <c r="S365">
        <f>IFERROR(L365*MAX(N365,1)/R365*IF(ISBLANK(K342),1,K342),0)</f>
        <v/>
      </c>
      <c r="AB365" s="7" t="inlineStr">
        <is>
          <t>M_HMG</t>
        </is>
      </c>
    </row>
    <row r="366">
      <c r="B366" s="7" t="inlineStr">
        <is>
          <t xml:space="preserve">  ↳ TSSonicZap</t>
        </is>
      </c>
      <c r="C366" s="7" t="inlineStr">
        <is>
          <t>Armament@sonic</t>
        </is>
      </c>
      <c r="L366" s="6" t="n">
        <v>5000</v>
      </c>
      <c r="M366" s="6" t="n">
        <v>60</v>
      </c>
      <c r="N366" s="6" t="n">
        <v>1</v>
      </c>
      <c r="O366" s="6" t="n"/>
      <c r="P366" s="6" t="n">
        <v>6144</v>
      </c>
      <c r="Q366" s="6" t="n">
        <v>1</v>
      </c>
      <c r="R366">
        <f>M366+IF(N366&gt;1,N(O366)*(N366-1),0)</f>
        <v/>
      </c>
      <c r="S366">
        <f>IFERROR(L366*MAX(N366,1)/R366*IF(ISBLANK(K342),1,K342),0)</f>
        <v/>
      </c>
      <c r="AB366" s="7" t="inlineStr"/>
    </row>
    <row r="367">
      <c r="B367" s="7" t="inlineStr">
        <is>
          <t xml:space="preserve">  ↳ MedicHeal</t>
        </is>
      </c>
      <c r="C367" s="7" t="inlineStr">
        <is>
          <t>Armament@heal</t>
        </is>
      </c>
      <c r="L367" s="6" t="n">
        <v>-3000</v>
      </c>
      <c r="M367" s="6" t="n">
        <v>10</v>
      </c>
      <c r="N367" s="6" t="n">
        <v>1</v>
      </c>
      <c r="O367" s="6" t="n"/>
      <c r="P367" s="6" t="n">
        <v>6000</v>
      </c>
      <c r="Q367" s="6" t="n">
        <v>1</v>
      </c>
      <c r="R367">
        <f>M367+IF(N367&gt;1,N(O367)*(N367-1),0)</f>
        <v/>
      </c>
      <c r="S367">
        <f>IFERROR(L367*MAX(N367,1)/R367*IF(ISBLANK(K342),1,K342),0)</f>
        <v/>
      </c>
      <c r="AB367" s="7" t="inlineStr">
        <is>
          <t>^HealingWeapon</t>
        </is>
      </c>
    </row>
    <row r="368">
      <c r="B368" s="7" t="inlineStr">
        <is>
          <t xml:space="preserve">  ↳ RA2HoverMissile</t>
        </is>
      </c>
      <c r="C368" s="7" t="inlineStr">
        <is>
          <t>Armament@primary</t>
        </is>
      </c>
      <c r="L368" s="6" t="n">
        <v>12000</v>
      </c>
      <c r="M368" s="6" t="n">
        <v>28</v>
      </c>
      <c r="N368" s="6" t="n">
        <v>2</v>
      </c>
      <c r="O368" s="6" t="n">
        <v>4</v>
      </c>
      <c r="P368" s="6" t="n">
        <v>5760</v>
      </c>
      <c r="Q368" s="6" t="n">
        <v>0.75</v>
      </c>
      <c r="R368">
        <f>M368+IF(N368&gt;1,N(O368)*(N368-1),0)</f>
        <v/>
      </c>
      <c r="S368">
        <f>IFERROR(L368*MAX(N368,1)/R368*IF(ISBLANK(K342),1,K342),0)</f>
        <v/>
      </c>
      <c r="AB368" s="7" t="inlineStr">
        <is>
          <t>^Warhead_Arrow_Light, ^Warhead_MissileAP_Light</t>
        </is>
      </c>
    </row>
    <row r="369">
      <c r="B369" s="7" t="inlineStr">
        <is>
          <t xml:space="preserve">  ↳ RA2HoverMissile_elite</t>
        </is>
      </c>
      <c r="C369" s="7" t="inlineStr">
        <is>
          <t>Armament@primaryelite</t>
        </is>
      </c>
      <c r="L369" s="6" t="n">
        <v>12000</v>
      </c>
      <c r="M369" s="6" t="n">
        <v>28</v>
      </c>
      <c r="N369" s="6" t="n">
        <v>4</v>
      </c>
      <c r="O369" s="6" t="n">
        <v>4</v>
      </c>
      <c r="P369" s="6" t="n">
        <v>6760</v>
      </c>
      <c r="Q369" s="6" t="n">
        <v>0.75</v>
      </c>
      <c r="R369">
        <f>M369+IF(N369&gt;1,N(O369)*(N369-1),0)</f>
        <v/>
      </c>
      <c r="S369">
        <f>IFERROR(L369*MAX(N369,1)/R369*IF(ISBLANK(K342),1,K342),0)</f>
        <v/>
      </c>
      <c r="AB369" s="7" t="inlineStr">
        <is>
          <t>^Warhead_Arrow_Light, ^Warhead_MissileAP_Light</t>
        </is>
      </c>
    </row>
    <row r="370">
      <c r="B370" s="7" t="inlineStr">
        <is>
          <t xml:space="preserve">  ↳ RA2HoverMissile_AA</t>
        </is>
      </c>
      <c r="C370" s="7" t="inlineStr">
        <is>
          <t>Armament@primaryAA</t>
        </is>
      </c>
      <c r="L370" s="6" t="n">
        <v>12000</v>
      </c>
      <c r="M370" s="6" t="n">
        <v>28</v>
      </c>
      <c r="N370" s="6" t="n">
        <v>2</v>
      </c>
      <c r="O370" s="6" t="n">
        <v>4</v>
      </c>
      <c r="P370" s="6" t="n">
        <v>8640</v>
      </c>
      <c r="Q370" s="6" t="n">
        <v>0.75</v>
      </c>
      <c r="R370">
        <f>M370+IF(N370&gt;1,N(O370)*(N370-1),0)</f>
        <v/>
      </c>
      <c r="S370">
        <f>IFERROR(L370*MAX(N370,1)/R370*IF(ISBLANK(K342),1,K342),0)</f>
        <v/>
      </c>
      <c r="AB370" s="7" t="inlineStr">
        <is>
          <t>^Warhead_Arrow_Light, ^Warhead_MissileAP_Light</t>
        </is>
      </c>
    </row>
    <row r="371">
      <c r="B371" s="7" t="inlineStr">
        <is>
          <t xml:space="preserve">  ↳ RA2HoverMissile_AA_elite</t>
        </is>
      </c>
      <c r="C371" s="7" t="inlineStr">
        <is>
          <t>Armament@primaryeliteAA</t>
        </is>
      </c>
      <c r="L371" s="6" t="n">
        <v>12000</v>
      </c>
      <c r="M371" s="6" t="n">
        <v>28</v>
      </c>
      <c r="N371" s="6" t="n">
        <v>4</v>
      </c>
      <c r="O371" s="6" t="n">
        <v>4</v>
      </c>
      <c r="P371" s="6" t="n">
        <v>9640</v>
      </c>
      <c r="Q371" s="6" t="n">
        <v>0.75</v>
      </c>
      <c r="R371">
        <f>M371+IF(N371&gt;1,N(O371)*(N371-1),0)</f>
        <v/>
      </c>
      <c r="S371">
        <f>IFERROR(L371*MAX(N371,1)/R371*IF(ISBLANK(K342),1,K342),0)</f>
        <v/>
      </c>
      <c r="AB371" s="7" t="inlineStr">
        <is>
          <t>^Warhead_Arrow_Light, ^Warhead_MissileAP_Light</t>
        </is>
      </c>
    </row>
    <row r="372">
      <c r="B372" s="7" t="inlineStr">
        <is>
          <t xml:space="preserve">  ↳ RA2ThunderboltMissile</t>
        </is>
      </c>
      <c r="C372" s="7" t="inlineStr">
        <is>
          <t>Armament@primaryThunderbolt</t>
        </is>
      </c>
      <c r="L372" s="6" t="n">
        <v>4000</v>
      </c>
      <c r="M372" s="6" t="n">
        <v>25</v>
      </c>
      <c r="N372" s="6" t="n">
        <v>1</v>
      </c>
      <c r="O372" s="6" t="n"/>
      <c r="P372" s="6" t="n">
        <v>5120</v>
      </c>
      <c r="Q372" s="6" t="n">
        <v>1</v>
      </c>
      <c r="R372">
        <f>M372+IF(N372&gt;1,N(O372)*(N372-1),0)</f>
        <v/>
      </c>
      <c r="S372">
        <f>IFERROR(L372*MAX(N372,1)/R372*IF(ISBLANK(K342),1,K342),0)</f>
        <v/>
      </c>
      <c r="AB372" s="7" t="inlineStr">
        <is>
          <t>^Warhead_MissileHE_Heavy, ^Warhead_MissileHE_Light</t>
        </is>
      </c>
    </row>
    <row r="373">
      <c r="B373" s="7" t="inlineStr">
        <is>
          <t xml:space="preserve">  ↳ RA2ThunderboltMissile_elite</t>
        </is>
      </c>
      <c r="C373" s="7" t="inlineStr">
        <is>
          <t>Armament@primaryeliteThunderbolt</t>
        </is>
      </c>
      <c r="L373" s="6" t="n">
        <v>4000</v>
      </c>
      <c r="M373" s="6" t="n">
        <v>25</v>
      </c>
      <c r="N373" s="6" t="n">
        <v>4</v>
      </c>
      <c r="O373" s="6" t="n"/>
      <c r="P373" s="6" t="n">
        <v>6760</v>
      </c>
      <c r="Q373" s="6" t="n">
        <v>1</v>
      </c>
      <c r="R373">
        <f>M373+IF(N373&gt;1,N(O373)*(N373-1),0)</f>
        <v/>
      </c>
      <c r="S373">
        <f>IFERROR(L373*MAX(N373,1)/R373*IF(ISBLANK(K342),1,K342),0)</f>
        <v/>
      </c>
      <c r="AB373" s="7" t="inlineStr">
        <is>
          <t>^Warhead_MissileHE_Heavy, ^Warhead_MissileHE_Light</t>
        </is>
      </c>
    </row>
    <row r="374">
      <c r="B374" s="7" t="inlineStr">
        <is>
          <t xml:space="preserve">  ↳ RA2ThunderboltMissile_AA</t>
        </is>
      </c>
      <c r="C374" s="7" t="inlineStr">
        <is>
          <t>Armament@primaryAAThunderbolt</t>
        </is>
      </c>
      <c r="L374" s="6" t="n">
        <v>4000</v>
      </c>
      <c r="M374" s="6" t="n">
        <v>25</v>
      </c>
      <c r="N374" s="6" t="n">
        <v>1</v>
      </c>
      <c r="O374" s="6" t="n"/>
      <c r="P374" s="6" t="n">
        <v>8640</v>
      </c>
      <c r="Q374" s="6" t="n">
        <v>1</v>
      </c>
      <c r="R374">
        <f>M374+IF(N374&gt;1,N(O374)*(N374-1),0)</f>
        <v/>
      </c>
      <c r="S374">
        <f>IFERROR(L374*MAX(N374,1)/R374*IF(ISBLANK(K342),1,K342),0)</f>
        <v/>
      </c>
      <c r="AB374" s="7" t="inlineStr">
        <is>
          <t>^Warhead_MissileHE_Heavy, ^Warhead_MissileHE_Light</t>
        </is>
      </c>
    </row>
    <row r="375">
      <c r="B375" s="7" t="inlineStr">
        <is>
          <t xml:space="preserve">  ↳ RA2ThunderboltMissile_AA_elite</t>
        </is>
      </c>
      <c r="C375" s="7" t="inlineStr">
        <is>
          <t>Armament@primaryeliteAAThunderbolt</t>
        </is>
      </c>
      <c r="L375" s="6" t="n">
        <v>4000</v>
      </c>
      <c r="M375" s="6" t="n">
        <v>25</v>
      </c>
      <c r="N375" s="6" t="n">
        <v>4</v>
      </c>
      <c r="O375" s="6" t="n"/>
      <c r="P375" s="6" t="n">
        <v>9640</v>
      </c>
      <c r="Q375" s="6" t="n">
        <v>1</v>
      </c>
      <c r="R375">
        <f>M375+IF(N375&gt;1,N(O375)*(N375-1),0)</f>
        <v/>
      </c>
      <c r="S375">
        <f>IFERROR(L375*MAX(N375,1)/R375*IF(ISBLANK(K342),1,K342),0)</f>
        <v/>
      </c>
      <c r="AB375" s="7" t="inlineStr">
        <is>
          <t>^Warhead_MissileHE_Heavy, ^Warhead_MissileHE_Light</t>
        </is>
      </c>
    </row>
    <row r="376">
      <c r="B376" s="7" t="inlineStr">
        <is>
          <t xml:space="preserve">  ↳ RA2MultiHoverMissile_elite</t>
        </is>
      </c>
      <c r="C376" s="7" t="inlineStr">
        <is>
          <t>Armament@missileelite</t>
        </is>
      </c>
      <c r="L376" s="6" t="n">
        <v>4000</v>
      </c>
      <c r="M376" s="6" t="n">
        <v>20</v>
      </c>
      <c r="N376" s="6" t="n">
        <v>4</v>
      </c>
      <c r="O376" s="6" t="n"/>
      <c r="P376" s="6" t="n">
        <v>7170</v>
      </c>
      <c r="Q376" s="6" t="n">
        <v>0.875</v>
      </c>
      <c r="R376">
        <f>M376+IF(N376&gt;1,N(O376)*(N376-1),0)</f>
        <v/>
      </c>
      <c r="S376">
        <f>IFERROR(L376*MAX(N376,1)/R376*IF(ISBLANK(K342),1,K342),0)</f>
        <v/>
      </c>
      <c r="AB376" s="7" t="inlineStr">
        <is>
          <t>^Warhead_CannonHE_Medium, ^Warhead_MissileHE_Light</t>
        </is>
      </c>
    </row>
    <row r="377">
      <c r="B377" s="7" t="inlineStr">
        <is>
          <t xml:space="preserve">  ↳ RA2MultiHoverMissile_AA</t>
        </is>
      </c>
      <c r="C377" s="7" t="inlineStr">
        <is>
          <t>Armament@missileAA</t>
        </is>
      </c>
      <c r="L377" s="6" t="n">
        <v>4000</v>
      </c>
      <c r="M377" s="6" t="n">
        <v>20</v>
      </c>
      <c r="N377" s="6" t="n">
        <v>4</v>
      </c>
      <c r="O377" s="6" t="n"/>
      <c r="P377" s="6" t="n">
        <v>9255</v>
      </c>
      <c r="Q377" s="6" t="n">
        <v>0.875</v>
      </c>
      <c r="R377">
        <f>M377+IF(N377&gt;1,N(O377)*(N377-1),0)</f>
        <v/>
      </c>
      <c r="S377">
        <f>IFERROR(L377*MAX(N377,1)/R377*IF(ISBLANK(K342),1,K342),0)</f>
        <v/>
      </c>
      <c r="AB377" s="7" t="inlineStr">
        <is>
          <t>^Warhead_CannonHE_Medium, ^Warhead_MissileHE_Light</t>
        </is>
      </c>
    </row>
    <row r="378">
      <c r="B378" s="7" t="inlineStr">
        <is>
          <t xml:space="preserve">  ↳ RA2MultiHoverMissile_AA_elite</t>
        </is>
      </c>
      <c r="C378" s="7" t="inlineStr">
        <is>
          <t>Armament@missileeliteAA</t>
        </is>
      </c>
      <c r="L378" s="6" t="n">
        <v>4000</v>
      </c>
      <c r="M378" s="6" t="n">
        <v>20</v>
      </c>
      <c r="N378" s="6" t="n">
        <v>4</v>
      </c>
      <c r="O378" s="6" t="n"/>
      <c r="P378" s="6" t="n">
        <v>10255</v>
      </c>
      <c r="Q378" s="6" t="n">
        <v>0.875</v>
      </c>
      <c r="R378">
        <f>M378+IF(N378&gt;1,N(O378)*(N378-1),0)</f>
        <v/>
      </c>
      <c r="S378">
        <f>IFERROR(L378*MAX(N378,1)/R378*IF(ISBLANK(K342),1,K342),0)</f>
        <v/>
      </c>
      <c r="AB378" s="7" t="inlineStr">
        <is>
          <t>^Warhead_CannonHE_Medium, ^Warhead_MissileHE_Light</t>
        </is>
      </c>
    </row>
    <row r="379">
      <c r="B379" s="7" t="inlineStr">
        <is>
          <t xml:space="preserve">  ↳ RA2MultiThunderboltMissile</t>
        </is>
      </c>
      <c r="C379" s="7" t="inlineStr">
        <is>
          <t>Armament@missileThunderbolt</t>
        </is>
      </c>
      <c r="L379" s="6" t="n">
        <v>4000</v>
      </c>
      <c r="M379" s="6" t="n">
        <v>25</v>
      </c>
      <c r="N379" s="6" t="n">
        <v>1</v>
      </c>
      <c r="O379" s="6" t="n"/>
      <c r="P379" s="6" t="n">
        <v>5120</v>
      </c>
      <c r="Q379" s="6" t="n">
        <v>1</v>
      </c>
      <c r="R379">
        <f>M379+IF(N379&gt;1,N(O379)*(N379-1),0)</f>
        <v/>
      </c>
      <c r="S379">
        <f>IFERROR(L379*MAX(N379,1)/R379*IF(ISBLANK(K342),1,K342),0)</f>
        <v/>
      </c>
      <c r="AB379" s="7" t="inlineStr">
        <is>
          <t>^Warhead_MissileHE_Heavy, ^Warhead_MissileHE_Light</t>
        </is>
      </c>
    </row>
    <row r="380">
      <c r="B380" s="7" t="inlineStr">
        <is>
          <t xml:space="preserve">  ↳ RA2MultiThunderboltMissile_elite</t>
        </is>
      </c>
      <c r="C380" s="7" t="inlineStr">
        <is>
          <t>Armament@missileeliteThunderbolt</t>
        </is>
      </c>
      <c r="L380" s="6" t="n">
        <v>4000</v>
      </c>
      <c r="M380" s="6" t="n">
        <v>25</v>
      </c>
      <c r="N380" s="6" t="n">
        <v>4</v>
      </c>
      <c r="O380" s="6" t="n"/>
      <c r="P380" s="6" t="n">
        <v>7170</v>
      </c>
      <c r="Q380" s="6" t="n">
        <v>1</v>
      </c>
      <c r="R380">
        <f>M380+IF(N380&gt;1,N(O380)*(N380-1),0)</f>
        <v/>
      </c>
      <c r="S380">
        <f>IFERROR(L380*MAX(N380,1)/R380*IF(ISBLANK(K342),1,K342),0)</f>
        <v/>
      </c>
      <c r="AB380" s="7" t="inlineStr">
        <is>
          <t>^Warhead_MissileHE_Heavy, ^Warhead_MissileHE_Light</t>
        </is>
      </c>
    </row>
    <row r="381">
      <c r="B381" s="7" t="inlineStr">
        <is>
          <t xml:space="preserve">  ↳ RA2MultiThunderboltMissile_AA</t>
        </is>
      </c>
      <c r="C381" s="7" t="inlineStr">
        <is>
          <t>Armament@missileAAThunderbolt</t>
        </is>
      </c>
      <c r="L381" s="6" t="n">
        <v>4000</v>
      </c>
      <c r="M381" s="6" t="n">
        <v>25</v>
      </c>
      <c r="N381" s="6" t="n">
        <v>1</v>
      </c>
      <c r="O381" s="6" t="n"/>
      <c r="P381" s="6" t="n">
        <v>9255</v>
      </c>
      <c r="Q381" s="6" t="n">
        <v>1</v>
      </c>
      <c r="R381">
        <f>M381+IF(N381&gt;1,N(O381)*(N381-1),0)</f>
        <v/>
      </c>
      <c r="S381">
        <f>IFERROR(L381*MAX(N381,1)/R381*IF(ISBLANK(K342),1,K342),0)</f>
        <v/>
      </c>
      <c r="AB381" s="7" t="inlineStr">
        <is>
          <t>^Warhead_MissileHE_Heavy, ^Warhead_MissileHE_Light</t>
        </is>
      </c>
    </row>
    <row r="382">
      <c r="B382" s="7" t="inlineStr">
        <is>
          <t xml:space="preserve">  ↳ RA2MultiThunderboltMissile_AA_elite</t>
        </is>
      </c>
      <c r="C382" s="7" t="inlineStr">
        <is>
          <t>Armament@missileeliteAAThunderbolt</t>
        </is>
      </c>
      <c r="L382" s="6" t="n">
        <v>4000</v>
      </c>
      <c r="M382" s="6" t="n">
        <v>25</v>
      </c>
      <c r="N382" s="6" t="n">
        <v>4</v>
      </c>
      <c r="O382" s="6" t="n"/>
      <c r="P382" s="6" t="n">
        <v>10255</v>
      </c>
      <c r="Q382" s="6" t="n">
        <v>1</v>
      </c>
      <c r="R382">
        <f>M382+IF(N382&gt;1,N(O382)*(N382-1),0)</f>
        <v/>
      </c>
      <c r="S382">
        <f>IFERROR(L382*MAX(N382,1)/R382*IF(ISBLANK(K342),1,K342),0)</f>
        <v/>
      </c>
      <c r="AB382" s="7" t="inlineStr">
        <is>
          <t>^Warhead_MissileHE_Heavy, ^Warhead_MissileHE_Light</t>
        </is>
      </c>
    </row>
    <row r="383">
      <c r="B383" s="7" t="inlineStr">
        <is>
          <t xml:space="preserve">  ↳ MedicHeal</t>
        </is>
      </c>
      <c r="C383" s="7" t="inlineStr">
        <is>
          <t>Armament@healer</t>
        </is>
      </c>
      <c r="L383" s="6" t="n">
        <v>-3000</v>
      </c>
      <c r="M383" s="6" t="n">
        <v>10</v>
      </c>
      <c r="N383" s="6" t="n">
        <v>1</v>
      </c>
      <c r="O383" s="6" t="n"/>
      <c r="P383" s="6" t="n">
        <v>6000</v>
      </c>
      <c r="Q383" s="6" t="n">
        <v>1</v>
      </c>
      <c r="R383">
        <f>M383+IF(N383&gt;1,N(O383)*(N383-1),0)</f>
        <v/>
      </c>
      <c r="S383">
        <f>IFERROR(L383*MAX(N383,1)/R383*IF(ISBLANK(K342),1,K342),0)</f>
        <v/>
      </c>
      <c r="AB383" s="7" t="inlineStr">
        <is>
          <t>^HealingWeapon</t>
        </is>
      </c>
    </row>
    <row r="384">
      <c r="B384" s="7" t="inlineStr">
        <is>
          <t xml:space="preserve">  ↳ RA2AWP</t>
        </is>
      </c>
      <c r="C384" s="7" t="inlineStr">
        <is>
          <t>Armament@ra1_allies_alliedsniper</t>
        </is>
      </c>
      <c r="L384" s="6" t="n">
        <v>44000</v>
      </c>
      <c r="M384" s="6" t="n">
        <v>54</v>
      </c>
      <c r="N384" s="6" t="n">
        <v>1</v>
      </c>
      <c r="O384" s="6" t="n"/>
      <c r="P384" s="6" t="n">
        <v>10000</v>
      </c>
      <c r="Q384" s="6" t="n">
        <v>0.75</v>
      </c>
      <c r="R384">
        <f>M384+IF(N384&gt;1,N(O384)*(N384-1),0)</f>
        <v/>
      </c>
      <c r="S384">
        <f>IFERROR(L384*MAX(N384,1)/R384*IF(ISBLANK(K342),1,K342),0)</f>
        <v/>
      </c>
      <c r="AB384" s="7" t="inlineStr">
        <is>
          <t>^Warhead_Sniper_Light</t>
        </is>
      </c>
    </row>
    <row r="385">
      <c r="A385" t="inlineStr">
        <is>
          <t>redalert2</t>
        </is>
      </c>
      <c r="B385" t="inlineStr">
        <is>
          <t>ra2_soviets_terrordrone</t>
        </is>
      </c>
      <c r="C385" t="inlineStr">
        <is>
          <t>Terror Drone</t>
        </is>
      </c>
      <c r="D385" s="6" t="inlineStr">
        <is>
          <t>ScoutVehicle</t>
        </is>
      </c>
      <c r="E385" s="6" t="n">
        <v>10000</v>
      </c>
      <c r="F385" s="6" t="n">
        <v>200</v>
      </c>
      <c r="G385" t="inlineStr">
        <is>
          <t>Scout</t>
        </is>
      </c>
      <c r="H385" s="6" t="n">
        <v>0.9322</v>
      </c>
      <c r="I385" s="6" t="n">
        <v>1</v>
      </c>
      <c r="J385" s="6" t="n">
        <v>1</v>
      </c>
      <c r="K385" s="6" t="n"/>
      <c r="P385">
        <f>MAX(P386,P387)</f>
        <v/>
      </c>
      <c r="S385">
        <f>S386+S387</f>
        <v/>
      </c>
      <c r="T385">
        <f>(E385/100000+F385/100+(P385/1000)*J385/5+S385/200)*200*I385*H385</f>
        <v/>
      </c>
      <c r="U385">
        <f>((E385*F385/25000)+((P385/1000)*J385*S385/2.5))*I385*H385</f>
        <v/>
      </c>
      <c r="V385">
        <f>(E385*F385*(P385/1000)*J385*S385*I385*H385)/12500000</f>
        <v/>
      </c>
      <c r="W385">
        <f>(((E385/30000)+(F385/200)+(S385/450)+((P385/4500)*J385))*300/4+(((E385/30000)*(F385/200))+(((P385/4500)*J385)*(S385/450)))*300/2+((E385/30000)*(F385/200)*((P385/4500)*J385)*(S385/450))*300)*(H385/1.0)/3</f>
        <v/>
      </c>
      <c r="X385" s="6" t="n">
        <v>600</v>
      </c>
      <c r="Y385">
        <f>IFERROR(W385-X385,"")</f>
        <v/>
      </c>
      <c r="Z385">
        <f>IFERROR(ABS(Y385)/MAX(X385,1),"")</f>
        <v/>
      </c>
      <c r="AA385">
        <f>IFERROR(ROUND(((3*X385-(((E385/30000)+(F385/200)+(S385/450))*300/4+((E385/30000)*(F385/200))*300/2)*(H385/1.0))/(300/4+((S385/450))*300/2+((E385/30000)*(F385/200)*(S385/450))*300)*(H385/1.0)*4500)/J385,-1),"")</f>
        <v/>
      </c>
    </row>
    <row r="386">
      <c r="B386" s="7" t="inlineStr">
        <is>
          <t xml:space="preserve">  ↳ RA2DroneJump</t>
        </is>
      </c>
      <c r="C386" s="7" t="inlineStr">
        <is>
          <t>Armament</t>
        </is>
      </c>
      <c r="L386" s="6" t="n">
        <v>100000</v>
      </c>
      <c r="M386" s="6" t="n">
        <v>40</v>
      </c>
      <c r="N386" s="6" t="n">
        <v>1</v>
      </c>
      <c r="O386" s="6" t="n"/>
      <c r="P386" s="6" t="n">
        <v>4000</v>
      </c>
      <c r="Q386" s="6" t="n">
        <v>1</v>
      </c>
      <c r="R386">
        <f>M386+IF(N386&gt;1,N(O386)*(N386-1),0)</f>
        <v/>
      </c>
      <c r="S386">
        <f>IFERROR(L386*MAX(N386,1)/R386*IF(ISBLANK(K385),1,K385),0)</f>
        <v/>
      </c>
      <c r="AB386" s="7" t="inlineStr"/>
    </row>
    <row r="387">
      <c r="B387" s="7" t="inlineStr">
        <is>
          <t xml:space="preserve">  ↳ RA2DroneJump_elite</t>
        </is>
      </c>
      <c r="C387" s="7" t="inlineStr">
        <is>
          <t>Armament@Elite</t>
        </is>
      </c>
      <c r="L387" s="6" t="n">
        <v>100000</v>
      </c>
      <c r="M387" s="6" t="n">
        <v>10</v>
      </c>
      <c r="N387" s="6" t="n">
        <v>1</v>
      </c>
      <c r="O387" s="6" t="n"/>
      <c r="P387" s="6" t="n">
        <v>4000</v>
      </c>
      <c r="Q387" s="6" t="n">
        <v>1</v>
      </c>
      <c r="R387">
        <f>M387+IF(N387&gt;1,N(O387)*(N387-1),0)</f>
        <v/>
      </c>
      <c r="S387">
        <f>IFERROR(L387*MAX(N387,1)/R387*IF(ISBLANK(K385),1,K385),0)</f>
        <v/>
      </c>
      <c r="AB387" s="7" t="inlineStr">
        <is>
          <t>RA2DroneJump</t>
        </is>
      </c>
    </row>
    <row r="388">
      <c r="A388" t="inlineStr">
        <is>
          <t>redalert2mod</t>
        </is>
      </c>
      <c r="B388" t="inlineStr">
        <is>
          <t>cougar.steel</t>
        </is>
      </c>
      <c r="C388" t="inlineStr">
        <is>
          <t>Federation Cougar</t>
        </is>
      </c>
      <c r="D388" s="6" t="inlineStr">
        <is>
          <t>ScoutVehicle</t>
        </is>
      </c>
      <c r="E388" s="6" t="n">
        <v>25000</v>
      </c>
      <c r="F388" s="6" t="n">
        <v>150</v>
      </c>
      <c r="G388" t="inlineStr">
        <is>
          <t>Scout</t>
        </is>
      </c>
      <c r="H388" s="6" t="n">
        <v>1</v>
      </c>
      <c r="I388" s="6" t="n">
        <v>1</v>
      </c>
      <c r="J388" s="6" t="n">
        <v>1</v>
      </c>
      <c r="K388" s="6" t="n"/>
      <c r="P388">
        <f>MAX(P389)</f>
        <v/>
      </c>
      <c r="S388">
        <f>S389</f>
        <v/>
      </c>
      <c r="T388">
        <f>(E388/100000+F388/100+(P388/1000)*J388/5+S388/200)*200*I388*H388</f>
        <v/>
      </c>
      <c r="U388">
        <f>((E388*F388/25000)+((P388/1000)*J388*S388/2.5))*I388*H388</f>
        <v/>
      </c>
      <c r="V388">
        <f>(E388*F388*(P388/1000)*J388*S388*I388*H388)/12500000</f>
        <v/>
      </c>
      <c r="W388">
        <f>(((E388/30000)+(F388/200)+(S388/450)+((P388/4500)*J388))*300/4+(((E388/30000)*(F388/200))+(((P388/4500)*J388)*(S388/450)))*300/2+((E388/30000)*(F388/200)*((P388/4500)*J388)*(S388/450))*300)*(H388/1.0)/3</f>
        <v/>
      </c>
      <c r="X388" s="6" t="n">
        <v>1200</v>
      </c>
      <c r="Y388">
        <f>IFERROR(W388-X388,"")</f>
        <v/>
      </c>
      <c r="Z388">
        <f>IFERROR(ABS(Y388)/MAX(X388,1),"")</f>
        <v/>
      </c>
      <c r="AA388">
        <f>IFERROR(ROUND(((3*X388-(((E388/30000)+(F388/200)+(S388/450))*300/4+((E388/30000)*(F388/200))*300/2)*(H388/1.0))/(300/4+((S388/450))*300/2+((E388/30000)*(F388/200)*(S388/450))*300)*(H388/1.0)*4500)/J388,-1),"")</f>
        <v/>
      </c>
    </row>
    <row r="389">
      <c r="B389" s="7" t="inlineStr">
        <is>
          <t xml:space="preserve">  ↳ SteelVulcan</t>
        </is>
      </c>
      <c r="C389" s="7" t="inlineStr">
        <is>
          <t>Armament</t>
        </is>
      </c>
      <c r="L389" s="6" t="n">
        <v>6000</v>
      </c>
      <c r="M389" s="6" t="n">
        <v>10</v>
      </c>
      <c r="N389" s="6" t="n">
        <v>1</v>
      </c>
      <c r="O389" s="6" t="n"/>
      <c r="P389" s="6" t="n">
        <v>6666</v>
      </c>
      <c r="Q389" s="6" t="n">
        <v>1</v>
      </c>
      <c r="R389">
        <f>M389+IF(N389&gt;1,N(O389)*(N389-1),0)</f>
        <v/>
      </c>
      <c r="S389">
        <f>IFERROR(L389*MAX(N389,1)/R389*IF(ISBLANK(K388),1,K388),0)</f>
        <v/>
      </c>
      <c r="AB389" s="7" t="inlineStr">
        <is>
          <t>^Warhead_CannonHE_Heavy, ^Warhead_Bullet_Light, ^Warhead_Bullet_Medium</t>
        </is>
      </c>
    </row>
    <row r="390">
      <c r="A390" t="inlineStr">
        <is>
          <t>redalert2mod</t>
        </is>
      </c>
      <c r="B390" t="inlineStr">
        <is>
          <t>scrapcar2_driveby.latin</t>
        </is>
      </c>
      <c r="C390" t="inlineStr">
        <is>
          <t>Drive By Car</t>
        </is>
      </c>
      <c r="D390" s="6" t="inlineStr">
        <is>
          <t>ScoutVehicle</t>
        </is>
      </c>
      <c r="E390" s="6" t="n">
        <v>25000</v>
      </c>
      <c r="F390" s="6" t="n">
        <v>100</v>
      </c>
      <c r="G390" t="inlineStr">
        <is>
          <t>Scout</t>
        </is>
      </c>
      <c r="H390" s="6" t="n">
        <v>1</v>
      </c>
      <c r="I390" s="6" t="n">
        <v>1</v>
      </c>
      <c r="J390" s="6" t="n">
        <v>1</v>
      </c>
      <c r="K390" s="6" t="n"/>
      <c r="P390">
        <f>MAX(P391)</f>
        <v/>
      </c>
      <c r="S390">
        <f>S391</f>
        <v/>
      </c>
      <c r="T390">
        <f>(E390/100000+F390/100+(P390/1000)*J390/5+S390/200)*200*I390*H390</f>
        <v/>
      </c>
      <c r="U390">
        <f>((E390*F390/25000)+((P390/1000)*J390*S390/2.5))*I390*H390</f>
        <v/>
      </c>
      <c r="V390">
        <f>(E390*F390*(P390/1000)*J390*S390*I390*H390)/12500000</f>
        <v/>
      </c>
      <c r="W390">
        <f>(((E390/30000)+(F390/200)+(S390/450)+((P390/4500)*J390))*300/4+(((E390/30000)*(F390/200))+(((P390/4500)*J390)*(S390/450)))*300/2+((E390/30000)*(F390/200)*((P390/4500)*J390)*(S390/450))*300)*(H390/1.0)/3</f>
        <v/>
      </c>
      <c r="X390" s="6" t="n">
        <v>1000</v>
      </c>
      <c r="Y390">
        <f>IFERROR(W390-X390,"")</f>
        <v/>
      </c>
      <c r="Z390">
        <f>IFERROR(ABS(Y390)/MAX(X390,1),"")</f>
        <v/>
      </c>
      <c r="AA390">
        <f>IFERROR(ROUND(((3*X390-(((E390/30000)+(F390/200)+(S390/450))*300/4+((E390/30000)*(F390/200))*300/2)*(H390/1.0))/(300/4+((S390/450))*300/2+((E390/30000)*(F390/200)*(S390/450))*300)*(H390/1.0)*4500)/J390,-1),"")</f>
        <v/>
      </c>
    </row>
    <row r="391">
      <c r="B391" s="7" t="inlineStr">
        <is>
          <t xml:space="preserve">  ↳ RA220mmrapid</t>
        </is>
      </c>
      <c r="C391" s="7" t="inlineStr">
        <is>
          <t>Armament</t>
        </is>
      </c>
      <c r="L391" s="6" t="n">
        <v>8000</v>
      </c>
      <c r="M391" s="6" t="n">
        <v>15</v>
      </c>
      <c r="N391" s="6" t="n">
        <v>1</v>
      </c>
      <c r="O391" s="6" t="n"/>
      <c r="P391" s="6" t="n">
        <v>5000</v>
      </c>
      <c r="Q391" s="6" t="n">
        <v>0.875</v>
      </c>
      <c r="R391">
        <f>M391+IF(N391&gt;1,N(O391)*(N391-1),0)</f>
        <v/>
      </c>
      <c r="S391">
        <f>IFERROR(L391*MAX(N391,1)/R391*IF(ISBLANK(K390),1,K390),0)</f>
        <v/>
      </c>
      <c r="AB391" s="7" t="inlineStr">
        <is>
          <t>^Warhead_Bullet_Light, ^Warhead_Bullet_Medium</t>
        </is>
      </c>
    </row>
    <row r="392">
      <c r="A392" t="inlineStr">
        <is>
          <t>redalert2mod</t>
        </is>
      </c>
      <c r="B392" t="inlineStr">
        <is>
          <t>scrapcar_driveby.latin</t>
        </is>
      </c>
      <c r="C392" t="inlineStr">
        <is>
          <t>Drive By Car</t>
        </is>
      </c>
      <c r="D392" s="6" t="inlineStr">
        <is>
          <t>ScoutVehicle</t>
        </is>
      </c>
      <c r="E392" s="6" t="n">
        <v>25000</v>
      </c>
      <c r="F392" s="6" t="n">
        <v>100</v>
      </c>
      <c r="G392" t="inlineStr">
        <is>
          <t>Scout</t>
        </is>
      </c>
      <c r="H392" s="6" t="n">
        <v>1</v>
      </c>
      <c r="I392" s="6" t="n">
        <v>1</v>
      </c>
      <c r="J392" s="6" t="n">
        <v>1</v>
      </c>
      <c r="K392" s="6" t="n"/>
      <c r="P392">
        <f>MAX(P393)</f>
        <v/>
      </c>
      <c r="S392">
        <f>S393</f>
        <v/>
      </c>
      <c r="T392">
        <f>(E392/100000+F392/100+(P392/1000)*J392/5+S392/200)*200*I392*H392</f>
        <v/>
      </c>
      <c r="U392">
        <f>((E392*F392/25000)+((P392/1000)*J392*S392/2.5))*I392*H392</f>
        <v/>
      </c>
      <c r="V392">
        <f>(E392*F392*(P392/1000)*J392*S392*I392*H392)/12500000</f>
        <v/>
      </c>
      <c r="W392">
        <f>(((E392/30000)+(F392/200)+(S392/450)+((P392/4500)*J392))*300/4+(((E392/30000)*(F392/200))+(((P392/4500)*J392)*(S392/450)))*300/2+((E392/30000)*(F392/200)*((P392/4500)*J392)*(S392/450))*300)*(H392/1.0)/3</f>
        <v/>
      </c>
      <c r="X392" s="6" t="n">
        <v>1000</v>
      </c>
      <c r="Y392">
        <f>IFERROR(W392-X392,"")</f>
        <v/>
      </c>
      <c r="Z392">
        <f>IFERROR(ABS(Y392)/MAX(X392,1),"")</f>
        <v/>
      </c>
      <c r="AA392">
        <f>IFERROR(ROUND(((3*X392-(((E392/30000)+(F392/200)+(S392/450))*300/4+((E392/30000)*(F392/200))*300/2)*(H392/1.0))/(300/4+((S392/450))*300/2+((E392/30000)*(F392/200)*(S392/450))*300)*(H392/1.0)*4500)/J392,-1),"")</f>
        <v/>
      </c>
    </row>
    <row r="393">
      <c r="B393" s="7" t="inlineStr">
        <is>
          <t xml:space="preserve">  ↳ RA220mmrapid</t>
        </is>
      </c>
      <c r="C393" s="7" t="inlineStr">
        <is>
          <t>Armament</t>
        </is>
      </c>
      <c r="L393" s="6" t="n">
        <v>8000</v>
      </c>
      <c r="M393" s="6" t="n">
        <v>15</v>
      </c>
      <c r="N393" s="6" t="n">
        <v>1</v>
      </c>
      <c r="O393" s="6" t="n"/>
      <c r="P393" s="6" t="n">
        <v>5000</v>
      </c>
      <c r="Q393" s="6" t="n">
        <v>0.875</v>
      </c>
      <c r="R393">
        <f>M393+IF(N393&gt;1,N(O393)*(N393-1),0)</f>
        <v/>
      </c>
      <c r="S393">
        <f>IFERROR(L393*MAX(N393,1)/R393*IF(ISBLANK(K392),1,K392),0)</f>
        <v/>
      </c>
      <c r="AB393" s="7" t="inlineStr">
        <is>
          <t>^Warhead_Bullet_Light, ^Warhead_Bullet_Medium</t>
        </is>
      </c>
    </row>
    <row r="394">
      <c r="A394" t="inlineStr">
        <is>
          <t>redalert2mod</t>
        </is>
      </c>
      <c r="B394" t="inlineStr">
        <is>
          <t>naxis_bmwbike</t>
        </is>
      </c>
      <c r="C394" t="inlineStr">
        <is>
          <t>BMW Bike</t>
        </is>
      </c>
      <c r="D394" s="6" t="inlineStr">
        <is>
          <t>ScoutVehicle</t>
        </is>
      </c>
      <c r="E394" s="6" t="n">
        <v>22000</v>
      </c>
      <c r="F394" s="6" t="n">
        <v>125</v>
      </c>
      <c r="G394" t="inlineStr">
        <is>
          <t>Light</t>
        </is>
      </c>
      <c r="H394" s="6" t="n">
        <v>0.782</v>
      </c>
      <c r="I394" s="6" t="n">
        <v>1</v>
      </c>
      <c r="J394" s="6" t="n">
        <v>1</v>
      </c>
      <c r="K394" s="6" t="n"/>
      <c r="P394">
        <f>MAX(P395,P396)</f>
        <v/>
      </c>
      <c r="S394">
        <f>S395+S396</f>
        <v/>
      </c>
      <c r="T394">
        <f>(E394/100000+F394/100+(P394/1000)*J394/5+S394/200)*200*I394*H394</f>
        <v/>
      </c>
      <c r="U394">
        <f>((E394*F394/25000)+((P394/1000)*J394*S394/2.5))*I394*H394</f>
        <v/>
      </c>
      <c r="V394">
        <f>(E394*F394*(P394/1000)*J394*S394*I394*H394)/12500000</f>
        <v/>
      </c>
      <c r="W394">
        <f>(T394+U394+V394)/3</f>
        <v/>
      </c>
      <c r="X394" s="6" t="n">
        <v>450</v>
      </c>
      <c r="Y394">
        <f>IFERROR(W394-X394,"")</f>
        <v/>
      </c>
      <c r="Z394">
        <f>IFERROR(ABS(Y394)/MAX(X394,1),"")</f>
        <v/>
      </c>
      <c r="AA394">
        <f>IFERROR((X394-(((E394/100000+F394/100+S394/200)*200*I394*H394)+((E394*F394/25000)*I394*H394))/3)/(((J394/5)*200*I394*H394)+((J394*S394/2.5)*I394*H394)+((E394*F394*J394*S394*I394*H394)/12500000))/3*1000,"")</f>
        <v/>
      </c>
    </row>
    <row r="395">
      <c r="B395" s="7" t="inlineStr">
        <is>
          <t xml:space="preserve">  ↳ NaxiWW2MachinegunSmall</t>
        </is>
      </c>
      <c r="C395" s="7" t="inlineStr">
        <is>
          <t>Armament@AG</t>
        </is>
      </c>
      <c r="L395" s="6" t="n">
        <v>4000</v>
      </c>
      <c r="M395" s="6" t="n">
        <v>60</v>
      </c>
      <c r="N395" s="6" t="n">
        <v>3</v>
      </c>
      <c r="O395" s="6" t="n">
        <v>4</v>
      </c>
      <c r="P395" s="6" t="n">
        <v>5570</v>
      </c>
      <c r="Q395" s="6" t="n">
        <v>0.875</v>
      </c>
      <c r="R395">
        <f>M395+IF(N395&gt;1,N(O395)*(N395-1),0)</f>
        <v/>
      </c>
      <c r="S395">
        <f>IFERROR(L395*MAX(N395,1)/R395*IF(ISBLANK(K394),1,K394),0)</f>
        <v/>
      </c>
      <c r="AB395" s="7" t="inlineStr">
        <is>
          <t>^Warhead_Bullet_Light, ^Warhead_Bullet_Medium</t>
        </is>
      </c>
    </row>
    <row r="396">
      <c r="B396" s="7" t="inlineStr">
        <is>
          <t xml:space="preserve">  ↳ NaxiWW2MachinegunSmall_AA</t>
        </is>
      </c>
      <c r="C396" s="7" t="inlineStr">
        <is>
          <t>Armament@AA</t>
        </is>
      </c>
      <c r="L396" s="6" t="n">
        <v>4000</v>
      </c>
      <c r="M396" s="6" t="n">
        <v>60</v>
      </c>
      <c r="N396" s="6" t="n">
        <v>3</v>
      </c>
      <c r="O396" s="6" t="n">
        <v>4</v>
      </c>
      <c r="P396" s="6" t="n">
        <v>8355</v>
      </c>
      <c r="Q396" s="6" t="n">
        <v>0.875</v>
      </c>
      <c r="R396">
        <f>M396+IF(N396&gt;1,N(O396)*(N396-1),0)</f>
        <v/>
      </c>
      <c r="S396">
        <f>IFERROR(L396*MAX(N396,1)/R396*IF(ISBLANK(K394),1,K394),0)</f>
        <v/>
      </c>
      <c r="AB396" s="7" t="inlineStr">
        <is>
          <t>^Warhead_Bullet_Light, ^Warhead_Bullet_Medium</t>
        </is>
      </c>
    </row>
    <row r="397">
      <c r="A397" t="inlineStr">
        <is>
          <t>redalert2mod</t>
        </is>
      </c>
      <c r="B397" t="inlineStr">
        <is>
          <t>futuretech_salamanderifv</t>
        </is>
      </c>
      <c r="C397" t="inlineStr">
        <is>
          <t>Salamander IFV</t>
        </is>
      </c>
      <c r="D397" s="6" t="inlineStr">
        <is>
          <t>ScoutVehicle</t>
        </is>
      </c>
      <c r="E397" s="6" t="n">
        <v>50000</v>
      </c>
      <c r="F397" s="6" t="n">
        <v>150</v>
      </c>
      <c r="G397" t="inlineStr">
        <is>
          <t>Scout</t>
        </is>
      </c>
      <c r="H397" s="6" t="n">
        <v>1</v>
      </c>
      <c r="I397" s="6" t="n">
        <v>0.333</v>
      </c>
      <c r="J397" s="6" t="n">
        <v>1</v>
      </c>
      <c r="K397" s="6" t="n">
        <v>0.015</v>
      </c>
      <c r="P397">
        <f>MAX(P398,P399,P400,P401,P402,P403,P404,P405,P406,P407,P408,P409,P410,P411,P412,P413,P414,P415,P416,P420,P421,P422,P423,P424,P425,P426,P427,P428,P429,P430,P431,P432,P433,P434,P435,P436,P437,P438,P439)</f>
        <v/>
      </c>
      <c r="S397">
        <f>S398+S399+S400+S401+S402+S403+S404+S405+S406+S407+S408+S409+S410+S411+S412+S413+S414+S415+S416+S420+S421+S422+S423+S424+S425+S426+S427+S428+S429+S430+S431+S432+S433+S434+S435+S436+S437+S438+S439</f>
        <v/>
      </c>
      <c r="T397">
        <f>(E397/100000+F397/100+(P397/1000)*J397/5+S397/200)*200*I397*H397</f>
        <v/>
      </c>
      <c r="U397">
        <f>((E397*F397/25000)+((P397/1000)*J397*S397/2.5))*I397*H397</f>
        <v/>
      </c>
      <c r="V397">
        <f>(E397*F397*(P397/1000)*J397*S397*I397*H397)/12500000</f>
        <v/>
      </c>
      <c r="W397">
        <f>(((E397/30000)+(F397/200)+(S397/450)+((P397/4500)*J397))*300/4+(((E397/30000)*(F397/200))+(((P397/4500)*J397)*(S397/450)))*300/2+((E397/30000)*(F397/200)*((P397/4500)*J397)*(S397/450))*300)*(H397/1.0)/3</f>
        <v/>
      </c>
      <c r="X397" s="6" t="n">
        <v>950</v>
      </c>
      <c r="Y397">
        <f>IFERROR(W397-X397,"")</f>
        <v/>
      </c>
      <c r="Z397">
        <f>IFERROR(ABS(Y397)/MAX(X397,1),"")</f>
        <v/>
      </c>
      <c r="AA397">
        <f>IFERROR(ROUND(((3*X397-(((E397/30000)+(F397/200)+(S397/450))*300/4+((E397/30000)*(F397/200))*300/2)*(H397/1.0))/(300/4+((S397/450))*300/2+((E397/30000)*(F397/200)*(S397/450))*300)*(H397/1.0)*4500)/J397,-1),"")</f>
        <v/>
      </c>
    </row>
    <row r="398">
      <c r="B398" s="7" t="inlineStr">
        <is>
          <t xml:space="preserve">  ↳ RA2CRM60</t>
        </is>
      </c>
      <c r="C398" s="7" t="inlineStr">
        <is>
          <t>Armament@mg</t>
        </is>
      </c>
      <c r="L398" s="6" t="n">
        <v>4000</v>
      </c>
      <c r="M398" s="6" t="n">
        <v>14</v>
      </c>
      <c r="N398" s="6" t="n">
        <v>4</v>
      </c>
      <c r="O398" s="6" t="n">
        <v>2</v>
      </c>
      <c r="P398" s="6" t="n">
        <v>5660</v>
      </c>
      <c r="Q398" s="6" t="n">
        <v>0.875</v>
      </c>
      <c r="R398">
        <f>M398+IF(N398&gt;1,N(O398)*(N398-1),0)</f>
        <v/>
      </c>
      <c r="S398">
        <f>IFERROR(L398*MAX(N398,1)/R398*IF(ISBLANK(K397),1,K397),0)</f>
        <v/>
      </c>
      <c r="AB398" s="7" t="inlineStr">
        <is>
          <t>^Warhead_Bullet_Light, ^Warhead_Bullet_Medium</t>
        </is>
      </c>
    </row>
    <row r="399">
      <c r="B399" s="7" t="inlineStr">
        <is>
          <t xml:space="preserve">  ↳ RA2CRM60H</t>
        </is>
      </c>
      <c r="C399" s="7" t="inlineStr">
        <is>
          <t>Armament@hmg</t>
        </is>
      </c>
      <c r="L399" s="6" t="n">
        <v>6000</v>
      </c>
      <c r="M399" s="6" t="n">
        <v>10</v>
      </c>
      <c r="N399" s="6" t="n">
        <v>6</v>
      </c>
      <c r="O399" s="6" t="n">
        <v>2</v>
      </c>
      <c r="P399" s="6" t="n">
        <v>4692</v>
      </c>
      <c r="Q399" s="6" t="n">
        <v>1.125</v>
      </c>
      <c r="R399">
        <f>M399+IF(N399&gt;1,N(O399)*(N399-1),0)</f>
        <v/>
      </c>
      <c r="S399">
        <f>IFERROR(L399*MAX(N399,1)/R399*IF(ISBLANK(K397),1,K397),0)</f>
        <v/>
      </c>
      <c r="AB399" s="7" t="inlineStr">
        <is>
          <t>^Warhead_CannonHE_Heavy, ^Warhead_Bullet_Medium</t>
        </is>
      </c>
    </row>
    <row r="400">
      <c r="B400" s="7" t="inlineStr">
        <is>
          <t xml:space="preserve">  ↳ wc_tower_fire</t>
        </is>
      </c>
      <c r="C400" s="7" t="inlineStr">
        <is>
          <t>Armament@archer</t>
        </is>
      </c>
      <c r="L400" s="6" t="n">
        <v>2500</v>
      </c>
      <c r="M400" s="6" t="n">
        <v>40</v>
      </c>
      <c r="N400" s="6" t="n">
        <v>1</v>
      </c>
      <c r="O400" s="6" t="n"/>
      <c r="P400" s="6" t="n">
        <v>8704</v>
      </c>
      <c r="Q400" s="6" t="n">
        <v>1</v>
      </c>
      <c r="R400">
        <f>M400+IF(N400&gt;1,N(O400)*(N400-1),0)</f>
        <v/>
      </c>
      <c r="S400">
        <f>IFERROR(L400*MAX(N400,1)/R400*IF(ISBLANK(K397),1,K397),0)</f>
        <v/>
      </c>
      <c r="AB400" s="7" t="inlineStr">
        <is>
          <t>bowFire</t>
        </is>
      </c>
    </row>
    <row r="401">
      <c r="B401" s="7" t="inlineStr">
        <is>
          <t xml:space="preserve">  ↳ RA2IFVRepair</t>
        </is>
      </c>
      <c r="C401" s="7" t="inlineStr">
        <is>
          <t>Armament@repair</t>
        </is>
      </c>
      <c r="L401" s="6" t="n">
        <v>-3000</v>
      </c>
      <c r="M401" s="6" t="n">
        <v>50</v>
      </c>
      <c r="N401" s="6" t="n">
        <v>10</v>
      </c>
      <c r="O401" s="6" t="n">
        <v>1</v>
      </c>
      <c r="P401" s="6" t="n">
        <v>5000</v>
      </c>
      <c r="Q401" s="6" t="n">
        <v>1</v>
      </c>
      <c r="R401">
        <f>M401+IF(N401&gt;1,N(O401)*(N401-1),0)</f>
        <v/>
      </c>
      <c r="S401">
        <f>IFERROR(L401*MAX(N401,1)/R401*IF(ISBLANK(K397),1,K397),0)</f>
        <v/>
      </c>
      <c r="AB401" s="7" t="inlineStr">
        <is>
          <t>^RepairWeapon</t>
        </is>
      </c>
    </row>
    <row r="402">
      <c r="B402" s="7" t="inlineStr">
        <is>
          <t xml:space="preserve">  ↳ LightSniper</t>
        </is>
      </c>
      <c r="C402" s="7" t="inlineStr">
        <is>
          <t>Armament@lightsniper</t>
        </is>
      </c>
      <c r="L402" s="6" t="n">
        <v>30000</v>
      </c>
      <c r="M402" s="6" t="n">
        <v>100</v>
      </c>
      <c r="N402" s="6" t="n">
        <v>1</v>
      </c>
      <c r="O402" s="6" t="n"/>
      <c r="P402" s="6" t="n">
        <v>9153</v>
      </c>
      <c r="Q402" s="6" t="n">
        <v>0.75</v>
      </c>
      <c r="R402">
        <f>M402+IF(N402&gt;1,N(O402)*(N402-1),0)</f>
        <v/>
      </c>
      <c r="S402">
        <f>IFERROR(L402*MAX(N402,1)/R402*IF(ISBLANK(K397),1,K397),0)</f>
        <v/>
      </c>
      <c r="AB402" s="7" t="inlineStr">
        <is>
          <t>^Warhead_Sniper_Light</t>
        </is>
      </c>
    </row>
    <row r="403">
      <c r="B403" s="7" t="inlineStr">
        <is>
          <t xml:space="preserve">  ↳ RA2DoublePistolsIFV</t>
        </is>
      </c>
      <c r="C403" s="7" t="inlineStr">
        <is>
          <t>Armament@hero</t>
        </is>
      </c>
      <c r="L403" s="6" t="n">
        <v>14000</v>
      </c>
      <c r="M403" s="6" t="n">
        <v>12</v>
      </c>
      <c r="N403" s="6" t="n">
        <v>2</v>
      </c>
      <c r="O403" s="6" t="n">
        <v>3</v>
      </c>
      <c r="P403" s="6" t="n">
        <v>8000</v>
      </c>
      <c r="Q403" s="6" t="n">
        <v>0.75</v>
      </c>
      <c r="R403">
        <f>M403+IF(N403&gt;1,N(O403)*(N403-1),0)</f>
        <v/>
      </c>
      <c r="S403">
        <f>IFERROR(L403*MAX(N403,1)/R403*IF(ISBLANK(K397),1,K397),0)</f>
        <v/>
      </c>
      <c r="AB403" s="7" t="inlineStr">
        <is>
          <t>^Warhead_Sniper_Light</t>
        </is>
      </c>
    </row>
    <row r="404">
      <c r="B404" s="7" t="inlineStr">
        <is>
          <t xml:space="preserve">  ↳ TTankZap</t>
        </is>
      </c>
      <c r="C404" s="7" t="inlineStr">
        <is>
          <t>Armament@tesla</t>
        </is>
      </c>
      <c r="L404" s="6" t="n">
        <v>40000</v>
      </c>
      <c r="M404" s="6" t="n">
        <v>80</v>
      </c>
      <c r="N404" s="6" t="n">
        <v>1</v>
      </c>
      <c r="O404" s="6" t="n"/>
      <c r="P404" s="6" t="n">
        <v>7300</v>
      </c>
      <c r="Q404" s="6" t="n">
        <v>1.25</v>
      </c>
      <c r="R404">
        <f>M404+IF(N404&gt;1,N(O404)*(N404-1),0)</f>
        <v/>
      </c>
      <c r="S404">
        <f>IFERROR(L404*MAX(N404,1)/R404*IF(ISBLANK(K397),1,K397),0)</f>
        <v/>
      </c>
      <c r="AB404" s="7" t="inlineStr">
        <is>
          <t>^Warhead_Tesla_Heavy</t>
        </is>
      </c>
    </row>
    <row r="405">
      <c r="B405" s="7" t="inlineStr">
        <is>
          <t xml:space="preserve">  ↳ DragunovSniper</t>
        </is>
      </c>
      <c r="C405" s="7" t="inlineStr">
        <is>
          <t>Armament@flak</t>
        </is>
      </c>
      <c r="L405" s="6" t="n">
        <v>400000</v>
      </c>
      <c r="M405" s="6" t="n">
        <v>85</v>
      </c>
      <c r="N405" s="6" t="n">
        <v>1</v>
      </c>
      <c r="O405" s="6" t="n"/>
      <c r="P405" s="6" t="n">
        <v>5804</v>
      </c>
      <c r="Q405" s="6" t="n">
        <v>1</v>
      </c>
      <c r="R405">
        <f>M405+IF(N405&gt;1,N(O405)*(N405-1),0)</f>
        <v/>
      </c>
      <c r="S405">
        <f>IFERROR(L405*MAX(N405,1)/R405*IF(ISBLANK(K397),1,K397),0)</f>
        <v/>
      </c>
      <c r="AB405" s="7" t="inlineStr">
        <is>
          <t>^TankDestroyerCannon, ^RailgunWeapon, ^LightMissile, ^HeavyCannon, ^FlakWeapon</t>
        </is>
      </c>
    </row>
    <row r="406">
      <c r="B406" s="7" t="inlineStr">
        <is>
          <t xml:space="preserve">  ↳ RA2MirageGun</t>
        </is>
      </c>
      <c r="C406" s="7" t="inlineStr">
        <is>
          <t>Armament@cannon</t>
        </is>
      </c>
      <c r="L406" s="6" t="n">
        <v>24000</v>
      </c>
      <c r="M406" s="6" t="n">
        <v>39</v>
      </c>
      <c r="N406" s="6" t="n">
        <v>1</v>
      </c>
      <c r="O406" s="6" t="n"/>
      <c r="P406" s="6" t="n">
        <v>6031</v>
      </c>
      <c r="Q406" s="6" t="n">
        <v>0.75</v>
      </c>
      <c r="R406">
        <f>M406+IF(N406&gt;1,N(O406)*(N406-1),0)</f>
        <v/>
      </c>
      <c r="S406">
        <f>IFERROR(L406*MAX(N406,1)/R406*IF(ISBLANK(K397),1,K397),0)</f>
        <v/>
      </c>
      <c r="AB406" s="7" t="inlineStr">
        <is>
          <t>^Warhead_CannonAP_Light</t>
        </is>
      </c>
    </row>
    <row r="407">
      <c r="B407" s="7" t="inlineStr">
        <is>
          <t xml:space="preserve">  ↳ Grenade</t>
        </is>
      </c>
      <c r="C407" s="7" t="inlineStr">
        <is>
          <t>Armament@grenade</t>
        </is>
      </c>
      <c r="L407" s="6" t="n">
        <v>16000</v>
      </c>
      <c r="M407" s="6" t="n">
        <v>42</v>
      </c>
      <c r="N407" s="6" t="n">
        <v>1</v>
      </c>
      <c r="O407" s="6" t="n"/>
      <c r="P407" s="6" t="n">
        <v>6097</v>
      </c>
      <c r="Q407" s="6" t="n">
        <v>0.75</v>
      </c>
      <c r="R407">
        <f>M407+IF(N407&gt;1,N(O407)*(N407-1),0)</f>
        <v/>
      </c>
      <c r="S407">
        <f>IFERROR(L407*MAX(N407,1)/R407*IF(ISBLANK(K397),1,K397),0)</f>
        <v/>
      </c>
      <c r="AB407" s="7" t="inlineStr">
        <is>
          <t>^Warhead_Demolition_Light</t>
        </is>
      </c>
    </row>
    <row r="408">
      <c r="B408" s="7" t="inlineStr">
        <is>
          <t xml:space="preserve">  ↳ DRPlasmaTankWeapon</t>
        </is>
      </c>
      <c r="C408" s="7" t="inlineStr">
        <is>
          <t>Armament@plasma</t>
        </is>
      </c>
      <c r="L408" s="6" t="n">
        <v>6250</v>
      </c>
      <c r="M408" s="6" t="n">
        <v>21</v>
      </c>
      <c r="N408" s="6" t="n">
        <v>1</v>
      </c>
      <c r="O408" s="6" t="n"/>
      <c r="P408" s="6" t="n">
        <v>5120</v>
      </c>
      <c r="Q408" s="6" t="n">
        <v>1</v>
      </c>
      <c r="R408">
        <f>M408+IF(N408&gt;1,N(O408)*(N408-1),0)</f>
        <v/>
      </c>
      <c r="S408">
        <f>IFERROR(L408*MAX(N408,1)/R408*IF(ISBLANK(K397),1,K397),0)</f>
        <v/>
      </c>
      <c r="AB408" s="7" t="inlineStr">
        <is>
          <t>^DRPlasmaWeapon</t>
        </is>
      </c>
    </row>
    <row r="409">
      <c r="B409" s="7" t="inlineStr">
        <is>
          <t xml:space="preserve">  ↳ SWLaserG</t>
        </is>
      </c>
      <c r="C409" s="7" t="inlineStr">
        <is>
          <t>Armament@litlaser</t>
        </is>
      </c>
      <c r="L409" s="6" t="n">
        <v>2000</v>
      </c>
      <c r="M409" s="6" t="n">
        <v>30</v>
      </c>
      <c r="N409" s="6" t="n">
        <v>6</v>
      </c>
      <c r="O409" s="6" t="n"/>
      <c r="P409" s="6" t="n">
        <v>6144</v>
      </c>
      <c r="Q409" s="6" t="n">
        <v>1</v>
      </c>
      <c r="R409">
        <f>M409+IF(N409&gt;1,N(O409)*(N409-1),0)</f>
        <v/>
      </c>
      <c r="S409">
        <f>IFERROR(L409*MAX(N409,1)/R409*IF(ISBLANK(K397),1,K397),0)</f>
        <v/>
      </c>
      <c r="AB409" s="7" t="inlineStr">
        <is>
          <t>SWLaser</t>
        </is>
      </c>
    </row>
    <row r="410">
      <c r="B410" s="7" t="inlineStr">
        <is>
          <t xml:space="preserve">  ↳ USALaserCannonAG</t>
        </is>
      </c>
      <c r="C410" s="7" t="inlineStr">
        <is>
          <t>Armament@medlaser</t>
        </is>
      </c>
      <c r="L410" s="6" t="n">
        <v>4000</v>
      </c>
      <c r="M410" s="6" t="n">
        <v>50</v>
      </c>
      <c r="N410" s="6" t="n">
        <v>3</v>
      </c>
      <c r="O410" s="6" t="n">
        <v>6</v>
      </c>
      <c r="P410" s="6" t="n">
        <v>7168</v>
      </c>
      <c r="Q410" s="6" t="n">
        <v>1</v>
      </c>
      <c r="R410">
        <f>M410+IF(N410&gt;1,N(O410)*(N410-1),0)</f>
        <v/>
      </c>
      <c r="S410">
        <f>IFERROR(L410*MAX(N410,1)/R410*IF(ISBLANK(K397),1,K397),0)</f>
        <v/>
      </c>
      <c r="AB410" s="7" t="inlineStr">
        <is>
          <t>^AntiGroundMissile</t>
        </is>
      </c>
    </row>
    <row r="411">
      <c r="B411" s="7" t="inlineStr">
        <is>
          <t xml:space="preserve">  ↳ SWGreenLaserG</t>
        </is>
      </c>
      <c r="C411" s="7" t="inlineStr">
        <is>
          <t>Armament@greenlaser</t>
        </is>
      </c>
      <c r="L411" s="6" t="n">
        <v>5000</v>
      </c>
      <c r="M411" s="6" t="n">
        <v>75</v>
      </c>
      <c r="N411" s="6" t="n">
        <v>1</v>
      </c>
      <c r="O411" s="6" t="n"/>
      <c r="P411" s="6" t="n">
        <v>7168</v>
      </c>
      <c r="Q411" s="6" t="n">
        <v>1</v>
      </c>
      <c r="R411">
        <f>M411+IF(N411&gt;1,N(O411)*(N411-1),0)</f>
        <v/>
      </c>
      <c r="S411">
        <f>IFERROR(L411*MAX(N411,1)/R411*IF(ISBLANK(K397),1,K397),0)</f>
        <v/>
      </c>
      <c r="AB411" s="7" t="inlineStr">
        <is>
          <t>SWGreenLaser</t>
        </is>
      </c>
    </row>
    <row r="412">
      <c r="B412" s="7" t="inlineStr">
        <is>
          <t xml:space="preserve">  ↳ SWGBigRedLaserG</t>
        </is>
      </c>
      <c r="C412" s="7" t="inlineStr">
        <is>
          <t>Armament@misslaser</t>
        </is>
      </c>
      <c r="L412" s="6" t="n">
        <v>4000</v>
      </c>
      <c r="M412" s="6" t="n">
        <v>75</v>
      </c>
      <c r="N412" s="6" t="n">
        <v>1</v>
      </c>
      <c r="O412" s="6" t="n"/>
      <c r="P412" s="6" t="n">
        <v>8192</v>
      </c>
      <c r="Q412" s="6" t="n">
        <v>1</v>
      </c>
      <c r="R412">
        <f>M412+IF(N412&gt;1,N(O412)*(N412-1),0)</f>
        <v/>
      </c>
      <c r="S412">
        <f>IFERROR(L412*MAX(N412,1)/R412*IF(ISBLANK(K397),1,K397),0)</f>
        <v/>
      </c>
      <c r="AB412" s="7" t="inlineStr">
        <is>
          <t>SWrBigRedLaser</t>
        </is>
      </c>
    </row>
    <row r="413">
      <c r="B413" s="7" t="inlineStr">
        <is>
          <t xml:space="preserve">  ↳ BigFlamer</t>
        </is>
      </c>
      <c r="C413" s="7" t="inlineStr">
        <is>
          <t>Armament@fire</t>
        </is>
      </c>
      <c r="L413" s="6" t="n">
        <v>14000</v>
      </c>
      <c r="M413" s="6" t="n">
        <v>50</v>
      </c>
      <c r="N413" s="6" t="n">
        <v>2</v>
      </c>
      <c r="O413" s="6" t="n">
        <v>10</v>
      </c>
      <c r="P413" s="6" t="n">
        <v>2390</v>
      </c>
      <c r="Q413" s="6" t="n">
        <v>1</v>
      </c>
      <c r="R413">
        <f>M413+IF(N413&gt;1,N(O413)*(N413-1),0)</f>
        <v/>
      </c>
      <c r="S413">
        <f>IFERROR(L413*MAX(N413,1)/R413*IF(ISBLANK(K397),1,K397),0)</f>
        <v/>
      </c>
      <c r="AB413" s="7" t="inlineStr">
        <is>
          <t>^Warhead_Flame_Medium</t>
        </is>
      </c>
    </row>
    <row r="414">
      <c r="B414" s="7" t="inlineStr">
        <is>
          <t xml:space="preserve">  ↳ RA2RadBeamWeapon</t>
        </is>
      </c>
      <c r="C414" s="7" t="inlineStr">
        <is>
          <t>Armament@chem</t>
        </is>
      </c>
      <c r="L414" s="6" t="n">
        <v>30000</v>
      </c>
      <c r="M414" s="6" t="n">
        <v>45</v>
      </c>
      <c r="N414" s="6" t="n">
        <v>1</v>
      </c>
      <c r="O414" s="6" t="n"/>
      <c r="P414" s="6" t="n">
        <v>6444</v>
      </c>
      <c r="Q414" s="6" t="n">
        <v>1</v>
      </c>
      <c r="R414">
        <f>M414+IF(N414&gt;1,N(O414)*(N414-1),0)</f>
        <v/>
      </c>
      <c r="S414">
        <f>IFERROR(L414*MAX(N414,1)/R414*IF(ISBLANK(K397),1,K397),0)</f>
        <v/>
      </c>
      <c r="AB414" s="7" t="inlineStr">
        <is>
          <t>^Warhead_Chemical_Medium</t>
        </is>
      </c>
    </row>
    <row r="415">
      <c r="B415" s="7" t="inlineStr">
        <is>
          <t xml:space="preserve">  ↳ RA2RadBeamWeapon</t>
        </is>
      </c>
      <c r="C415" s="7" t="inlineStr">
        <is>
          <t>Armament@thrax</t>
        </is>
      </c>
      <c r="L415" s="6" t="n">
        <v>30000</v>
      </c>
      <c r="M415" s="6" t="n">
        <v>45</v>
      </c>
      <c r="N415" s="6" t="n">
        <v>1</v>
      </c>
      <c r="O415" s="6" t="n"/>
      <c r="P415" s="6" t="n">
        <v>6444</v>
      </c>
      <c r="Q415" s="6" t="n">
        <v>1</v>
      </c>
      <c r="R415">
        <f>M415+IF(N415&gt;1,N(O415)*(N415-1),0)</f>
        <v/>
      </c>
      <c r="S415">
        <f>IFERROR(L415*MAX(N415,1)/R415*IF(ISBLANK(K397),1,K397),0)</f>
        <v/>
      </c>
      <c r="AB415" s="7" t="inlineStr">
        <is>
          <t>^Warhead_Chemical_Medium</t>
        </is>
      </c>
    </row>
    <row r="416">
      <c r="B416" s="7" t="inlineStr">
        <is>
          <t xml:space="preserve">  ↳ RA2MultiHoverMissile</t>
        </is>
      </c>
      <c r="C416" s="7" t="inlineStr">
        <is>
          <t>Armament@missile</t>
        </is>
      </c>
      <c r="L416" s="6" t="n">
        <v>4000</v>
      </c>
      <c r="M416" s="6" t="n">
        <v>20</v>
      </c>
      <c r="N416" s="6" t="n">
        <v>4</v>
      </c>
      <c r="O416" s="6" t="n"/>
      <c r="P416" s="6" t="n">
        <v>6170</v>
      </c>
      <c r="Q416" s="6" t="n">
        <v>0.875</v>
      </c>
      <c r="R416">
        <f>M416+IF(N416&gt;1,N(O416)*(N416-1),0)</f>
        <v/>
      </c>
      <c r="S416">
        <f>IFERROR(L416*MAX(N416,1)/R416*IF(ISBLANK(K397),1,K397),0)</f>
        <v/>
      </c>
      <c r="AB416" s="7" t="inlineStr">
        <is>
          <t>^Warhead_CannonHE_Medium, ^Warhead_MissileHE_Light</t>
        </is>
      </c>
    </row>
    <row r="417">
      <c r="B417" s="7" t="inlineStr">
        <is>
          <t xml:space="preserve">  ↳ IFVChronoBeam</t>
        </is>
      </c>
      <c r="C417" s="7" t="inlineStr">
        <is>
          <t>Armament@chrono</t>
        </is>
      </c>
      <c r="L417" s="6" t="n"/>
      <c r="M417" s="6" t="n">
        <v>1</v>
      </c>
      <c r="N417" s="6" t="n">
        <v>1</v>
      </c>
      <c r="O417" s="6" t="n"/>
      <c r="P417" s="6" t="n">
        <v>7500</v>
      </c>
      <c r="Q417" s="6" t="n">
        <v>1</v>
      </c>
      <c r="R417">
        <f>M417+IF(N417&gt;1,N(O417)*(N417-1),0)</f>
        <v/>
      </c>
      <c r="S417">
        <f>IFERROR(L417*MAX(N417,1)/R417*IF(ISBLANK(K397),1,K397),0)</f>
        <v/>
      </c>
      <c r="AB417" s="7" t="inlineStr">
        <is>
          <t>ChronoBeam</t>
        </is>
      </c>
    </row>
    <row r="418">
      <c r="B418" s="7" t="inlineStr">
        <is>
          <t xml:space="preserve">  ↳ IFVChronoSound</t>
        </is>
      </c>
      <c r="C418" s="7" t="inlineStr">
        <is>
          <t>Armament@chronosound</t>
        </is>
      </c>
      <c r="L418" s="6" t="n"/>
      <c r="M418" s="6" t="n">
        <v>180</v>
      </c>
      <c r="N418" s="6" t="n">
        <v>1</v>
      </c>
      <c r="O418" s="6" t="n"/>
      <c r="P418" s="6" t="n">
        <v>8000</v>
      </c>
      <c r="Q418" s="6" t="n">
        <v>1</v>
      </c>
      <c r="R418">
        <f>M418+IF(N418&gt;1,N(O418)*(N418-1),0)</f>
        <v/>
      </c>
      <c r="S418">
        <f>IFERROR(L418*MAX(N418,1)/R418*IF(ISBLANK(K397),1,K397),0)</f>
        <v/>
      </c>
      <c r="AB418" s="7" t="inlineStr">
        <is>
          <t>RA2ChronoTele</t>
        </is>
      </c>
    </row>
    <row r="419">
      <c r="B419" s="7" t="inlineStr">
        <is>
          <t xml:space="preserve">  ↳ DemoTruckTargeting</t>
        </is>
      </c>
      <c r="C419" s="7" t="inlineStr">
        <is>
          <t>Armament@ivan</t>
        </is>
      </c>
      <c r="L419" s="6" t="n"/>
      <c r="M419" s="6" t="n"/>
      <c r="N419" s="6" t="n">
        <v>1</v>
      </c>
      <c r="O419" s="6" t="n"/>
      <c r="P419" s="6" t="n">
        <v>2000</v>
      </c>
      <c r="Q419" s="6" t="n">
        <v>1</v>
      </c>
      <c r="R419">
        <f>M419+IF(N419&gt;1,N(O419)*(N419-1),0)</f>
        <v/>
      </c>
      <c r="S419">
        <f>IFERROR(L419*MAX(N419,1)/R419*IF(ISBLANK(K397),1,K397),0)</f>
        <v/>
      </c>
      <c r="AB419" s="7" t="inlineStr"/>
    </row>
    <row r="420">
      <c r="B420" s="7" t="inlineStr">
        <is>
          <t xml:space="preserve">  ↳ Fremen_L</t>
        </is>
      </c>
      <c r="C420" s="7" t="inlineStr">
        <is>
          <t>Armament@fremen</t>
        </is>
      </c>
      <c r="L420" s="6" t="n">
        <v>3000</v>
      </c>
      <c r="M420" s="6" t="n">
        <v>25</v>
      </c>
      <c r="N420" s="6" t="n">
        <v>1</v>
      </c>
      <c r="O420" s="6" t="n"/>
      <c r="P420" s="6" t="n">
        <v>2560</v>
      </c>
      <c r="Q420" s="6" t="n">
        <v>1</v>
      </c>
      <c r="R420">
        <f>M420+IF(N420&gt;1,N(O420)*(N420-1),0)</f>
        <v/>
      </c>
      <c r="S420">
        <f>IFERROR(L420*MAX(N420,1)/R420*IF(ISBLANK(K397),1,K397),0)</f>
        <v/>
      </c>
      <c r="AB420" s="7" t="inlineStr">
        <is>
          <t>M_HMG</t>
        </is>
      </c>
    </row>
    <row r="421">
      <c r="B421" s="7" t="inlineStr">
        <is>
          <t xml:space="preserve">  ↳ TSSonicZap</t>
        </is>
      </c>
      <c r="C421" s="7" t="inlineStr">
        <is>
          <t>Armament@sonic</t>
        </is>
      </c>
      <c r="L421" s="6" t="n">
        <v>5000</v>
      </c>
      <c r="M421" s="6" t="n">
        <v>60</v>
      </c>
      <c r="N421" s="6" t="n">
        <v>1</v>
      </c>
      <c r="O421" s="6" t="n"/>
      <c r="P421" s="6" t="n">
        <v>6144</v>
      </c>
      <c r="Q421" s="6" t="n">
        <v>1</v>
      </c>
      <c r="R421">
        <f>M421+IF(N421&gt;1,N(O421)*(N421-1),0)</f>
        <v/>
      </c>
      <c r="S421">
        <f>IFERROR(L421*MAX(N421,1)/R421*IF(ISBLANK(K397),1,K397),0)</f>
        <v/>
      </c>
      <c r="AB421" s="7" t="inlineStr"/>
    </row>
    <row r="422">
      <c r="B422" s="7" t="inlineStr">
        <is>
          <t xml:space="preserve">  ↳ MedicHeal</t>
        </is>
      </c>
      <c r="C422" s="7" t="inlineStr">
        <is>
          <t>Armament@heal</t>
        </is>
      </c>
      <c r="L422" s="6" t="n">
        <v>-3000</v>
      </c>
      <c r="M422" s="6" t="n">
        <v>10</v>
      </c>
      <c r="N422" s="6" t="n">
        <v>1</v>
      </c>
      <c r="O422" s="6" t="n"/>
      <c r="P422" s="6" t="n">
        <v>6000</v>
      </c>
      <c r="Q422" s="6" t="n">
        <v>1</v>
      </c>
      <c r="R422">
        <f>M422+IF(N422&gt;1,N(O422)*(N422-1),0)</f>
        <v/>
      </c>
      <c r="S422">
        <f>IFERROR(L422*MAX(N422,1)/R422*IF(ISBLANK(K397),1,K397),0)</f>
        <v/>
      </c>
      <c r="AB422" s="7" t="inlineStr">
        <is>
          <t>^HealingWeapon</t>
        </is>
      </c>
    </row>
    <row r="423">
      <c r="B423" s="7" t="inlineStr">
        <is>
          <t xml:space="preserve">  ↳ RA2HoverMissile</t>
        </is>
      </c>
      <c r="C423" s="7" t="inlineStr">
        <is>
          <t>Armament@primary</t>
        </is>
      </c>
      <c r="L423" s="6" t="n">
        <v>12000</v>
      </c>
      <c r="M423" s="6" t="n">
        <v>28</v>
      </c>
      <c r="N423" s="6" t="n">
        <v>2</v>
      </c>
      <c r="O423" s="6" t="n">
        <v>4</v>
      </c>
      <c r="P423" s="6" t="n">
        <v>5760</v>
      </c>
      <c r="Q423" s="6" t="n">
        <v>0.75</v>
      </c>
      <c r="R423">
        <f>M423+IF(N423&gt;1,N(O423)*(N423-1),0)</f>
        <v/>
      </c>
      <c r="S423">
        <f>IFERROR(L423*MAX(N423,1)/R423*IF(ISBLANK(K397),1,K397),0)</f>
        <v/>
      </c>
      <c r="AB423" s="7" t="inlineStr">
        <is>
          <t>^Warhead_Arrow_Light, ^Warhead_MissileAP_Light</t>
        </is>
      </c>
    </row>
    <row r="424">
      <c r="B424" s="7" t="inlineStr">
        <is>
          <t xml:space="preserve">  ↳ RA2HoverMissile_elite</t>
        </is>
      </c>
      <c r="C424" s="7" t="inlineStr">
        <is>
          <t>Armament@primaryelite</t>
        </is>
      </c>
      <c r="L424" s="6" t="n">
        <v>12000</v>
      </c>
      <c r="M424" s="6" t="n">
        <v>28</v>
      </c>
      <c r="N424" s="6" t="n">
        <v>4</v>
      </c>
      <c r="O424" s="6" t="n">
        <v>4</v>
      </c>
      <c r="P424" s="6" t="n">
        <v>6760</v>
      </c>
      <c r="Q424" s="6" t="n">
        <v>0.75</v>
      </c>
      <c r="R424">
        <f>M424+IF(N424&gt;1,N(O424)*(N424-1),0)</f>
        <v/>
      </c>
      <c r="S424">
        <f>IFERROR(L424*MAX(N424,1)/R424*IF(ISBLANK(K397),1,K397),0)</f>
        <v/>
      </c>
      <c r="AB424" s="7" t="inlineStr">
        <is>
          <t>^Warhead_Arrow_Light, ^Warhead_MissileAP_Light</t>
        </is>
      </c>
    </row>
    <row r="425">
      <c r="B425" s="7" t="inlineStr">
        <is>
          <t xml:space="preserve">  ↳ RA2HoverMissile_AA</t>
        </is>
      </c>
      <c r="C425" s="7" t="inlineStr">
        <is>
          <t>Armament@primaryAA</t>
        </is>
      </c>
      <c r="L425" s="6" t="n">
        <v>12000</v>
      </c>
      <c r="M425" s="6" t="n">
        <v>28</v>
      </c>
      <c r="N425" s="6" t="n">
        <v>2</v>
      </c>
      <c r="O425" s="6" t="n">
        <v>4</v>
      </c>
      <c r="P425" s="6" t="n">
        <v>8640</v>
      </c>
      <c r="Q425" s="6" t="n">
        <v>0.75</v>
      </c>
      <c r="R425">
        <f>M425+IF(N425&gt;1,N(O425)*(N425-1),0)</f>
        <v/>
      </c>
      <c r="S425">
        <f>IFERROR(L425*MAX(N425,1)/R425*IF(ISBLANK(K397),1,K397),0)</f>
        <v/>
      </c>
      <c r="AB425" s="7" t="inlineStr">
        <is>
          <t>^Warhead_Arrow_Light, ^Warhead_MissileAP_Light</t>
        </is>
      </c>
    </row>
    <row r="426">
      <c r="B426" s="7" t="inlineStr">
        <is>
          <t xml:space="preserve">  ↳ RA2HoverMissile_AA_elite</t>
        </is>
      </c>
      <c r="C426" s="7" t="inlineStr">
        <is>
          <t>Armament@primaryeliteAA</t>
        </is>
      </c>
      <c r="L426" s="6" t="n">
        <v>12000</v>
      </c>
      <c r="M426" s="6" t="n">
        <v>28</v>
      </c>
      <c r="N426" s="6" t="n">
        <v>4</v>
      </c>
      <c r="O426" s="6" t="n">
        <v>4</v>
      </c>
      <c r="P426" s="6" t="n">
        <v>9640</v>
      </c>
      <c r="Q426" s="6" t="n">
        <v>0.75</v>
      </c>
      <c r="R426">
        <f>M426+IF(N426&gt;1,N(O426)*(N426-1),0)</f>
        <v/>
      </c>
      <c r="S426">
        <f>IFERROR(L426*MAX(N426,1)/R426*IF(ISBLANK(K397),1,K397),0)</f>
        <v/>
      </c>
      <c r="AB426" s="7" t="inlineStr">
        <is>
          <t>^Warhead_Arrow_Light, ^Warhead_MissileAP_Light</t>
        </is>
      </c>
    </row>
    <row r="427">
      <c r="B427" s="7" t="inlineStr">
        <is>
          <t xml:space="preserve">  ↳ RA2ThunderboltMissile</t>
        </is>
      </c>
      <c r="C427" s="7" t="inlineStr">
        <is>
          <t>Armament@primaryThunderbolt</t>
        </is>
      </c>
      <c r="L427" s="6" t="n">
        <v>4000</v>
      </c>
      <c r="M427" s="6" t="n">
        <v>25</v>
      </c>
      <c r="N427" s="6" t="n">
        <v>1</v>
      </c>
      <c r="O427" s="6" t="n"/>
      <c r="P427" s="6" t="n">
        <v>5120</v>
      </c>
      <c r="Q427" s="6" t="n">
        <v>1</v>
      </c>
      <c r="R427">
        <f>M427+IF(N427&gt;1,N(O427)*(N427-1),0)</f>
        <v/>
      </c>
      <c r="S427">
        <f>IFERROR(L427*MAX(N427,1)/R427*IF(ISBLANK(K397),1,K397),0)</f>
        <v/>
      </c>
      <c r="AB427" s="7" t="inlineStr">
        <is>
          <t>^Warhead_MissileHE_Heavy, ^Warhead_MissileHE_Light</t>
        </is>
      </c>
    </row>
    <row r="428">
      <c r="B428" s="7" t="inlineStr">
        <is>
          <t xml:space="preserve">  ↳ RA2ThunderboltMissile_elite</t>
        </is>
      </c>
      <c r="C428" s="7" t="inlineStr">
        <is>
          <t>Armament@primaryeliteThunderbolt</t>
        </is>
      </c>
      <c r="L428" s="6" t="n">
        <v>4000</v>
      </c>
      <c r="M428" s="6" t="n">
        <v>25</v>
      </c>
      <c r="N428" s="6" t="n">
        <v>4</v>
      </c>
      <c r="O428" s="6" t="n"/>
      <c r="P428" s="6" t="n">
        <v>6760</v>
      </c>
      <c r="Q428" s="6" t="n">
        <v>1</v>
      </c>
      <c r="R428">
        <f>M428+IF(N428&gt;1,N(O428)*(N428-1),0)</f>
        <v/>
      </c>
      <c r="S428">
        <f>IFERROR(L428*MAX(N428,1)/R428*IF(ISBLANK(K397),1,K397),0)</f>
        <v/>
      </c>
      <c r="AB428" s="7" t="inlineStr">
        <is>
          <t>^Warhead_MissileHE_Heavy, ^Warhead_MissileHE_Light</t>
        </is>
      </c>
    </row>
    <row r="429">
      <c r="B429" s="7" t="inlineStr">
        <is>
          <t xml:space="preserve">  ↳ RA2ThunderboltMissile_AA</t>
        </is>
      </c>
      <c r="C429" s="7" t="inlineStr">
        <is>
          <t>Armament@primaryAAThunderbolt</t>
        </is>
      </c>
      <c r="L429" s="6" t="n">
        <v>4000</v>
      </c>
      <c r="M429" s="6" t="n">
        <v>25</v>
      </c>
      <c r="N429" s="6" t="n">
        <v>1</v>
      </c>
      <c r="O429" s="6" t="n"/>
      <c r="P429" s="6" t="n">
        <v>8640</v>
      </c>
      <c r="Q429" s="6" t="n">
        <v>1</v>
      </c>
      <c r="R429">
        <f>M429+IF(N429&gt;1,N(O429)*(N429-1),0)</f>
        <v/>
      </c>
      <c r="S429">
        <f>IFERROR(L429*MAX(N429,1)/R429*IF(ISBLANK(K397),1,K397),0)</f>
        <v/>
      </c>
      <c r="AB429" s="7" t="inlineStr">
        <is>
          <t>^Warhead_MissileHE_Heavy, ^Warhead_MissileHE_Light</t>
        </is>
      </c>
    </row>
    <row r="430">
      <c r="B430" s="7" t="inlineStr">
        <is>
          <t xml:space="preserve">  ↳ RA2ThunderboltMissile_AA_elite</t>
        </is>
      </c>
      <c r="C430" s="7" t="inlineStr">
        <is>
          <t>Armament@primaryeliteAAThunderbolt</t>
        </is>
      </c>
      <c r="L430" s="6" t="n">
        <v>4000</v>
      </c>
      <c r="M430" s="6" t="n">
        <v>25</v>
      </c>
      <c r="N430" s="6" t="n">
        <v>4</v>
      </c>
      <c r="O430" s="6" t="n"/>
      <c r="P430" s="6" t="n">
        <v>9640</v>
      </c>
      <c r="Q430" s="6" t="n">
        <v>1</v>
      </c>
      <c r="R430">
        <f>M430+IF(N430&gt;1,N(O430)*(N430-1),0)</f>
        <v/>
      </c>
      <c r="S430">
        <f>IFERROR(L430*MAX(N430,1)/R430*IF(ISBLANK(K397),1,K397),0)</f>
        <v/>
      </c>
      <c r="AB430" s="7" t="inlineStr">
        <is>
          <t>^Warhead_MissileHE_Heavy, ^Warhead_MissileHE_Light</t>
        </is>
      </c>
    </row>
    <row r="431">
      <c r="B431" s="7" t="inlineStr">
        <is>
          <t xml:space="preserve">  ↳ RA2MultiHoverMissile_elite</t>
        </is>
      </c>
      <c r="C431" s="7" t="inlineStr">
        <is>
          <t>Armament@missileelite</t>
        </is>
      </c>
      <c r="L431" s="6" t="n">
        <v>4000</v>
      </c>
      <c r="M431" s="6" t="n">
        <v>20</v>
      </c>
      <c r="N431" s="6" t="n">
        <v>4</v>
      </c>
      <c r="O431" s="6" t="n"/>
      <c r="P431" s="6" t="n">
        <v>7170</v>
      </c>
      <c r="Q431" s="6" t="n">
        <v>0.875</v>
      </c>
      <c r="R431">
        <f>M431+IF(N431&gt;1,N(O431)*(N431-1),0)</f>
        <v/>
      </c>
      <c r="S431">
        <f>IFERROR(L431*MAX(N431,1)/R431*IF(ISBLANK(K397),1,K397),0)</f>
        <v/>
      </c>
      <c r="AB431" s="7" t="inlineStr">
        <is>
          <t>^Warhead_CannonHE_Medium, ^Warhead_MissileHE_Light</t>
        </is>
      </c>
    </row>
    <row r="432">
      <c r="B432" s="7" t="inlineStr">
        <is>
          <t xml:space="preserve">  ↳ RA2MultiHoverMissile_AA</t>
        </is>
      </c>
      <c r="C432" s="7" t="inlineStr">
        <is>
          <t>Armament@missileAA</t>
        </is>
      </c>
      <c r="L432" s="6" t="n">
        <v>4000</v>
      </c>
      <c r="M432" s="6" t="n">
        <v>20</v>
      </c>
      <c r="N432" s="6" t="n">
        <v>4</v>
      </c>
      <c r="O432" s="6" t="n"/>
      <c r="P432" s="6" t="n">
        <v>9255</v>
      </c>
      <c r="Q432" s="6" t="n">
        <v>0.875</v>
      </c>
      <c r="R432">
        <f>M432+IF(N432&gt;1,N(O432)*(N432-1),0)</f>
        <v/>
      </c>
      <c r="S432">
        <f>IFERROR(L432*MAX(N432,1)/R432*IF(ISBLANK(K397),1,K397),0)</f>
        <v/>
      </c>
      <c r="AB432" s="7" t="inlineStr">
        <is>
          <t>^Warhead_CannonHE_Medium, ^Warhead_MissileHE_Light</t>
        </is>
      </c>
    </row>
    <row r="433">
      <c r="B433" s="7" t="inlineStr">
        <is>
          <t xml:space="preserve">  ↳ RA2MultiHoverMissile_AA_elite</t>
        </is>
      </c>
      <c r="C433" s="7" t="inlineStr">
        <is>
          <t>Armament@missileeliteAA</t>
        </is>
      </c>
      <c r="L433" s="6" t="n">
        <v>4000</v>
      </c>
      <c r="M433" s="6" t="n">
        <v>20</v>
      </c>
      <c r="N433" s="6" t="n">
        <v>4</v>
      </c>
      <c r="O433" s="6" t="n"/>
      <c r="P433" s="6" t="n">
        <v>10255</v>
      </c>
      <c r="Q433" s="6" t="n">
        <v>0.875</v>
      </c>
      <c r="R433">
        <f>M433+IF(N433&gt;1,N(O433)*(N433-1),0)</f>
        <v/>
      </c>
      <c r="S433">
        <f>IFERROR(L433*MAX(N433,1)/R433*IF(ISBLANK(K397),1,K397),0)</f>
        <v/>
      </c>
      <c r="AB433" s="7" t="inlineStr">
        <is>
          <t>^Warhead_CannonHE_Medium, ^Warhead_MissileHE_Light</t>
        </is>
      </c>
    </row>
    <row r="434">
      <c r="B434" s="7" t="inlineStr">
        <is>
          <t xml:space="preserve">  ↳ RA2MultiThunderboltMissile</t>
        </is>
      </c>
      <c r="C434" s="7" t="inlineStr">
        <is>
          <t>Armament@missileThunderbolt</t>
        </is>
      </c>
      <c r="L434" s="6" t="n">
        <v>4000</v>
      </c>
      <c r="M434" s="6" t="n">
        <v>25</v>
      </c>
      <c r="N434" s="6" t="n">
        <v>1</v>
      </c>
      <c r="O434" s="6" t="n"/>
      <c r="P434" s="6" t="n">
        <v>5120</v>
      </c>
      <c r="Q434" s="6" t="n">
        <v>1</v>
      </c>
      <c r="R434">
        <f>M434+IF(N434&gt;1,N(O434)*(N434-1),0)</f>
        <v/>
      </c>
      <c r="S434">
        <f>IFERROR(L434*MAX(N434,1)/R434*IF(ISBLANK(K397),1,K397),0)</f>
        <v/>
      </c>
      <c r="AB434" s="7" t="inlineStr">
        <is>
          <t>^Warhead_MissileHE_Heavy, ^Warhead_MissileHE_Light</t>
        </is>
      </c>
    </row>
    <row r="435">
      <c r="B435" s="7" t="inlineStr">
        <is>
          <t xml:space="preserve">  ↳ RA2MultiThunderboltMissile_elite</t>
        </is>
      </c>
      <c r="C435" s="7" t="inlineStr">
        <is>
          <t>Armament@missileeliteThunderbolt</t>
        </is>
      </c>
      <c r="L435" s="6" t="n">
        <v>4000</v>
      </c>
      <c r="M435" s="6" t="n">
        <v>25</v>
      </c>
      <c r="N435" s="6" t="n">
        <v>4</v>
      </c>
      <c r="O435" s="6" t="n"/>
      <c r="P435" s="6" t="n">
        <v>7170</v>
      </c>
      <c r="Q435" s="6" t="n">
        <v>1</v>
      </c>
      <c r="R435">
        <f>M435+IF(N435&gt;1,N(O435)*(N435-1),0)</f>
        <v/>
      </c>
      <c r="S435">
        <f>IFERROR(L435*MAX(N435,1)/R435*IF(ISBLANK(K397),1,K397),0)</f>
        <v/>
      </c>
      <c r="AB435" s="7" t="inlineStr">
        <is>
          <t>^Warhead_MissileHE_Heavy, ^Warhead_MissileHE_Light</t>
        </is>
      </c>
    </row>
    <row r="436">
      <c r="B436" s="7" t="inlineStr">
        <is>
          <t xml:space="preserve">  ↳ RA2MultiThunderboltMissile_AA</t>
        </is>
      </c>
      <c r="C436" s="7" t="inlineStr">
        <is>
          <t>Armament@missileAAThunderbolt</t>
        </is>
      </c>
      <c r="L436" s="6" t="n">
        <v>4000</v>
      </c>
      <c r="M436" s="6" t="n">
        <v>25</v>
      </c>
      <c r="N436" s="6" t="n">
        <v>1</v>
      </c>
      <c r="O436" s="6" t="n"/>
      <c r="P436" s="6" t="n">
        <v>9255</v>
      </c>
      <c r="Q436" s="6" t="n">
        <v>1</v>
      </c>
      <c r="R436">
        <f>M436+IF(N436&gt;1,N(O436)*(N436-1),0)</f>
        <v/>
      </c>
      <c r="S436">
        <f>IFERROR(L436*MAX(N436,1)/R436*IF(ISBLANK(K397),1,K397),0)</f>
        <v/>
      </c>
      <c r="AB436" s="7" t="inlineStr">
        <is>
          <t>^Warhead_MissileHE_Heavy, ^Warhead_MissileHE_Light</t>
        </is>
      </c>
    </row>
    <row r="437">
      <c r="B437" s="7" t="inlineStr">
        <is>
          <t xml:space="preserve">  ↳ RA2MultiThunderboltMissile_AA_elite</t>
        </is>
      </c>
      <c r="C437" s="7" t="inlineStr">
        <is>
          <t>Armament@missileeliteAAThunderbolt</t>
        </is>
      </c>
      <c r="L437" s="6" t="n">
        <v>4000</v>
      </c>
      <c r="M437" s="6" t="n">
        <v>25</v>
      </c>
      <c r="N437" s="6" t="n">
        <v>4</v>
      </c>
      <c r="O437" s="6" t="n"/>
      <c r="P437" s="6" t="n">
        <v>10255</v>
      </c>
      <c r="Q437" s="6" t="n">
        <v>1</v>
      </c>
      <c r="R437">
        <f>M437+IF(N437&gt;1,N(O437)*(N437-1),0)</f>
        <v/>
      </c>
      <c r="S437">
        <f>IFERROR(L437*MAX(N437,1)/R437*IF(ISBLANK(K397),1,K397),0)</f>
        <v/>
      </c>
      <c r="AB437" s="7" t="inlineStr">
        <is>
          <t>^Warhead_MissileHE_Heavy, ^Warhead_MissileHE_Light</t>
        </is>
      </c>
    </row>
    <row r="438">
      <c r="B438" s="7" t="inlineStr">
        <is>
          <t xml:space="preserve">  ↳ MedicHeal</t>
        </is>
      </c>
      <c r="C438" s="7" t="inlineStr">
        <is>
          <t>Armament@healer</t>
        </is>
      </c>
      <c r="L438" s="6" t="n">
        <v>-3000</v>
      </c>
      <c r="M438" s="6" t="n">
        <v>10</v>
      </c>
      <c r="N438" s="6" t="n">
        <v>1</v>
      </c>
      <c r="O438" s="6" t="n"/>
      <c r="P438" s="6" t="n">
        <v>6000</v>
      </c>
      <c r="Q438" s="6" t="n">
        <v>1</v>
      </c>
      <c r="R438">
        <f>M438+IF(N438&gt;1,N(O438)*(N438-1),0)</f>
        <v/>
      </c>
      <c r="S438">
        <f>IFERROR(L438*MAX(N438,1)/R438*IF(ISBLANK(K397),1,K397),0)</f>
        <v/>
      </c>
      <c r="AB438" s="7" t="inlineStr">
        <is>
          <t>^HealingWeapon</t>
        </is>
      </c>
    </row>
    <row r="439">
      <c r="B439" s="7" t="inlineStr">
        <is>
          <t xml:space="preserve">  ↳ RA2AWP</t>
        </is>
      </c>
      <c r="C439" s="7" t="inlineStr">
        <is>
          <t>Armament@ra1_allies_alliedsniper</t>
        </is>
      </c>
      <c r="L439" s="6" t="n">
        <v>44000</v>
      </c>
      <c r="M439" s="6" t="n">
        <v>54</v>
      </c>
      <c r="N439" s="6" t="n">
        <v>1</v>
      </c>
      <c r="O439" s="6" t="n"/>
      <c r="P439" s="6" t="n">
        <v>10000</v>
      </c>
      <c r="Q439" s="6" t="n">
        <v>0.75</v>
      </c>
      <c r="R439">
        <f>M439+IF(N439&gt;1,N(O439)*(N439-1),0)</f>
        <v/>
      </c>
      <c r="S439">
        <f>IFERROR(L439*MAX(N439,1)/R439*IF(ISBLANK(K397),1,K397),0)</f>
        <v/>
      </c>
      <c r="AB439" s="7" t="inlineStr">
        <is>
          <t>^Warhead_Sniper_Light</t>
        </is>
      </c>
    </row>
    <row r="440">
      <c r="A440" t="inlineStr">
        <is>
          <t>redalert2mod</t>
        </is>
      </c>
      <c r="B440" t="inlineStr">
        <is>
          <t>futuretech_scoutdroid</t>
        </is>
      </c>
      <c r="C440" t="inlineStr">
        <is>
          <t>Scout Droid</t>
        </is>
      </c>
      <c r="D440" s="6" t="inlineStr">
        <is>
          <t>ScoutVehicle</t>
        </is>
      </c>
      <c r="E440" s="6" t="n">
        <v>30000</v>
      </c>
      <c r="F440" s="6" t="n">
        <v>70</v>
      </c>
      <c r="G440" t="inlineStr">
        <is>
          <t>None</t>
        </is>
      </c>
      <c r="H440" s="6" t="n">
        <v>0.6322</v>
      </c>
      <c r="I440" s="6" t="n">
        <v>1</v>
      </c>
      <c r="J440" s="6" t="n">
        <v>1</v>
      </c>
      <c r="K440" s="6" t="n"/>
      <c r="P440">
        <f>MAX(P441,P442)</f>
        <v/>
      </c>
      <c r="S440">
        <f>S441+S442</f>
        <v/>
      </c>
      <c r="T440">
        <f>(E440/100000+F440/100+(P440/1000)*J440/5+S440/200)*200*I440*H440</f>
        <v/>
      </c>
      <c r="U440">
        <f>((E440*F440/25000)+((P440/1000)*J440*S440/2.5))*I440*H440</f>
        <v/>
      </c>
      <c r="V440">
        <f>(E440*F440*(P440/1000)*J440*S440*I440*H440)/12500000</f>
        <v/>
      </c>
      <c r="W440">
        <f>(((E440/20000)+(F440/60)+(S440/60)+((P440/5000)*J440))*100/4+(((E440/20000)*(F440/60))+(((P440/5000)*J440)*(S440/60)))*100/2+((E440/20000)*(F440/60)*((P440/5000)*J440)*(S440/60))*100)*(H440/1.0)/3</f>
        <v/>
      </c>
      <c r="X440" s="6" t="n">
        <v>200</v>
      </c>
      <c r="Y440">
        <f>IFERROR(W440-X440,"")</f>
        <v/>
      </c>
      <c r="Z440">
        <f>IFERROR(ABS(Y440)/MAX(X440,1),"")</f>
        <v/>
      </c>
      <c r="AA440">
        <f>IFERROR(ROUND(((3*X440-(((E440/20000)+(F440/60)+(S440/60))*100/4+((E440/20000)*(F440/60))*100/2)*(H440/1.0))/(100/4+((S440/60))*100/2+((E440/20000)*(F440/60)*(S440/60))*100)*(H440/1.0)*5000)/J440,-1),"")</f>
        <v/>
      </c>
    </row>
    <row r="441">
      <c r="B441" s="7" t="inlineStr">
        <is>
          <t xml:space="preserve">  ↳ Future_Wheel_MG</t>
        </is>
      </c>
      <c r="C441" s="7" t="inlineStr">
        <is>
          <t>Armament@PRIMARY</t>
        </is>
      </c>
      <c r="L441" s="6" t="n">
        <v>4000</v>
      </c>
      <c r="M441" s="6" t="n">
        <v>40</v>
      </c>
      <c r="N441" s="6" t="n">
        <v>4</v>
      </c>
      <c r="O441" s="6" t="n">
        <v>2</v>
      </c>
      <c r="P441" s="6" t="n">
        <v>5806</v>
      </c>
      <c r="Q441" s="6" t="n">
        <v>0.875</v>
      </c>
      <c r="R441">
        <f>M441+IF(N441&gt;1,N(O441)*(N441-1),0)</f>
        <v/>
      </c>
      <c r="S441">
        <f>IFERROR(L441*MAX(N441,1)/R441*IF(ISBLANK(K440),1,K440),0)</f>
        <v/>
      </c>
      <c r="AB441" s="7" t="inlineStr">
        <is>
          <t>^Warhead_Bullet_Light, ^Warhead_Bullet_Medium</t>
        </is>
      </c>
    </row>
    <row r="442">
      <c r="B442" s="7" t="inlineStr">
        <is>
          <t xml:space="preserve">  ↳ Future_Wheel_MG_elite</t>
        </is>
      </c>
      <c r="C442" s="7" t="inlineStr">
        <is>
          <t>Armament@ELITE</t>
        </is>
      </c>
      <c r="L442" s="6" t="n">
        <v>4000</v>
      </c>
      <c r="M442" s="6" t="n">
        <v>25</v>
      </c>
      <c r="N442" s="6" t="n">
        <v>8</v>
      </c>
      <c r="O442" s="6" t="n">
        <v>2</v>
      </c>
      <c r="P442" s="6" t="n">
        <v>6806</v>
      </c>
      <c r="Q442" s="6" t="n">
        <v>0.875</v>
      </c>
      <c r="R442">
        <f>M442+IF(N442&gt;1,N(O442)*(N442-1),0)</f>
        <v/>
      </c>
      <c r="S442">
        <f>IFERROR(L442*MAX(N442,1)/R442*IF(ISBLANK(K440),1,K440),0)</f>
        <v/>
      </c>
      <c r="AB442" s="7" t="inlineStr">
        <is>
          <t>^Warhead_Bullet_Light, ^Warhead_Bullet_Medium</t>
        </is>
      </c>
    </row>
    <row r="443">
      <c r="A443" t="inlineStr">
        <is>
          <t>redalert2mod</t>
        </is>
      </c>
      <c r="B443" t="inlineStr">
        <is>
          <t>tkm_as42</t>
        </is>
      </c>
      <c r="C443" t="inlineStr">
        <is>
          <t>TKM AS42</t>
        </is>
      </c>
      <c r="D443" s="6" t="inlineStr">
        <is>
          <t>ScoutVehicle</t>
        </is>
      </c>
      <c r="E443" s="6" t="n">
        <v>27500</v>
      </c>
      <c r="F443" s="6" t="n">
        <v>150</v>
      </c>
      <c r="G443" t="inlineStr">
        <is>
          <t>Scout</t>
        </is>
      </c>
      <c r="H443" s="6" t="n">
        <v>0.9016</v>
      </c>
      <c r="I443" s="6" t="n">
        <v>1</v>
      </c>
      <c r="J443" s="6" t="n">
        <v>1</v>
      </c>
      <c r="K443" s="6" t="n"/>
      <c r="P443">
        <f>MAX(P444,P445,P446,P447)</f>
        <v/>
      </c>
      <c r="S443">
        <f>S444+S445+S446+S447</f>
        <v/>
      </c>
      <c r="T443">
        <f>(E443/100000+F443/100+(P443/1000)*J443/5+S443/200)*200*I443*H443</f>
        <v/>
      </c>
      <c r="U443">
        <f>((E443*F443/25000)+((P443/1000)*J443*S443/2.5))*I443*H443</f>
        <v/>
      </c>
      <c r="V443">
        <f>(E443*F443*(P443/1000)*J443*S443*I443*H443)/12500000</f>
        <v/>
      </c>
      <c r="W443">
        <f>(((E443/30000)+(F443/200)+(S443/450)+((P443/4500)*J443))*300/4+(((E443/30000)*(F443/200))+(((P443/4500)*J443)*(S443/450)))*300/2+((E443/30000)*(F443/200)*((P443/4500)*J443)*(S443/450))*300)*(H443/1.0)/3</f>
        <v/>
      </c>
      <c r="X443" s="6" t="n">
        <v>400</v>
      </c>
      <c r="Y443">
        <f>IFERROR(W443-X443,"")</f>
        <v/>
      </c>
      <c r="Z443">
        <f>IFERROR(ABS(Y443)/MAX(X443,1),"")</f>
        <v/>
      </c>
      <c r="AA443">
        <f>IFERROR(ROUND(((3*X443-(((E443/30000)+(F443/200)+(S443/450))*300/4+((E443/30000)*(F443/200))*300/2)*(H443/1.0))/(300/4+((S443/450))*300/2+((E443/30000)*(F443/200)*(S443/450))*300)*(H443/1.0)*4500)/J443,-1),"")</f>
        <v/>
      </c>
    </row>
    <row r="444">
      <c r="B444" s="7" t="inlineStr">
        <is>
          <t xml:space="preserve">  ↳ as42rockets</t>
        </is>
      </c>
      <c r="C444" s="7" t="inlineStr">
        <is>
          <t>Armament@Missiles</t>
        </is>
      </c>
      <c r="L444" s="6" t="n">
        <v>20000</v>
      </c>
      <c r="M444" s="6" t="n">
        <v>30</v>
      </c>
      <c r="N444" s="6" t="n">
        <v>1</v>
      </c>
      <c r="O444" s="6" t="n"/>
      <c r="P444" s="6" t="n">
        <v>6379</v>
      </c>
      <c r="Q444" s="6" t="n">
        <v>0.75</v>
      </c>
      <c r="R444">
        <f>M444+IF(N444&gt;1,N(O444)*(N444-1),0)</f>
        <v/>
      </c>
      <c r="S444">
        <f>IFERROR(L444*MAX(N444,1)/R444*IF(ISBLANK(K443),1,K443),0)</f>
        <v/>
      </c>
      <c r="AB444" s="7" t="inlineStr">
        <is>
          <t>^Warhead_MissileAP_Light</t>
        </is>
      </c>
    </row>
    <row r="445">
      <c r="B445" s="7" t="inlineStr">
        <is>
          <t xml:space="preserve">  ↳ tkmcryorockets</t>
        </is>
      </c>
      <c r="C445" s="7" t="inlineStr">
        <is>
          <t>Armament@PRIMARYNATO</t>
        </is>
      </c>
      <c r="L445" s="6" t="n">
        <v>18000</v>
      </c>
      <c r="M445" s="6" t="n">
        <v>64</v>
      </c>
      <c r="N445" s="6" t="n">
        <v>1</v>
      </c>
      <c r="O445" s="6" t="n"/>
      <c r="P445" s="6" t="n">
        <v>6214</v>
      </c>
      <c r="Q445" s="6" t="n">
        <v>0.75</v>
      </c>
      <c r="R445">
        <f>M445+IF(N445&gt;1,N(O445)*(N445-1),0)</f>
        <v/>
      </c>
      <c r="S445">
        <f>IFERROR(L445*MAX(N445,1)/R445*IF(ISBLANK(K443),1,K443),0)</f>
        <v/>
      </c>
      <c r="AB445" s="7" t="inlineStr">
        <is>
          <t>^Warhead_MissileAP_Light</t>
        </is>
      </c>
    </row>
    <row r="446">
      <c r="B446" s="7" t="inlineStr">
        <is>
          <t xml:space="preserve">  ↳ tkmtwinrockets</t>
        </is>
      </c>
      <c r="C446" s="7" t="inlineStr">
        <is>
          <t>Armament@PRIMARYBEREZKA</t>
        </is>
      </c>
      <c r="L446" s="6" t="n">
        <v>18000</v>
      </c>
      <c r="M446" s="6" t="n">
        <v>64</v>
      </c>
      <c r="N446" s="6" t="n">
        <v>2</v>
      </c>
      <c r="O446" s="6" t="n"/>
      <c r="P446" s="6" t="n">
        <v>7214</v>
      </c>
      <c r="Q446" s="6" t="n">
        <v>0.75</v>
      </c>
      <c r="R446">
        <f>M446+IF(N446&gt;1,N(O446)*(N446-1),0)</f>
        <v/>
      </c>
      <c r="S446">
        <f>IFERROR(L446*MAX(N446,1)/R446*IF(ISBLANK(K443),1,K443),0)</f>
        <v/>
      </c>
      <c r="AB446" s="7" t="inlineStr">
        <is>
          <t>^Warhead_MissileAP_Light</t>
        </is>
      </c>
    </row>
    <row r="447">
      <c r="B447" s="7" t="inlineStr">
        <is>
          <t xml:space="preserve">  ↳ tkmfirerockets</t>
        </is>
      </c>
      <c r="C447" s="7" t="inlineStr">
        <is>
          <t>Armament@PRIMARYTITAN</t>
        </is>
      </c>
      <c r="L447" s="6" t="n">
        <v>22000</v>
      </c>
      <c r="M447" s="6" t="n">
        <v>64</v>
      </c>
      <c r="N447" s="6" t="n">
        <v>1</v>
      </c>
      <c r="O447" s="6" t="n"/>
      <c r="P447" s="6" t="n">
        <v>6214</v>
      </c>
      <c r="Q447" s="6" t="n">
        <v>0.75</v>
      </c>
      <c r="R447">
        <f>M447+IF(N447&gt;1,N(O447)*(N447-1),0)</f>
        <v/>
      </c>
      <c r="S447">
        <f>IFERROR(L447*MAX(N447,1)/R447*IF(ISBLANK(K443),1,K443),0)</f>
        <v/>
      </c>
      <c r="AB447" s="7" t="inlineStr">
        <is>
          <t>^Warhead_MissileAP_Light, ^Warhead_Flame_Light</t>
        </is>
      </c>
    </row>
    <row r="448">
      <c r="A448" t="inlineStr">
        <is>
          <t>redalert2mod</t>
        </is>
      </c>
      <c r="B448" t="inlineStr">
        <is>
          <t>tkm_technical</t>
        </is>
      </c>
      <c r="C448" t="inlineStr">
        <is>
          <t>TKM Technical</t>
        </is>
      </c>
      <c r="D448" s="6" t="inlineStr">
        <is>
          <t>ScoutVehicle</t>
        </is>
      </c>
      <c r="E448" s="6" t="n">
        <v>27500</v>
      </c>
      <c r="F448" s="6" t="n">
        <v>175</v>
      </c>
      <c r="G448" t="inlineStr">
        <is>
          <t>Scout</t>
        </is>
      </c>
      <c r="H448" s="6" t="n">
        <v>0.9016</v>
      </c>
      <c r="I448" s="6" t="n">
        <v>1</v>
      </c>
      <c r="J448" s="6" t="n">
        <v>1</v>
      </c>
      <c r="K448" s="6" t="n"/>
      <c r="P448">
        <f>MAX(P449,P450)</f>
        <v/>
      </c>
      <c r="S448">
        <f>S449+S450</f>
        <v/>
      </c>
      <c r="T448">
        <f>(E448/100000+F448/100+(P448/1000)*J448/5+S448/200)*200*I448*H448</f>
        <v/>
      </c>
      <c r="U448">
        <f>((E448*F448/25000)+((P448/1000)*J448*S448/2.5))*I448*H448</f>
        <v/>
      </c>
      <c r="V448">
        <f>(E448*F448*(P448/1000)*J448*S448*I448*H448)/12500000</f>
        <v/>
      </c>
      <c r="W448">
        <f>(((E448/30000)+(F448/200)+(S448/450)+((P448/4500)*J448))*300/4+(((E448/30000)*(F448/200))+(((P448/4500)*J448)*(S448/450)))*300/2+((E448/30000)*(F448/200)*((P448/4500)*J448)*(S448/450))*300)*(H448/1.0)/3</f>
        <v/>
      </c>
      <c r="X448" s="6" t="n">
        <v>400</v>
      </c>
      <c r="Y448">
        <f>IFERROR(W448-X448,"")</f>
        <v/>
      </c>
      <c r="Z448">
        <f>IFERROR(ABS(Y448)/MAX(X448,1),"")</f>
        <v/>
      </c>
      <c r="AA448">
        <f>IFERROR(ROUND(((3*X448-(((E448/30000)+(F448/200)+(S448/450))*300/4+((E448/30000)*(F448/200))*300/2)*(H448/1.0))/(300/4+((S448/450))*300/2+((E448/30000)*(F448/200)*(S448/450))*300)*(H448/1.0)*4500)/J448,-1),"")</f>
        <v/>
      </c>
    </row>
    <row r="449">
      <c r="B449" s="7" t="inlineStr">
        <is>
          <t xml:space="preserve">  ↳ tkmtechmg</t>
        </is>
      </c>
      <c r="C449" s="7" t="inlineStr">
        <is>
          <t>Armament</t>
        </is>
      </c>
      <c r="L449" s="6" t="n">
        <v>4000</v>
      </c>
      <c r="M449" s="6" t="n">
        <v>6</v>
      </c>
      <c r="N449" s="6" t="n">
        <v>1</v>
      </c>
      <c r="O449" s="6" t="n"/>
      <c r="P449" s="6" t="n">
        <v>4153</v>
      </c>
      <c r="Q449" s="6" t="n">
        <v>1</v>
      </c>
      <c r="R449">
        <f>M449+IF(N449&gt;1,N(O449)*(N449-1),0)</f>
        <v/>
      </c>
      <c r="S449">
        <f>IFERROR(L449*MAX(N449,1)/R449*IF(ISBLANK(K448),1,K448),0)</f>
        <v/>
      </c>
      <c r="AB449" s="7" t="inlineStr">
        <is>
          <t>^Warhead_Bullet_Medium</t>
        </is>
      </c>
    </row>
    <row r="450">
      <c r="B450" s="7" t="inlineStr">
        <is>
          <t xml:space="preserve">  ↳ tkmtechnicalmgap</t>
        </is>
      </c>
      <c r="C450" s="7" t="inlineStr">
        <is>
          <t>Armament@PRIMARYNATO</t>
        </is>
      </c>
      <c r="L450" s="6" t="n">
        <v>8000</v>
      </c>
      <c r="M450" s="6" t="n">
        <v>9</v>
      </c>
      <c r="N450" s="6" t="n">
        <v>3</v>
      </c>
      <c r="O450" s="6" t="n">
        <v>6</v>
      </c>
      <c r="P450" s="6" t="n">
        <v>4792</v>
      </c>
      <c r="Q450" s="6" t="n">
        <v>0.75</v>
      </c>
      <c r="R450">
        <f>M450+IF(N450&gt;1,N(O450)*(N450-1),0)</f>
        <v/>
      </c>
      <c r="S450">
        <f>IFERROR(L450*MAX(N450,1)/R450*IF(ISBLANK(K448),1,K448),0)</f>
        <v/>
      </c>
      <c r="AB450" s="7" t="inlineStr">
        <is>
          <t>^Warhead_Bullet_Light, ^Warhead_Demolition_Light</t>
        </is>
      </c>
    </row>
    <row r="451">
      <c r="A451" t="inlineStr">
        <is>
          <t>d2k</t>
        </is>
      </c>
      <c r="B451" t="inlineStr">
        <is>
          <t>ordos_leech</t>
        </is>
      </c>
      <c r="C451" t="inlineStr">
        <is>
          <t>Leech</t>
        </is>
      </c>
      <c r="D451" s="6" t="inlineStr">
        <is>
          <t>ScoutVehicle</t>
        </is>
      </c>
      <c r="E451" s="6" t="n">
        <v>50000</v>
      </c>
      <c r="F451" s="6" t="n">
        <v>150</v>
      </c>
      <c r="G451" t="inlineStr">
        <is>
          <t>Scout</t>
        </is>
      </c>
      <c r="H451" s="6" t="n">
        <v>1</v>
      </c>
      <c r="I451" s="6" t="n">
        <v>1</v>
      </c>
      <c r="J451" s="6" t="n">
        <v>1</v>
      </c>
      <c r="K451" s="6" t="n"/>
      <c r="P451">
        <f>MAX(P452)</f>
        <v/>
      </c>
      <c r="S451">
        <f>S452</f>
        <v/>
      </c>
      <c r="T451">
        <f>(E451/100000+F451/100+(P451/1000)*J451/5+S451/200)*200*I451*H451</f>
        <v/>
      </c>
      <c r="U451">
        <f>((E451*F451/25000)+((P451/1000)*J451*S451/2.5))*I451*H451</f>
        <v/>
      </c>
      <c r="V451">
        <f>(E451*F451*(P451/1000)*J451*S451*I451*H451)/12500000</f>
        <v/>
      </c>
      <c r="W451">
        <f>(T451+U451+V451)/3</f>
        <v/>
      </c>
      <c r="X451" s="6" t="n">
        <v>1100</v>
      </c>
      <c r="Y451">
        <f>IFERROR(W451-X451,"")</f>
        <v/>
      </c>
      <c r="Z451">
        <f>IFERROR(ABS(Y451)/MAX(X451,1),"")</f>
        <v/>
      </c>
      <c r="AA451">
        <f>IFERROR((X451-(((E451/100000+F451/100+S451/200)*200*I451*H451)+((E451*F451/25000)*I451*H451))/3)/(((J451/5)*200*I451*H451)+((J451*S451/2.5)*I451*H451)+((E451*F451*J451*S451*I451*H451)/12500000))/3*1000,"")</f>
        <v/>
      </c>
    </row>
    <row r="452">
      <c r="B452" s="7" t="inlineStr">
        <is>
          <t xml:space="preserve">  ↳ LeechJump</t>
        </is>
      </c>
      <c r="C452" s="7" t="inlineStr">
        <is>
          <t>Armament@PRIMARY</t>
        </is>
      </c>
      <c r="L452" s="6" t="n">
        <v>100000</v>
      </c>
      <c r="M452" s="6" t="n">
        <v>30</v>
      </c>
      <c r="N452" s="6" t="n">
        <v>1</v>
      </c>
      <c r="O452" s="6" t="n"/>
      <c r="P452" s="6" t="n">
        <v>3000</v>
      </c>
      <c r="Q452" s="6" t="n">
        <v>1</v>
      </c>
      <c r="R452">
        <f>M452+IF(N452&gt;1,N(O452)*(N452-1),0)</f>
        <v/>
      </c>
      <c r="S452">
        <f>IFERROR(L452*MAX(N452,1)/R452*IF(ISBLANK(K451),1,K451),0)</f>
        <v/>
      </c>
      <c r="AB452" s="7" t="inlineStr"/>
    </row>
    <row r="453">
      <c r="A453" t="inlineStr">
        <is>
          <t>d2k</t>
        </is>
      </c>
      <c r="B453" t="inlineStr">
        <is>
          <t>ordos_raider</t>
        </is>
      </c>
      <c r="C453" t="inlineStr">
        <is>
          <t>Ordos Raider</t>
        </is>
      </c>
      <c r="D453" s="6" t="inlineStr">
        <is>
          <t>ScoutVehicle</t>
        </is>
      </c>
      <c r="E453" s="6" t="n">
        <v>60000</v>
      </c>
      <c r="F453" s="6" t="n">
        <v>180</v>
      </c>
      <c r="G453" t="inlineStr">
        <is>
          <t>Scout</t>
        </is>
      </c>
      <c r="H453" s="6" t="n">
        <v>1</v>
      </c>
      <c r="I453" s="6" t="n">
        <v>1.25</v>
      </c>
      <c r="J453" s="6" t="n">
        <v>1</v>
      </c>
      <c r="K453" s="6" t="n"/>
      <c r="P453">
        <f>MAX(P454,P455)</f>
        <v/>
      </c>
      <c r="S453">
        <f>S454+S455</f>
        <v/>
      </c>
      <c r="T453">
        <f>(E453/100000+F453/100+(P453/1000)*J453/5+S453/200)*200*I453*H453</f>
        <v/>
      </c>
      <c r="U453">
        <f>((E453*F453/25000)+((P453/1000)*J453*S453/2.5))*I453*H453</f>
        <v/>
      </c>
      <c r="V453">
        <f>(E453*F453*(P453/1000)*J453*S453*I453*H453)/12500000</f>
        <v/>
      </c>
      <c r="W453">
        <f>(((E453/30000)+(F453/200)+(S453/450)+((P453/4500)*J453))*300/4+(((E453/30000)*(F453/200))+(((P453/4500)*J453)*(S453/450)))*300/2+((E453/30000)*(F453/200)*((P453/4500)*J453)*(S453/450))*300)*(H453/1.0)/3</f>
        <v/>
      </c>
      <c r="X453" s="6" t="n">
        <v>1200</v>
      </c>
      <c r="Y453">
        <f>IFERROR(W453-X453,"")</f>
        <v/>
      </c>
      <c r="Z453">
        <f>IFERROR(ABS(Y453)/MAX(X453,1),"")</f>
        <v/>
      </c>
      <c r="AA453">
        <f>IFERROR(ROUND(((3*X453-(((E453/30000)+(F453/200)+(S453/450))*300/4+((E453/30000)*(F453/200))*300/2)*(H453/1.0))/(300/4+((S453/450))*300/2+((E453/30000)*(F453/200)*(S453/450))*300)*(H453/1.0)*4500)/J453,-1),"")</f>
        <v/>
      </c>
    </row>
    <row r="454">
      <c r="B454" s="7" t="inlineStr">
        <is>
          <t xml:space="preserve">  ↳ HMGo</t>
        </is>
      </c>
      <c r="C454" s="7" t="inlineStr">
        <is>
          <t>Armament@damage</t>
        </is>
      </c>
      <c r="L454" s="6" t="n">
        <v>4000</v>
      </c>
      <c r="M454" s="6" t="n">
        <v>8</v>
      </c>
      <c r="N454" s="6" t="n">
        <v>9</v>
      </c>
      <c r="O454" s="6" t="n">
        <v>2</v>
      </c>
      <c r="P454" s="6" t="n">
        <v>6000</v>
      </c>
      <c r="Q454" s="6" t="n">
        <v>0.75</v>
      </c>
      <c r="R454">
        <f>M454+IF(N454&gt;1,N(O454)*(N454-1),0)</f>
        <v/>
      </c>
      <c r="S454">
        <f>IFERROR(L454*MAX(N454,1)/R454*IF(ISBLANK(K453),1,K453),0)</f>
        <v/>
      </c>
      <c r="AB454" s="7" t="inlineStr">
        <is>
          <t>^Warhead_Bullet_Light</t>
        </is>
      </c>
    </row>
    <row r="455">
      <c r="B455" s="7" t="inlineStr">
        <is>
          <t xml:space="preserve">  ↳ HMGo_upgrade</t>
        </is>
      </c>
      <c r="C455" s="7" t="inlineStr">
        <is>
          <t>Armament@damageLaser</t>
        </is>
      </c>
      <c r="L455" s="6" t="n">
        <v>6000</v>
      </c>
      <c r="M455" s="6" t="n">
        <v>8</v>
      </c>
      <c r="N455" s="6" t="n">
        <v>9</v>
      </c>
      <c r="O455" s="6" t="n">
        <v>2</v>
      </c>
      <c r="P455" s="6" t="n">
        <v>6000</v>
      </c>
      <c r="Q455" s="6" t="n">
        <v>1</v>
      </c>
      <c r="R455">
        <f>M455+IF(N455&gt;1,N(O455)*(N455-1),0)</f>
        <v/>
      </c>
      <c r="S455">
        <f>IFERROR(L455*MAX(N455,1)/R455*IF(ISBLANK(K453),1,K453),0)</f>
        <v/>
      </c>
      <c r="AB455" s="7" t="inlineStr">
        <is>
          <t>^Warhead_Laser_Heavy, ^Warhead_Bullet_Medium, ^Warhead_Bullet_Light</t>
        </is>
      </c>
    </row>
    <row r="456">
      <c r="A456" t="inlineStr">
        <is>
          <t>d2k</t>
        </is>
      </c>
      <c r="B456" t="inlineStr">
        <is>
          <t>ordos_stealthraider</t>
        </is>
      </c>
      <c r="C456" t="inlineStr">
        <is>
          <t>Stealth Raider</t>
        </is>
      </c>
      <c r="D456" s="6" t="inlineStr">
        <is>
          <t>ScoutVehicle</t>
        </is>
      </c>
      <c r="E456" s="6" t="n">
        <v>60000</v>
      </c>
      <c r="F456" s="6" t="n">
        <v>180</v>
      </c>
      <c r="G456" t="inlineStr">
        <is>
          <t>Scout</t>
        </is>
      </c>
      <c r="H456" s="6" t="n">
        <v>1</v>
      </c>
      <c r="I456" s="6" t="n">
        <v>1.25</v>
      </c>
      <c r="J456" s="6" t="n">
        <v>1.25</v>
      </c>
      <c r="K456" s="6" t="n"/>
      <c r="P456">
        <f>MAX(P457,P458)</f>
        <v/>
      </c>
      <c r="S456">
        <f>S457+S458</f>
        <v/>
      </c>
      <c r="T456">
        <f>(E456/100000+F456/100+(P456/1000)*J456/5+S456/200)*200*I456*H456</f>
        <v/>
      </c>
      <c r="U456">
        <f>((E456*F456/25000)+((P456/1000)*J456*S456/2.5))*I456*H456</f>
        <v/>
      </c>
      <c r="V456">
        <f>(E456*F456*(P456/1000)*J456*S456*I456*H456)/12500000</f>
        <v/>
      </c>
      <c r="W456">
        <f>(((E456/30000)+(F456/200)+(S456/450)+((P456/4500)*J456))*300/4+(((E456/30000)*(F456/200))+(((P456/4500)*J456)*(S456/450)))*300/2+((E456/30000)*(F456/200)*((P456/4500)*J456)*(S456/450))*300)*(H456/1.0)/3</f>
        <v/>
      </c>
      <c r="X456" s="6" t="n">
        <v>1300</v>
      </c>
      <c r="Y456">
        <f>IFERROR(W456-X456,"")</f>
        <v/>
      </c>
      <c r="Z456">
        <f>IFERROR(ABS(Y456)/MAX(X456,1),"")</f>
        <v/>
      </c>
      <c r="AA456">
        <f>IFERROR(ROUND(((3*X456-(((E456/30000)+(F456/200)+(S456/450))*300/4+((E456/30000)*(F456/200))*300/2)*(H456/1.0))/(300/4+((S456/450))*300/2+((E456/30000)*(F456/200)*(S456/450))*300)*(H456/1.0)*4500)/J456,-1),"")</f>
        <v/>
      </c>
    </row>
    <row r="457">
      <c r="B457" s="7" t="inlineStr">
        <is>
          <t xml:space="preserve">  ↳ HMGstealth</t>
        </is>
      </c>
      <c r="C457" s="7" t="inlineStr">
        <is>
          <t>Armament@damage</t>
        </is>
      </c>
      <c r="L457" s="6" t="n">
        <v>4000</v>
      </c>
      <c r="M457" s="6" t="n">
        <v>33</v>
      </c>
      <c r="N457" s="6" t="n">
        <v>4</v>
      </c>
      <c r="O457" s="6" t="n">
        <v>2</v>
      </c>
      <c r="P457" s="6" t="n">
        <v>4857</v>
      </c>
      <c r="Q457" s="6" t="n">
        <v>0.875</v>
      </c>
      <c r="R457">
        <f>M457+IF(N457&gt;1,N(O457)*(N457-1),0)</f>
        <v/>
      </c>
      <c r="S457">
        <f>IFERROR(L457*MAX(N457,1)/R457*IF(ISBLANK(K456),1,K456),0)</f>
        <v/>
      </c>
      <c r="AB457" s="7" t="inlineStr">
        <is>
          <t>^Warhead_Bullet_Light, ^Warhead_Bullet_Medium</t>
        </is>
      </c>
    </row>
    <row r="458">
      <c r="B458" s="7" t="inlineStr">
        <is>
          <t xml:space="preserve">  ↳ HMGstealth_upgrade</t>
        </is>
      </c>
      <c r="C458" s="7" t="inlineStr">
        <is>
          <t>Armament@damageLaser</t>
        </is>
      </c>
      <c r="L458" s="6" t="n">
        <v>6000</v>
      </c>
      <c r="M458" s="6" t="n">
        <v>33</v>
      </c>
      <c r="N458" s="6" t="n">
        <v>4</v>
      </c>
      <c r="O458" s="6" t="n">
        <v>2</v>
      </c>
      <c r="P458" s="6" t="n">
        <v>4857</v>
      </c>
      <c r="Q458" s="6" t="n">
        <v>1</v>
      </c>
      <c r="R458">
        <f>M458+IF(N458&gt;1,N(O458)*(N458-1),0)</f>
        <v/>
      </c>
      <c r="S458">
        <f>IFERROR(L458*MAX(N458,1)/R458*IF(ISBLANK(K456),1,K456),0)</f>
        <v/>
      </c>
      <c r="AB458" s="7" t="inlineStr">
        <is>
          <t>^Warhead_Laser_Heavy, ^Warhead_Bullet_Light, ^Warhead_Bullet_Medium</t>
        </is>
      </c>
    </row>
    <row r="459">
      <c r="A459" t="inlineStr">
        <is>
          <t>starcraft</t>
        </is>
      </c>
      <c r="B459" t="inlineStr">
        <is>
          <t>protoss_positron</t>
        </is>
      </c>
      <c r="C459" t="inlineStr">
        <is>
          <t>Positron</t>
        </is>
      </c>
      <c r="D459" s="6" t="inlineStr">
        <is>
          <t>ScoutVehicle</t>
        </is>
      </c>
      <c r="E459" s="6" t="n">
        <v>60000</v>
      </c>
      <c r="F459" s="6" t="n">
        <v>120</v>
      </c>
      <c r="G459" t="inlineStr">
        <is>
          <t>Scout</t>
        </is>
      </c>
      <c r="H459" s="6" t="n">
        <v>1</v>
      </c>
      <c r="I459" s="6" t="n">
        <v>0.5</v>
      </c>
      <c r="J459" s="6" t="n">
        <v>2</v>
      </c>
      <c r="K459" s="6" t="n">
        <v>0.005</v>
      </c>
      <c r="P459">
        <f>MAX(P460)</f>
        <v/>
      </c>
      <c r="S459">
        <f>S460</f>
        <v/>
      </c>
      <c r="T459">
        <f>(E459/100000+F459/100+(P459/1000)*J459/5+S459/200)*200*I459*H459</f>
        <v/>
      </c>
      <c r="U459">
        <f>((E459*F459/25000)+((P459/1000)*J459*S459/2.5))*I459*H459</f>
        <v/>
      </c>
      <c r="V459">
        <f>(E459*F459*(P459/1000)*J459*S459*I459*H459)/12500000</f>
        <v/>
      </c>
      <c r="W459">
        <f>(((E459/30000)+(F459/200)+(S459/450)+((P459/4500)*J459))*300/4+(((E459/30000)*(F459/200))+(((P459/4500)*J459)*(S459/450)))*300/2+((E459/30000)*(F459/200)*((P459/4500)*J459)*(S459/450))*300)*(H459/1.0)/3</f>
        <v/>
      </c>
      <c r="X459" s="6" t="n">
        <v>1200</v>
      </c>
      <c r="Y459">
        <f>IFERROR(W459-X459,"")</f>
        <v/>
      </c>
      <c r="Z459">
        <f>IFERROR(ABS(Y459)/MAX(X459,1),"")</f>
        <v/>
      </c>
      <c r="AA459">
        <f>IFERROR(ROUND(((3*X459-(((E459/30000)+(F459/200)+(S459/450))*300/4+((E459/30000)*(F459/200))*300/2)*(H459/1.0))/(300/4+((S459/450))*300/2+((E459/30000)*(F459/200)*(S459/450))*300)*(H459/1.0)*4500)/J459,-1),"")</f>
        <v/>
      </c>
    </row>
    <row r="460">
      <c r="B460" s="7" t="inlineStr">
        <is>
          <t xml:space="preserve">  ↳ PositronGrenade</t>
        </is>
      </c>
      <c r="C460" s="7" t="inlineStr">
        <is>
          <t>Armament</t>
        </is>
      </c>
      <c r="L460" s="6" t="n">
        <v>40000</v>
      </c>
      <c r="M460" s="6" t="n">
        <v>30</v>
      </c>
      <c r="N460" s="6" t="n">
        <v>1</v>
      </c>
      <c r="O460" s="6" t="n"/>
      <c r="P460" s="6" t="n">
        <v>5044</v>
      </c>
      <c r="Q460" s="6" t="n">
        <v>1</v>
      </c>
      <c r="R460">
        <f>M460+IF(N460&gt;1,N(O460)*(N460-1),0)</f>
        <v/>
      </c>
      <c r="S460">
        <f>IFERROR(L460*MAX(N460,1)/R460*IF(ISBLANK(K459),1,K459),0)</f>
        <v/>
      </c>
      <c r="AB460" s="7" t="inlineStr">
        <is>
          <t>^Warhead_CannonHE_Medium</t>
        </is>
      </c>
    </row>
    <row r="461">
      <c r="A461" s="4" t="inlineStr">
        <is>
          <t>FireSupport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</row>
    <row r="462">
      <c r="A462" t="inlineStr">
        <is>
          <t>tiberiandawn</t>
        </is>
      </c>
      <c r="B462" t="inlineStr">
        <is>
          <t>td_gdi_exosuit</t>
        </is>
      </c>
      <c r="C462" t="inlineStr">
        <is>
          <t>Exosuit</t>
        </is>
      </c>
      <c r="D462" s="6" t="inlineStr">
        <is>
          <t>FireSupport</t>
        </is>
      </c>
      <c r="E462" s="6" t="n">
        <v>50000</v>
      </c>
      <c r="F462" s="6" t="n">
        <v>100</v>
      </c>
      <c r="G462" t="inlineStr">
        <is>
          <t>Light</t>
        </is>
      </c>
      <c r="H462" s="6" t="n">
        <v>0.3793</v>
      </c>
      <c r="I462" s="6" t="n">
        <v>1</v>
      </c>
      <c r="J462" s="6" t="n">
        <v>1</v>
      </c>
      <c r="K462" s="6" t="n">
        <v>0.012</v>
      </c>
      <c r="P462">
        <f>MAX(P463)</f>
        <v/>
      </c>
      <c r="S462">
        <f>S463</f>
        <v/>
      </c>
      <c r="T462">
        <f>(E462/100000+F462/100+(P462/1000)*J462/5+S462/200)*200*I462*H462</f>
        <v/>
      </c>
      <c r="U462">
        <f>((E462*F462/25000)+((P462/1000)*J462*S462/2.5))*I462*H462</f>
        <v/>
      </c>
      <c r="V462">
        <f>(E462*F462*(P462/1000)*J462*S462*I462*H462)/12500000</f>
        <v/>
      </c>
      <c r="W462">
        <f>(((E462/120000)+(F462/90)+(S462/2100)+((P462/10000)*J462))*1400/4+(((E462/120000)*(F462/90))+(((P462/10000)*J462)*(S462/2100)))*1400/2+((E462/120000)*(F462/90)*((P462/10000)*J462)*(S462/2100))*1400)*(H462/0.6735)/3</f>
        <v/>
      </c>
      <c r="X462" s="6" t="n">
        <v>1200</v>
      </c>
      <c r="Y462">
        <f>IFERROR(W462-X462,"")</f>
        <v/>
      </c>
      <c r="Z462">
        <f>IFERROR(ABS(Y462)/MAX(X462,1),"")</f>
        <v/>
      </c>
      <c r="AA462">
        <f>IFERROR(ROUND(((3*X462-(((E462/120000)+(F462/90)+(S462/2100))*1400/4+((E462/120000)*(F462/90))*1400/2)*(H462/0.6735))/(1400/4+((S462/2100))*1400/2+((E462/120000)*(F462/90)*(S462/2100))*1400)*(H462/0.6735)*10000)/J462,-1),"")</f>
        <v/>
      </c>
    </row>
    <row r="463">
      <c r="B463" s="7" t="inlineStr">
        <is>
          <t xml:space="preserve">  ↳ ExosuitRailgun</t>
        </is>
      </c>
      <c r="C463" s="7" t="inlineStr">
        <is>
          <t>Armament@Railgun</t>
        </is>
      </c>
      <c r="L463" s="6" t="n">
        <v>20000</v>
      </c>
      <c r="M463" s="6" t="n">
        <v>75</v>
      </c>
      <c r="N463" s="6" t="n">
        <v>2</v>
      </c>
      <c r="O463" s="6" t="n">
        <v>5</v>
      </c>
      <c r="P463" s="6" t="n">
        <v>6806</v>
      </c>
      <c r="Q463" s="6" t="n">
        <v>1.25</v>
      </c>
      <c r="R463">
        <f>M463+IF(N463&gt;1,N(O463)*(N463-1),0)</f>
        <v/>
      </c>
      <c r="S463">
        <f>IFERROR(L463*MAX(N463,1)/R463*IF(ISBLANK(K462),1,K462),0)</f>
        <v/>
      </c>
      <c r="AB463" s="7" t="inlineStr">
        <is>
          <t>^Warhead_Railgun_Heavy</t>
        </is>
      </c>
    </row>
    <row r="464">
      <c r="A464" t="inlineStr">
        <is>
          <t>tiberiandawn</t>
        </is>
      </c>
      <c r="B464" t="inlineStr">
        <is>
          <t>td_nod_ssmlauncher</t>
        </is>
      </c>
      <c r="C464" t="inlineStr">
        <is>
          <t>SSM Launcher</t>
        </is>
      </c>
      <c r="D464" s="6" t="inlineStr">
        <is>
          <t>FireSupport</t>
        </is>
      </c>
      <c r="E464" s="6" t="n">
        <v>20000</v>
      </c>
      <c r="F464" s="6" t="n">
        <v>100</v>
      </c>
      <c r="G464" t="inlineStr">
        <is>
          <t>Light</t>
        </is>
      </c>
      <c r="H464" s="6" t="n">
        <v>0.75</v>
      </c>
      <c r="I464" s="6" t="n">
        <v>1</v>
      </c>
      <c r="J464" s="6" t="n">
        <v>1</v>
      </c>
      <c r="K464" s="6" t="n"/>
      <c r="P464">
        <f>MAX(P465)</f>
        <v/>
      </c>
      <c r="S464">
        <f>S465</f>
        <v/>
      </c>
      <c r="T464">
        <f>(E464/100000+F464/100+(P464/1000)*J464/5+S464/200)*200*I464*H464</f>
        <v/>
      </c>
      <c r="U464">
        <f>((E464*F464/25000)+((P464/1000)*J464*S464/2.5))*I464*H464</f>
        <v/>
      </c>
      <c r="V464">
        <f>(E464*F464*(P464/1000)*J464*S464*I464*H464)/12500000</f>
        <v/>
      </c>
      <c r="W464">
        <f>(((E464/120000)+(F464/90)+(S464/2100)+((P464/10000)*J464))*1400/4+(((E464/120000)*(F464/90))+(((P464/10000)*J464)*(S464/2100)))*1400/2+((E464/120000)*(F464/90)*((P464/10000)*J464)*(S464/2100))*1400)*(H464/0.6735)/3</f>
        <v/>
      </c>
      <c r="X464" s="6" t="n">
        <v>800</v>
      </c>
      <c r="Y464">
        <f>IFERROR(W464-X464,"")</f>
        <v/>
      </c>
      <c r="Z464">
        <f>IFERROR(ABS(Y464)/MAX(X464,1),"")</f>
        <v/>
      </c>
      <c r="AA464">
        <f>IFERROR(ROUND(((3*X464-(((E464/120000)+(F464/90)+(S464/2100))*1400/4+((E464/120000)*(F464/90))*1400/2)*(H464/0.6735))/(1400/4+((S464/2100))*1400/2+((E464/120000)*(F464/90)*(S464/2100))*1400)*(H464/0.6735)*10000)/J464,-1),"")</f>
        <v/>
      </c>
    </row>
    <row r="465">
      <c r="B465" s="7" t="inlineStr">
        <is>
          <t xml:space="preserve">  ↳ HonestJohn</t>
        </is>
      </c>
      <c r="C465" s="7" t="inlineStr">
        <is>
          <t>Armament</t>
        </is>
      </c>
      <c r="L465" s="6" t="n">
        <v>50000</v>
      </c>
      <c r="M465" s="6" t="n">
        <v>225</v>
      </c>
      <c r="N465" s="6" t="n">
        <v>2</v>
      </c>
      <c r="O465" s="6" t="n">
        <v>25</v>
      </c>
      <c r="P465" s="6" t="n">
        <v>8940</v>
      </c>
      <c r="Q465" s="6" t="n">
        <v>1.25</v>
      </c>
      <c r="R465">
        <f>M465+IF(N465&gt;1,N(O465)*(N465-1),0)</f>
        <v/>
      </c>
      <c r="S465">
        <f>IFERROR(L465*MAX(N465,1)/R465*IF(ISBLANK(K464),1,K464),0)</f>
        <v/>
      </c>
      <c r="AB465" s="7" t="inlineStr">
        <is>
          <t>^Warhead_FireMissile_Heavy</t>
        </is>
      </c>
    </row>
    <row r="466">
      <c r="A466" t="inlineStr">
        <is>
          <t>redalert</t>
        </is>
      </c>
      <c r="B466" t="inlineStr">
        <is>
          <t>japan_nanodronebuggy</t>
        </is>
      </c>
      <c r="C466" t="inlineStr">
        <is>
          <t>Nanodrone Buggy</t>
        </is>
      </c>
      <c r="D466" s="6" t="inlineStr">
        <is>
          <t>FireSupport</t>
        </is>
      </c>
      <c r="E466" s="6" t="n">
        <v>37500</v>
      </c>
      <c r="F466" s="6" t="n">
        <v>77</v>
      </c>
      <c r="G466" t="inlineStr">
        <is>
          <t>Light</t>
        </is>
      </c>
      <c r="H466" s="6" t="n">
        <v>1</v>
      </c>
      <c r="I466" s="6" t="n">
        <v>1</v>
      </c>
      <c r="J466" s="6" t="n">
        <v>1.25</v>
      </c>
      <c r="K466" s="6" t="n">
        <v>0.0033</v>
      </c>
      <c r="P466">
        <f>MAX(P467)</f>
        <v/>
      </c>
      <c r="S466">
        <f>S467</f>
        <v/>
      </c>
      <c r="T466">
        <f>(E466/100000+F466/100+(P466/1000)*J466/5+S466/200)*200*I466*H466</f>
        <v/>
      </c>
      <c r="U466">
        <f>((E466*F466/25000)+((P466/1000)*J466*S466/2.5))*I466*H466</f>
        <v/>
      </c>
      <c r="V466">
        <f>(E466*F466*(P466/1000)*J466*S466*I466*H466)/12500000</f>
        <v/>
      </c>
      <c r="W466">
        <f>(((E466/120000)+(F466/90)+(S466/2100)+((P466/10000)*J466))*1400/4+(((E466/120000)*(F466/90))+(((P466/10000)*J466)*(S466/2100)))*1400/2+((E466/120000)*(F466/90)*((P466/10000)*J466)*(S466/2100))*1400)*(H466/0.6735)/3</f>
        <v/>
      </c>
      <c r="X466" s="6" t="n">
        <v>1200</v>
      </c>
      <c r="Y466">
        <f>IFERROR(W466-X466,"")</f>
        <v/>
      </c>
      <c r="Z466">
        <f>IFERROR(ABS(Y466)/MAX(X466,1),"")</f>
        <v/>
      </c>
      <c r="AA466">
        <f>IFERROR(ROUND(((3*X466-(((E466/120000)+(F466/90)+(S466/2100))*1400/4+((E466/120000)*(F466/90))*1400/2)*(H466/0.6735))/(1400/4+((S466/2100))*1400/2+((E466/120000)*(F466/90)*(S466/2100))*1400)*(H466/0.6735)*10000)/J466,-1),"")</f>
        <v/>
      </c>
    </row>
    <row r="467">
      <c r="B467" s="7" t="inlineStr">
        <is>
          <t xml:space="preserve">  ↳ NanoArtilleryAG</t>
        </is>
      </c>
      <c r="C467" s="7" t="inlineStr">
        <is>
          <t>Armament</t>
        </is>
      </c>
      <c r="L467" s="6" t="n">
        <v>23331</v>
      </c>
      <c r="M467" s="6" t="n">
        <v>77</v>
      </c>
      <c r="N467" s="6" t="n">
        <v>1</v>
      </c>
      <c r="O467" s="6" t="n"/>
      <c r="P467" s="6" t="n">
        <v>7777</v>
      </c>
      <c r="Q467" s="6" t="n">
        <v>1</v>
      </c>
      <c r="R467">
        <f>M467+IF(N467&gt;1,N(O467)*(N467-1),0)</f>
        <v/>
      </c>
      <c r="S467">
        <f>IFERROR(L467*MAX(N467,1)/R467*IF(ISBLANK(K466),1,K466),0)</f>
        <v/>
      </c>
      <c r="AB467" s="7" t="inlineStr">
        <is>
          <t>^HeavyCannon, ^ShrapnelWeapon, ^Grenade</t>
        </is>
      </c>
    </row>
    <row r="468">
      <c r="A468" t="inlineStr">
        <is>
          <t>redalert</t>
        </is>
      </c>
      <c r="B468" t="inlineStr">
        <is>
          <t>japan_waveforcetank</t>
        </is>
      </c>
      <c r="C468" t="inlineStr">
        <is>
          <t>Waveforce Tank</t>
        </is>
      </c>
      <c r="D468" s="6" t="inlineStr">
        <is>
          <t>FireSupport</t>
        </is>
      </c>
      <c r="E468" s="6" t="n">
        <v>60000</v>
      </c>
      <c r="F468" s="6" t="n">
        <v>60</v>
      </c>
      <c r="G468" t="inlineStr">
        <is>
          <t>Light</t>
        </is>
      </c>
      <c r="H468" s="6" t="n">
        <v>1</v>
      </c>
      <c r="I468" s="6" t="n">
        <v>1</v>
      </c>
      <c r="J468" s="6" t="n">
        <v>1</v>
      </c>
      <c r="K468" s="6" t="n"/>
      <c r="P468">
        <f>MAX(P469,P470,P471,P472)</f>
        <v/>
      </c>
      <c r="S468">
        <f>S469+S470+S471+S472</f>
        <v/>
      </c>
      <c r="T468">
        <f>(E468/100000+F468/100+(P468/1000)*J468/5+S468/200)*200*I468*H468</f>
        <v/>
      </c>
      <c r="U468">
        <f>((E468*F468/25000)+((P468/1000)*J468*S468/2.5))*I468*H468</f>
        <v/>
      </c>
      <c r="V468">
        <f>(E468*F468*(P468/1000)*J468*S468*I468*H468)/12500000</f>
        <v/>
      </c>
      <c r="W468">
        <f>(((E468/120000)+(F468/90)+(S468/2100)+((P468/10000)*J468))*1400/4+(((E468/120000)*(F468/90))+(((P468/10000)*J468)*(S468/2100)))*1400/2+((E468/120000)*(F468/90)*((P468/10000)*J468)*(S468/2100))*1400)*(H468/0.6735)/3</f>
        <v/>
      </c>
      <c r="X468" s="6" t="n">
        <v>1800</v>
      </c>
      <c r="Y468">
        <f>IFERROR(W468-X468,"")</f>
        <v/>
      </c>
      <c r="Z468">
        <f>IFERROR(ABS(Y468)/MAX(X468,1),"")</f>
        <v/>
      </c>
      <c r="AA468">
        <f>IFERROR(ROUND(((3*X468-(((E468/120000)+(F468/90)+(S468/2100))*1400/4+((E468/120000)*(F468/90))*1400/2)*(H468/0.6735))/(1400/4+((S468/2100))*1400/2+((E468/120000)*(F468/90)*(S468/2100))*1400)*(H468/0.6735)*10000)/J468,-1),"")</f>
        <v/>
      </c>
    </row>
    <row r="469">
      <c r="B469" s="7" t="inlineStr">
        <is>
          <t xml:space="preserve">  ↳ WaveforceCannon</t>
        </is>
      </c>
      <c r="C469" s="7" t="inlineStr">
        <is>
          <t>Armament</t>
        </is>
      </c>
      <c r="L469" s="6" t="n">
        <v>20000</v>
      </c>
      <c r="M469" s="6" t="n">
        <v>60</v>
      </c>
      <c r="N469" s="6" t="n">
        <v>1</v>
      </c>
      <c r="O469" s="6" t="n"/>
      <c r="P469" s="6" t="n">
        <v>9343</v>
      </c>
      <c r="Q469" s="6" t="n">
        <v>1.25</v>
      </c>
      <c r="R469">
        <f>M469+IF(N469&gt;1,N(O469)*(N469-1),0)</f>
        <v/>
      </c>
      <c r="S469">
        <f>IFERROR(L469*MAX(N469,1)/R469*IF(ISBLANK(K468),1,K468),0)</f>
        <v/>
      </c>
      <c r="AB469" s="7" t="inlineStr">
        <is>
          <t>^Warhead_MissileHE_Heavy, ^Warhead_Railgun_Heavy</t>
        </is>
      </c>
    </row>
    <row r="470">
      <c r="B470" s="7" t="inlineStr">
        <is>
          <t xml:space="preserve">  ↳ WaveforceCannonChargedLaser</t>
        </is>
      </c>
      <c r="C470" s="7" t="inlineStr">
        <is>
          <t>Armament@Upgrade1</t>
        </is>
      </c>
      <c r="L470" s="6" t="n">
        <v>20000</v>
      </c>
      <c r="M470" s="6" t="n">
        <v>120</v>
      </c>
      <c r="N470" s="6" t="n">
        <v>1</v>
      </c>
      <c r="O470" s="6" t="n"/>
      <c r="P470" s="6" t="n">
        <v>9343</v>
      </c>
      <c r="Q470" s="6" t="n">
        <v>1.25</v>
      </c>
      <c r="R470">
        <f>M470+IF(N470&gt;1,N(O470)*(N470-1),0)</f>
        <v/>
      </c>
      <c r="S470">
        <f>IFERROR(L470*MAX(N470,1)/R470*IF(ISBLANK(K468),1,K468),0)</f>
        <v/>
      </c>
      <c r="AB470" s="7" t="inlineStr">
        <is>
          <t>^Warhead_MissileHE_Heavy, ^Warhead_Railgun_Heavy</t>
        </is>
      </c>
    </row>
    <row r="471">
      <c r="B471" s="7" t="inlineStr">
        <is>
          <t xml:space="preserve">  ↳ WaveforceCannonDistortedBeam1</t>
        </is>
      </c>
      <c r="C471" s="7" t="inlineStr">
        <is>
          <t>Armament@Upgrade2</t>
        </is>
      </c>
      <c r="L471" s="6" t="n">
        <v>20000</v>
      </c>
      <c r="M471" s="6" t="n">
        <v>120</v>
      </c>
      <c r="N471" s="6" t="n">
        <v>1</v>
      </c>
      <c r="O471" s="6" t="n"/>
      <c r="P471" s="6" t="n">
        <v>9343</v>
      </c>
      <c r="Q471" s="6" t="n">
        <v>1</v>
      </c>
      <c r="R471">
        <f>M471+IF(N471&gt;1,N(O471)*(N471-1),0)</f>
        <v/>
      </c>
      <c r="S471">
        <f>IFERROR(L471*MAX(N471,1)/R471*IF(ISBLANK(K468),1,K468),0)</f>
        <v/>
      </c>
      <c r="AB471" s="7" t="inlineStr">
        <is>
          <t>^TeslaWeapon, ^HeavyCannon</t>
        </is>
      </c>
    </row>
    <row r="472">
      <c r="B472" s="7" t="inlineStr">
        <is>
          <t xml:space="preserve">  ↳ WaveforceCannonDistortedBeam2</t>
        </is>
      </c>
      <c r="C472" s="7" t="inlineStr">
        <is>
          <t>Armament@Upgrade3</t>
        </is>
      </c>
      <c r="L472" s="6" t="n">
        <v>20000</v>
      </c>
      <c r="M472" s="6" t="n">
        <v>120</v>
      </c>
      <c r="N472" s="6" t="n">
        <v>1</v>
      </c>
      <c r="O472" s="6" t="n"/>
      <c r="P472" s="6" t="n">
        <v>9343</v>
      </c>
      <c r="Q472" s="6" t="n">
        <v>1.25</v>
      </c>
      <c r="R472">
        <f>M472+IF(N472&gt;1,N(O472)*(N472-1),0)</f>
        <v/>
      </c>
      <c r="S472">
        <f>IFERROR(L472*MAX(N472,1)/R472*IF(ISBLANK(K468),1,K468),0)</f>
        <v/>
      </c>
      <c r="AB472" s="7" t="inlineStr">
        <is>
          <t>^Warhead_Chemical_Heavy, ^Warhead_Flame_Heavy</t>
        </is>
      </c>
    </row>
    <row r="473">
      <c r="A473" t="inlineStr">
        <is>
          <t>redalert</t>
        </is>
      </c>
      <c r="B473" t="inlineStr">
        <is>
          <t>ra1_soviets_heatraytank</t>
        </is>
      </c>
      <c r="C473" t="inlineStr">
        <is>
          <t>Heatray Tank</t>
        </is>
      </c>
      <c r="D473" s="6" t="inlineStr">
        <is>
          <t>FireSupport</t>
        </is>
      </c>
      <c r="E473" s="6" t="n">
        <v>60000</v>
      </c>
      <c r="F473" s="6" t="n">
        <v>60</v>
      </c>
      <c r="G473" t="inlineStr">
        <is>
          <t>Light</t>
        </is>
      </c>
      <c r="H473" s="6" t="n">
        <v>1</v>
      </c>
      <c r="I473" s="6" t="n">
        <v>1</v>
      </c>
      <c r="J473" s="6" t="n">
        <v>1</v>
      </c>
      <c r="K473" s="6" t="n">
        <v>0.0025</v>
      </c>
      <c r="P473">
        <f>MAX(P474,P475,P476,P477)</f>
        <v/>
      </c>
      <c r="S473">
        <f>S474+S475+S476+S477</f>
        <v/>
      </c>
      <c r="T473">
        <f>(E473/100000+F473/100+(P473/1000)*J473/5+S473/200)*200*I473*H473</f>
        <v/>
      </c>
      <c r="U473">
        <f>((E473*F473/25000)+((P473/1000)*J473*S473/2.5))*I473*H473</f>
        <v/>
      </c>
      <c r="V473">
        <f>(E473*F473*(P473/1000)*J473*S473*I473*H473)/12500000</f>
        <v/>
      </c>
      <c r="W473">
        <f>(((E473/120000)+(F473/90)+(S473/2100)+((P473/10000)*J473))*1400/4+(((E473/120000)*(F473/90))+(((P473/10000)*J473)*(S473/2100)))*1400/2+((E473/120000)*(F473/90)*((P473/10000)*J473)*(S473/2100))*1400)*(H473/0.6735)/3</f>
        <v/>
      </c>
      <c r="X473" s="6" t="n">
        <v>1900</v>
      </c>
      <c r="Y473">
        <f>IFERROR(W473-X473,"")</f>
        <v/>
      </c>
      <c r="Z473">
        <f>IFERROR(ABS(Y473)/MAX(X473,1),"")</f>
        <v/>
      </c>
      <c r="AA473">
        <f>IFERROR(ROUND(((3*X473-(((E473/120000)+(F473/90)+(S473/2100))*1400/4+((E473/120000)*(F473/90))*1400/2)*(H473/0.6735))/(1400/4+((S473/2100))*1400/2+((E473/120000)*(F473/90)*(S473/2100))*1400)*(H473/0.6735)*10000)/J473,-1),"")</f>
        <v/>
      </c>
    </row>
    <row r="474">
      <c r="B474" s="7" t="inlineStr">
        <is>
          <t xml:space="preserve">  ↳ HeatRayBeam1</t>
        </is>
      </c>
      <c r="C474" s="7" t="inlineStr">
        <is>
          <t>Armament@1</t>
        </is>
      </c>
      <c r="L474" s="6" t="n">
        <v>6000</v>
      </c>
      <c r="M474" s="6" t="n">
        <v>8</v>
      </c>
      <c r="N474" s="6" t="n">
        <v>1</v>
      </c>
      <c r="O474" s="6" t="n"/>
      <c r="P474" s="6" t="n">
        <v>8212</v>
      </c>
      <c r="Q474" s="6" t="n">
        <v>1.25</v>
      </c>
      <c r="R474">
        <f>M474+IF(N474&gt;1,N(O474)*(N474-1),0)</f>
        <v/>
      </c>
      <c r="S474">
        <f>IFERROR(L474*MAX(N474,1)/R474*IF(ISBLANK(K473),1,K473),0)</f>
        <v/>
      </c>
      <c r="AB474" s="7" t="inlineStr">
        <is>
          <t>^Warhead_Inferno_Heavy</t>
        </is>
      </c>
    </row>
    <row r="475">
      <c r="B475" s="7" t="inlineStr">
        <is>
          <t xml:space="preserve">  ↳ HeatRayBeam2</t>
        </is>
      </c>
      <c r="C475" s="7" t="inlineStr">
        <is>
          <t>Armament@2</t>
        </is>
      </c>
      <c r="L475" s="6" t="n">
        <v>6000</v>
      </c>
      <c r="M475" s="6" t="n">
        <v>8</v>
      </c>
      <c r="N475" s="6" t="n">
        <v>1</v>
      </c>
      <c r="O475" s="6" t="n"/>
      <c r="P475" s="6" t="n">
        <v>8212</v>
      </c>
      <c r="Q475" s="6" t="n">
        <v>1.25</v>
      </c>
      <c r="R475">
        <f>M475+IF(N475&gt;1,N(O475)*(N475-1),0)</f>
        <v/>
      </c>
      <c r="S475">
        <f>IFERROR(L475*MAX(N475,1)/R475*IF(ISBLANK(K473),1,K473),0)</f>
        <v/>
      </c>
      <c r="AB475" s="7" t="inlineStr">
        <is>
          <t>^Warhead_Inferno_Heavy</t>
        </is>
      </c>
    </row>
    <row r="476">
      <c r="B476" s="7" t="inlineStr">
        <is>
          <t xml:space="preserve">  ↳ HeatRayBeam3</t>
        </is>
      </c>
      <c r="C476" s="7" t="inlineStr">
        <is>
          <t>Armament@3</t>
        </is>
      </c>
      <c r="L476" s="6" t="n">
        <v>6000</v>
      </c>
      <c r="M476" s="6" t="n">
        <v>8</v>
      </c>
      <c r="N476" s="6" t="n">
        <v>1</v>
      </c>
      <c r="O476" s="6" t="n"/>
      <c r="P476" s="6" t="n">
        <v>8212</v>
      </c>
      <c r="Q476" s="6" t="n">
        <v>1.25</v>
      </c>
      <c r="R476">
        <f>M476+IF(N476&gt;1,N(O476)*(N476-1),0)</f>
        <v/>
      </c>
      <c r="S476">
        <f>IFERROR(L476*MAX(N476,1)/R476*IF(ISBLANK(K473),1,K473),0)</f>
        <v/>
      </c>
      <c r="AB476" s="7" t="inlineStr">
        <is>
          <t>^Warhead_Inferno_Heavy</t>
        </is>
      </c>
    </row>
    <row r="477">
      <c r="B477" s="7" t="inlineStr">
        <is>
          <t xml:space="preserve">  ↳ HeatRayBeam4</t>
        </is>
      </c>
      <c r="C477" s="7" t="inlineStr">
        <is>
          <t>Armament@4</t>
        </is>
      </c>
      <c r="L477" s="6" t="n">
        <v>6000</v>
      </c>
      <c r="M477" s="6" t="n">
        <v>8</v>
      </c>
      <c r="N477" s="6" t="n">
        <v>1</v>
      </c>
      <c r="O477" s="6" t="n"/>
      <c r="P477" s="6" t="n">
        <v>8212</v>
      </c>
      <c r="Q477" s="6" t="n">
        <v>1.25</v>
      </c>
      <c r="R477">
        <f>M477+IF(N477&gt;1,N(O477)*(N477-1),0)</f>
        <v/>
      </c>
      <c r="S477">
        <f>IFERROR(L477*MAX(N477,1)/R477*IF(ISBLANK(K473),1,K473),0)</f>
        <v/>
      </c>
      <c r="AB477" s="7" t="inlineStr">
        <is>
          <t>^Warhead_Inferno_Heavy</t>
        </is>
      </c>
    </row>
    <row r="478">
      <c r="A478" t="inlineStr">
        <is>
          <t>redalert</t>
        </is>
      </c>
      <c r="B478" t="inlineStr">
        <is>
          <t>ra1_soviets_teslatank</t>
        </is>
      </c>
      <c r="C478" t="inlineStr">
        <is>
          <t>Tesla Tank</t>
        </is>
      </c>
      <c r="D478" s="6" t="inlineStr">
        <is>
          <t>FireSupport</t>
        </is>
      </c>
      <c r="E478" s="6" t="n">
        <v>40000</v>
      </c>
      <c r="F478" s="6" t="n">
        <v>80</v>
      </c>
      <c r="G478" t="inlineStr">
        <is>
          <t>Light</t>
        </is>
      </c>
      <c r="H478" s="6" t="n">
        <v>0.7020999999999999</v>
      </c>
      <c r="I478" s="6" t="n">
        <v>1</v>
      </c>
      <c r="J478" s="6" t="n">
        <v>1</v>
      </c>
      <c r="K478" s="6" t="n"/>
      <c r="P478">
        <f>MAX(P479,P480,P481)</f>
        <v/>
      </c>
      <c r="S478">
        <f>S479+S480+S481</f>
        <v/>
      </c>
      <c r="T478">
        <f>(E478/100000+F478/100+(P478/1000)*J478/5+S478/200)*200*I478*H478</f>
        <v/>
      </c>
      <c r="U478">
        <f>((E478*F478/25000)+((P478/1000)*J478*S478/2.5))*I478*H478</f>
        <v/>
      </c>
      <c r="V478">
        <f>(E478*F478*(P478/1000)*J478*S478*I478*H478)/12500000</f>
        <v/>
      </c>
      <c r="W478">
        <f>(((E478/120000)+(F478/90)+(S478/2100)+((P478/10000)*J478))*1400/4+(((E478/120000)*(F478/90))+(((P478/10000)*J478)*(S478/2100)))*1400/2+((E478/120000)*(F478/90)*((P478/10000)*J478)*(S478/2100))*1400)*(H478/0.6735)/3</f>
        <v/>
      </c>
      <c r="X478" s="6" t="n">
        <v>1700</v>
      </c>
      <c r="Y478">
        <f>IFERROR(W478-X478,"")</f>
        <v/>
      </c>
      <c r="Z478">
        <f>IFERROR(ABS(Y478)/MAX(X478,1),"")</f>
        <v/>
      </c>
      <c r="AA478">
        <f>IFERROR(ROUND(((3*X478-(((E478/120000)+(F478/90)+(S478/2100))*1400/4+((E478/120000)*(F478/90))*1400/2)*(H478/0.6735))/(1400/4+((S478/2100))*1400/2+((E478/120000)*(F478/90)*(S478/2100))*1400)*(H478/0.6735)*10000)/J478,-1),"")</f>
        <v/>
      </c>
    </row>
    <row r="479">
      <c r="B479" s="7" t="inlineStr">
        <is>
          <t xml:space="preserve">  ↳ TTankZap</t>
        </is>
      </c>
      <c r="C479" s="7" t="inlineStr">
        <is>
          <t>Armament</t>
        </is>
      </c>
      <c r="L479" s="6" t="n">
        <v>40000</v>
      </c>
      <c r="M479" s="6" t="n">
        <v>80</v>
      </c>
      <c r="N479" s="6" t="n">
        <v>1</v>
      </c>
      <c r="O479" s="6" t="n"/>
      <c r="P479" s="6" t="n">
        <v>7300</v>
      </c>
      <c r="Q479" s="6" t="n">
        <v>1.25</v>
      </c>
      <c r="R479">
        <f>M479+IF(N479&gt;1,N(O479)*(N479-1),0)</f>
        <v/>
      </c>
      <c r="S479">
        <f>IFERROR(L479*MAX(N479,1)/R479*IF(ISBLANK(K478),1,K478),0)</f>
        <v/>
      </c>
      <c r="AB479" s="7" t="inlineStr">
        <is>
          <t>^Warhead_Tesla_Heavy</t>
        </is>
      </c>
    </row>
    <row r="480">
      <c r="B480" s="7" t="inlineStr">
        <is>
          <t xml:space="preserve">  ↳ TTankZap_EMP</t>
        </is>
      </c>
      <c r="C480" s="7" t="inlineStr">
        <is>
          <t>Armament@Upgrade1</t>
        </is>
      </c>
      <c r="L480" s="6" t="n">
        <v>40000</v>
      </c>
      <c r="M480" s="6" t="n">
        <v>80</v>
      </c>
      <c r="N480" s="6" t="n">
        <v>1</v>
      </c>
      <c r="O480" s="6" t="n"/>
      <c r="P480" s="6" t="n">
        <v>7300</v>
      </c>
      <c r="Q480" s="6" t="n">
        <v>1.25</v>
      </c>
      <c r="R480">
        <f>M480+IF(N480&gt;1,N(O480)*(N480-1),0)</f>
        <v/>
      </c>
      <c r="S480">
        <f>IFERROR(L480*MAX(N480,1)/R480*IF(ISBLANK(K478),1,K478),0)</f>
        <v/>
      </c>
      <c r="AB480" s="7" t="inlineStr">
        <is>
          <t>^Warhead_Tesla_Heavy</t>
        </is>
      </c>
    </row>
    <row r="481">
      <c r="B481" s="7" t="inlineStr">
        <is>
          <t xml:space="preserve">  ↳ TTankZapArc_EMP</t>
        </is>
      </c>
      <c r="C481" s="7" t="inlineStr">
        <is>
          <t>Armament@Upgrade2</t>
        </is>
      </c>
      <c r="L481" s="6" t="n">
        <v>40000</v>
      </c>
      <c r="M481" s="6" t="n">
        <v>80</v>
      </c>
      <c r="N481" s="6" t="n">
        <v>1</v>
      </c>
      <c r="O481" s="6" t="n"/>
      <c r="P481" s="6" t="n">
        <v>7300</v>
      </c>
      <c r="Q481" s="6" t="n">
        <v>1.25</v>
      </c>
      <c r="R481">
        <f>M481+IF(N481&gt;1,N(O481)*(N481-1),0)</f>
        <v/>
      </c>
      <c r="S481">
        <f>IFERROR(L481*MAX(N481,1)/R481*IF(ISBLANK(K478),1,K478),0)</f>
        <v/>
      </c>
      <c r="AB481" s="7" t="inlineStr">
        <is>
          <t>^Warhead_Tesla_Heavy</t>
        </is>
      </c>
    </row>
    <row r="482">
      <c r="A482" t="inlineStr">
        <is>
          <t>tiberiansun</t>
        </is>
      </c>
      <c r="B482" t="inlineStr">
        <is>
          <t>cabal_laserspider</t>
        </is>
      </c>
      <c r="C482" t="inlineStr">
        <is>
          <t>Laser Spider</t>
        </is>
      </c>
      <c r="D482" s="6" t="inlineStr">
        <is>
          <t>FireSupport</t>
        </is>
      </c>
      <c r="E482" s="6" t="n">
        <v>40000</v>
      </c>
      <c r="F482" s="6" t="n">
        <v>70</v>
      </c>
      <c r="G482" t="inlineStr">
        <is>
          <t>Light</t>
        </is>
      </c>
      <c r="H482" s="6" t="n">
        <v>1</v>
      </c>
      <c r="I482" s="6" t="n">
        <v>1</v>
      </c>
      <c r="J482" s="6" t="n">
        <v>1</v>
      </c>
      <c r="K482" s="6" t="n"/>
      <c r="P482">
        <f>MAX(P483)</f>
        <v/>
      </c>
      <c r="S482">
        <f>S483</f>
        <v/>
      </c>
      <c r="T482">
        <f>(E482/100000+F482/100+(P482/1000)*J482/5+S482/200)*200*I482*H482</f>
        <v/>
      </c>
      <c r="U482">
        <f>((E482*F482/25000)+((P482/1000)*J482*S482/2.5))*I482*H482</f>
        <v/>
      </c>
      <c r="V482">
        <f>(E482*F482*(P482/1000)*J482*S482*I482*H482)/12500000</f>
        <v/>
      </c>
      <c r="W482">
        <f>(((E482/120000)+(F482/90)+(S482/2100)+((P482/10000)*J482))*1400/4+(((E482/120000)*(F482/90))+(((P482/10000)*J482)*(S482/2100)))*1400/2+((E482/120000)*(F482/90)*((P482/10000)*J482)*(S482/2100))*1400)*(H482/0.6735)/3</f>
        <v/>
      </c>
      <c r="X482" s="6" t="n">
        <v>1200</v>
      </c>
      <c r="Y482">
        <f>IFERROR(W482-X482,"")</f>
        <v/>
      </c>
      <c r="Z482">
        <f>IFERROR(ABS(Y482)/MAX(X482,1),"")</f>
        <v/>
      </c>
      <c r="AA482">
        <f>IFERROR(ROUND(((3*X482-(((E482/120000)+(F482/90)+(S482/2100))*1400/4+((E482/120000)*(F482/90))*1400/2)*(H482/0.6735))/(1400/4+((S482/2100))*1400/2+((E482/120000)*(F482/90)*(S482/2100))*1400)*(H482/0.6735)*10000)/J482,-1),"")</f>
        <v/>
      </c>
    </row>
    <row r="483">
      <c r="B483" s="7" t="inlineStr">
        <is>
          <t xml:space="preserve">  ↳ CabalSpiderLaser</t>
        </is>
      </c>
      <c r="C483" s="7" t="inlineStr">
        <is>
          <t>Armament@PRIMARY</t>
        </is>
      </c>
      <c r="L483" s="6" t="n">
        <v>44000</v>
      </c>
      <c r="M483" s="6" t="n">
        <v>90</v>
      </c>
      <c r="N483" s="6" t="n">
        <v>1</v>
      </c>
      <c r="O483" s="6" t="n"/>
      <c r="P483" s="6" t="n">
        <v>6147</v>
      </c>
      <c r="Q483" s="6" t="n">
        <v>1.25</v>
      </c>
      <c r="R483">
        <f>M483+IF(N483&gt;1,N(O483)*(N483-1),0)</f>
        <v/>
      </c>
      <c r="S483">
        <f>IFERROR(L483*MAX(N483,1)/R483*IF(ISBLANK(K482),1,K482),0)</f>
        <v/>
      </c>
      <c r="AB483" s="7" t="inlineStr">
        <is>
          <t>^Warhead_Laser_Heavy</t>
        </is>
      </c>
    </row>
    <row r="484">
      <c r="A484" t="inlineStr">
        <is>
          <t>tiberiansun</t>
        </is>
      </c>
      <c r="B484" t="inlineStr">
        <is>
          <t>cabal_mantis</t>
        </is>
      </c>
      <c r="C484" t="inlineStr">
        <is>
          <t>Mantis</t>
        </is>
      </c>
      <c r="D484" s="6" t="inlineStr">
        <is>
          <t>FireSupport</t>
        </is>
      </c>
      <c r="E484" s="6" t="n">
        <v>35000</v>
      </c>
      <c r="F484" s="6" t="n">
        <v>120</v>
      </c>
      <c r="G484" t="inlineStr">
        <is>
          <t>Light</t>
        </is>
      </c>
      <c r="H484" s="6" t="n">
        <v>1</v>
      </c>
      <c r="I484" s="6" t="n">
        <v>1</v>
      </c>
      <c r="J484" s="6" t="n">
        <v>1</v>
      </c>
      <c r="K484" s="6" t="n"/>
      <c r="P484">
        <f>MAX(P485)</f>
        <v/>
      </c>
      <c r="S484">
        <f>S485</f>
        <v/>
      </c>
      <c r="T484">
        <f>(E484/100000+F484/100+(P484/1000)*J484/5+S484/200)*200*I484*H484</f>
        <v/>
      </c>
      <c r="U484">
        <f>((E484*F484/25000)+((P484/1000)*J484*S484/2.5))*I484*H484</f>
        <v/>
      </c>
      <c r="V484">
        <f>(E484*F484*(P484/1000)*J484*S484*I484*H484)/12500000</f>
        <v/>
      </c>
      <c r="W484">
        <f>(((E484/120000)+(F484/90)+(S484/2100)+((P484/10000)*J484))*1400/4+(((E484/120000)*(F484/90))+(((P484/10000)*J484)*(S484/2100)))*1400/2+((E484/120000)*(F484/90)*((P484/10000)*J484)*(S484/2100))*1400)*(H484/0.6735)/3</f>
        <v/>
      </c>
      <c r="X484" s="6" t="n">
        <v>500</v>
      </c>
      <c r="Y484">
        <f>IFERROR(W484-X484,"")</f>
        <v/>
      </c>
      <c r="Z484">
        <f>IFERROR(ABS(Y484)/MAX(X484,1),"")</f>
        <v/>
      </c>
      <c r="AA484">
        <f>IFERROR(ROUND(((3*X484-(((E484/120000)+(F484/90)+(S484/2100))*1400/4+((E484/120000)*(F484/90))*1400/2)*(H484/0.6735))/(1400/4+((S484/2100))*1400/2+((E484/120000)*(F484/90)*(S484/2100))*1400)*(H484/0.6735)*10000)/J484,-1),"")</f>
        <v/>
      </c>
    </row>
    <row r="485">
      <c r="B485" s="7" t="inlineStr">
        <is>
          <t xml:space="preserve">  ↳ CabalMantisGun</t>
        </is>
      </c>
      <c r="C485" s="7" t="inlineStr">
        <is>
          <t>Armament@PRIMARY</t>
        </is>
      </c>
      <c r="L485" s="6" t="n">
        <v>12000</v>
      </c>
      <c r="M485" s="6" t="n">
        <v>40</v>
      </c>
      <c r="N485" s="6" t="n">
        <v>1</v>
      </c>
      <c r="O485" s="6" t="n"/>
      <c r="P485" s="6" t="n">
        <v>7082</v>
      </c>
      <c r="Q485" s="6" t="n">
        <v>1</v>
      </c>
      <c r="R485">
        <f>M485+IF(N485&gt;1,N(O485)*(N485-1),0)</f>
        <v/>
      </c>
      <c r="S485">
        <f>IFERROR(L485*MAX(N485,1)/R485*IF(ISBLANK(K484),1,K484),0)</f>
        <v/>
      </c>
      <c r="AB485" s="7" t="inlineStr">
        <is>
          <t>^Warhead_Bullet_Light, ^Warhead_Laser_Heavy</t>
        </is>
      </c>
    </row>
    <row r="486">
      <c r="A486" t="inlineStr">
        <is>
          <t>tiberiansun</t>
        </is>
      </c>
      <c r="B486" t="inlineStr">
        <is>
          <t>cabal_spidercnc4</t>
        </is>
      </c>
      <c r="C486" t="inlineStr">
        <is>
          <t>Spider CNC4</t>
        </is>
      </c>
      <c r="D486" s="6" t="inlineStr">
        <is>
          <t>FireSupport</t>
        </is>
      </c>
      <c r="E486" s="6" t="n">
        <v>40000</v>
      </c>
      <c r="F486" s="6" t="n">
        <v>70</v>
      </c>
      <c r="G486" t="inlineStr">
        <is>
          <t>Light</t>
        </is>
      </c>
      <c r="H486" s="6" t="n">
        <v>1</v>
      </c>
      <c r="I486" s="6" t="n">
        <v>1</v>
      </c>
      <c r="J486" s="6" t="n">
        <v>1</v>
      </c>
      <c r="K486" s="6" t="n"/>
      <c r="P486">
        <f>MAX(P487)</f>
        <v/>
      </c>
      <c r="S486">
        <f>S487</f>
        <v/>
      </c>
      <c r="T486">
        <f>(E486/100000+F486/100+(P486/1000)*J486/5+S486/200)*200*I486*H486</f>
        <v/>
      </c>
      <c r="U486">
        <f>((E486*F486/25000)+((P486/1000)*J486*S486/2.5))*I486*H486</f>
        <v/>
      </c>
      <c r="V486">
        <f>(E486*F486*(P486/1000)*J486*S486*I486*H486)/12500000</f>
        <v/>
      </c>
      <c r="W486">
        <f>(((E486/120000)+(F486/90)+(S486/2100)+((P486/10000)*J486))*1400/4+(((E486/120000)*(F486/90))+(((P486/10000)*J486)*(S486/2100)))*1400/2+((E486/120000)*(F486/90)*((P486/10000)*J486)*(S486/2100))*1400)*(H486/0.6735)/3</f>
        <v/>
      </c>
      <c r="X486" s="6" t="n">
        <v>1500</v>
      </c>
      <c r="Y486">
        <f>IFERROR(W486-X486,"")</f>
        <v/>
      </c>
      <c r="Z486">
        <f>IFERROR(ABS(Y486)/MAX(X486,1),"")</f>
        <v/>
      </c>
      <c r="AA486">
        <f>IFERROR(ROUND(((3*X486-(((E486/120000)+(F486/90)+(S486/2100))*1400/4+((E486/120000)*(F486/90))*1400/2)*(H486/0.6735))/(1400/4+((S486/2100))*1400/2+((E486/120000)*(F486/90)*(S486/2100))*1400)*(H486/0.6735)*10000)/J486,-1),"")</f>
        <v/>
      </c>
    </row>
    <row r="487">
      <c r="B487" s="7" t="inlineStr">
        <is>
          <t xml:space="preserve">  ↳ CabalSpiderCnc4Laser</t>
        </is>
      </c>
      <c r="C487" s="7" t="inlineStr">
        <is>
          <t>Armament@PRIMARY</t>
        </is>
      </c>
      <c r="L487" s="6" t="n">
        <v>44000</v>
      </c>
      <c r="M487" s="6" t="n">
        <v>80</v>
      </c>
      <c r="N487" s="6" t="n">
        <v>1</v>
      </c>
      <c r="O487" s="6" t="n"/>
      <c r="P487" s="6" t="n">
        <v>7000</v>
      </c>
      <c r="Q487" s="6" t="n">
        <v>1.25</v>
      </c>
      <c r="R487">
        <f>M487+IF(N487&gt;1,N(O487)*(N487-1),0)</f>
        <v/>
      </c>
      <c r="S487">
        <f>IFERROR(L487*MAX(N487,1)/R487*IF(ISBLANK(K486),1,K486),0)</f>
        <v/>
      </c>
      <c r="AB487" s="7" t="inlineStr">
        <is>
          <t>^Warhead_Laser_Heavy</t>
        </is>
      </c>
    </row>
    <row r="488">
      <c r="A488" t="inlineStr">
        <is>
          <t>tiberiansun</t>
        </is>
      </c>
      <c r="B488" t="inlineStr">
        <is>
          <t>ts_gdi_wolverine</t>
        </is>
      </c>
      <c r="C488" t="inlineStr">
        <is>
          <t>Wolverine</t>
        </is>
      </c>
      <c r="D488" s="6" t="inlineStr">
        <is>
          <t>FireSupport</t>
        </is>
      </c>
      <c r="E488" s="6" t="n">
        <v>30000</v>
      </c>
      <c r="F488" s="6" t="n">
        <v>80</v>
      </c>
      <c r="G488" t="inlineStr">
        <is>
          <t>Light</t>
        </is>
      </c>
      <c r="H488" s="6" t="n">
        <v>1</v>
      </c>
      <c r="I488" s="6" t="n">
        <v>1</v>
      </c>
      <c r="J488" s="6" t="n">
        <v>1</v>
      </c>
      <c r="K488" s="6" t="n"/>
      <c r="P488">
        <f>MAX(P489,P490)</f>
        <v/>
      </c>
      <c r="S488">
        <f>S489+S490</f>
        <v/>
      </c>
      <c r="T488">
        <f>(E488/100000+F488/100+(P488/1000)*J488/5+S488/200)*200*I488*H488</f>
        <v/>
      </c>
      <c r="U488">
        <f>((E488*F488/25000)+((P488/1000)*J488*S488/2.5))*I488*H488</f>
        <v/>
      </c>
      <c r="V488">
        <f>(E488*F488*(P488/1000)*J488*S488*I488*H488)/12500000</f>
        <v/>
      </c>
      <c r="W488">
        <f>(((E488/120000)+(F488/90)+(S488/2100)+((P488/10000)*J488))*1400/4+(((E488/120000)*(F488/90))+(((P488/10000)*J488)*(S488/2100)))*1400/2+((E488/120000)*(F488/90)*((P488/10000)*J488)*(S488/2100))*1400)*(H488/0.6735)/3</f>
        <v/>
      </c>
      <c r="X488" s="6" t="n">
        <v>550</v>
      </c>
      <c r="Y488">
        <f>IFERROR(W488-X488,"")</f>
        <v/>
      </c>
      <c r="Z488">
        <f>IFERROR(ABS(Y488)/MAX(X488,1),"")</f>
        <v/>
      </c>
      <c r="AA488">
        <f>IFERROR(ROUND(((3*X488-(((E488/120000)+(F488/90)+(S488/2100))*1400/4+((E488/120000)*(F488/90))*1400/2)*(H488/0.6735))/(1400/4+((S488/2100))*1400/2+((E488/120000)*(F488/90)*(S488/2100))*1400)*(H488/0.6735)*10000)/J488,-1),"")</f>
        <v/>
      </c>
    </row>
    <row r="489">
      <c r="B489" s="7" t="inlineStr">
        <is>
          <t xml:space="preserve">  ↳ TSAssaultCannon</t>
        </is>
      </c>
      <c r="C489" s="7" t="inlineStr">
        <is>
          <t>Armament@PRIMARY</t>
        </is>
      </c>
      <c r="L489" s="6" t="n">
        <v>4000</v>
      </c>
      <c r="M489" s="6" t="n">
        <v>33</v>
      </c>
      <c r="N489" s="6" t="n">
        <v>2</v>
      </c>
      <c r="O489" s="6" t="n">
        <v>2</v>
      </c>
      <c r="P489" s="6" t="n">
        <v>6305</v>
      </c>
      <c r="Q489" s="6" t="n">
        <v>1</v>
      </c>
      <c r="R489">
        <f>M489+IF(N489&gt;1,N(O489)*(N489-1),0)</f>
        <v/>
      </c>
      <c r="S489">
        <f>IFERROR(L489*MAX(N489,1)/R489*IF(ISBLANK(K488),1,K488),0)</f>
        <v/>
      </c>
      <c r="AB489" s="7" t="inlineStr">
        <is>
          <t>^Warhead_Flak_Medium, ^Warhead_Bullet_Medium</t>
        </is>
      </c>
    </row>
    <row r="490">
      <c r="B490" s="7" t="inlineStr">
        <is>
          <t xml:space="preserve">  ↳ TSAssaultCannonSonic</t>
        </is>
      </c>
      <c r="C490" s="7" t="inlineStr">
        <is>
          <t>Armament@Upgrade</t>
        </is>
      </c>
      <c r="L490" s="6" t="n">
        <v>8000</v>
      </c>
      <c r="M490" s="6" t="n">
        <v>45</v>
      </c>
      <c r="N490" s="6" t="n">
        <v>2</v>
      </c>
      <c r="O490" s="6" t="n">
        <v>2</v>
      </c>
      <c r="P490" s="6" t="n">
        <v>6305</v>
      </c>
      <c r="Q490" s="6" t="n">
        <v>1</v>
      </c>
      <c r="R490">
        <f>M490+IF(N490&gt;1,N(O490)*(N490-1),0)</f>
        <v/>
      </c>
      <c r="S490">
        <f>IFERROR(L490*MAX(N490,1)/R490*IF(ISBLANK(K488),1,K488),0)</f>
        <v/>
      </c>
      <c r="AB490" s="7" t="inlineStr">
        <is>
          <t>^Warhead_Flak_Medium, ^Warhead_Sonic_Medium</t>
        </is>
      </c>
    </row>
    <row r="491">
      <c r="A491" t="inlineStr">
        <is>
          <t>tiberiansun</t>
        </is>
      </c>
      <c r="B491" t="inlineStr">
        <is>
          <t>ts_gdi_wolverinemkii</t>
        </is>
      </c>
      <c r="C491" t="inlineStr">
        <is>
          <t>Wolverine MK II</t>
        </is>
      </c>
      <c r="D491" s="6" t="inlineStr">
        <is>
          <t>FireSupport</t>
        </is>
      </c>
      <c r="E491" s="6" t="n">
        <v>50000</v>
      </c>
      <c r="F491" s="6" t="n">
        <v>80</v>
      </c>
      <c r="G491" t="inlineStr">
        <is>
          <t>Light</t>
        </is>
      </c>
      <c r="H491" s="6" t="n">
        <v>1</v>
      </c>
      <c r="I491" s="6" t="n">
        <v>1</v>
      </c>
      <c r="J491" s="6" t="n">
        <v>1</v>
      </c>
      <c r="K491" s="6" t="n"/>
      <c r="P491">
        <f>MAX(P492,P493)</f>
        <v/>
      </c>
      <c r="S491">
        <f>S492+S493</f>
        <v/>
      </c>
      <c r="T491">
        <f>(E491/100000+F491/100+(P491/1000)*J491/5+S491/200)*200*I491*H491</f>
        <v/>
      </c>
      <c r="U491">
        <f>((E491*F491/25000)+((P491/1000)*J491*S491/2.5))*I491*H491</f>
        <v/>
      </c>
      <c r="V491">
        <f>(E491*F491*(P491/1000)*J491*S491*I491*H491)/12500000</f>
        <v/>
      </c>
      <c r="W491">
        <f>(((E491/120000)+(F491/90)+(S491/2100)+((P491/10000)*J491))*1400/4+(((E491/120000)*(F491/90))+(((P491/10000)*J491)*(S491/2100)))*1400/2+((E491/120000)*(F491/90)*((P491/10000)*J491)*(S491/2100))*1400)*(H491/0.6735)/3</f>
        <v/>
      </c>
      <c r="X491" s="6" t="n">
        <v>950</v>
      </c>
      <c r="Y491">
        <f>IFERROR(W491-X491,"")</f>
        <v/>
      </c>
      <c r="Z491">
        <f>IFERROR(ABS(Y491)/MAX(X491,1),"")</f>
        <v/>
      </c>
      <c r="AA491">
        <f>IFERROR(ROUND(((3*X491-(((E491/120000)+(F491/90)+(S491/2100))*1400/4+((E491/120000)*(F491/90))*1400/2)*(H491/0.6735))/(1400/4+((S491/2100))*1400/2+((E491/120000)*(F491/90)*(S491/2100))*1400)*(H491/0.6735)*10000)/J491,-1),"")</f>
        <v/>
      </c>
    </row>
    <row r="492">
      <c r="B492" s="7" t="inlineStr">
        <is>
          <t xml:space="preserve">  ↳ TSAssaultCannonTal</t>
        </is>
      </c>
      <c r="C492" s="7" t="inlineStr">
        <is>
          <t>Armament@PRIMARY</t>
        </is>
      </c>
      <c r="L492" s="6" t="n">
        <v>8000</v>
      </c>
      <c r="M492" s="6" t="n">
        <v>40</v>
      </c>
      <c r="N492" s="6" t="n">
        <v>2</v>
      </c>
      <c r="O492" s="6" t="n">
        <v>2</v>
      </c>
      <c r="P492" s="6" t="n">
        <v>6520</v>
      </c>
      <c r="Q492" s="6" t="n">
        <v>1</v>
      </c>
      <c r="R492">
        <f>M492+IF(N492&gt;1,N(O492)*(N492-1),0)</f>
        <v/>
      </c>
      <c r="S492">
        <f>IFERROR(L492*MAX(N492,1)/R492*IF(ISBLANK(K491),1,K491),0)</f>
        <v/>
      </c>
      <c r="AB492" s="7" t="inlineStr">
        <is>
          <t>^Warhead_Bullet_Medium</t>
        </is>
      </c>
    </row>
    <row r="493">
      <c r="B493" s="7" t="inlineStr">
        <is>
          <t xml:space="preserve">  ↳ TSAssaultCannonTalSonic</t>
        </is>
      </c>
      <c r="C493" s="7" t="inlineStr">
        <is>
          <t>Armament@Upgrade</t>
        </is>
      </c>
      <c r="L493" s="6" t="n">
        <v>16000</v>
      </c>
      <c r="M493" s="6" t="n">
        <v>45</v>
      </c>
      <c r="N493" s="6" t="n">
        <v>2</v>
      </c>
      <c r="O493" s="6" t="n">
        <v>2</v>
      </c>
      <c r="P493" s="6" t="n">
        <v>5120</v>
      </c>
      <c r="Q493" s="6" t="n">
        <v>1</v>
      </c>
      <c r="R493">
        <f>M493+IF(N493&gt;1,N(O493)*(N493-1),0)</f>
        <v/>
      </c>
      <c r="S493">
        <f>IFERROR(L493*MAX(N493,1)/R493*IF(ISBLANK(K491),1,K491),0)</f>
        <v/>
      </c>
      <c r="AB493" s="7" t="inlineStr">
        <is>
          <t>^Warhead_Bullet_Medium, ^Warhead_Sonic_Medium</t>
        </is>
      </c>
    </row>
    <row r="494">
      <c r="A494" t="inlineStr">
        <is>
          <t>tiberiansun</t>
        </is>
      </c>
      <c r="B494" t="inlineStr">
        <is>
          <t>forgotten_tankkiller</t>
        </is>
      </c>
      <c r="C494" t="inlineStr">
        <is>
          <t>actor_forgotten_tankkiller.name</t>
        </is>
      </c>
      <c r="D494" s="6" t="inlineStr">
        <is>
          <t>FireSupport</t>
        </is>
      </c>
      <c r="E494" s="6" t="n">
        <v>85000</v>
      </c>
      <c r="F494" s="6" t="n">
        <v>65</v>
      </c>
      <c r="G494" t="inlineStr">
        <is>
          <t>Light</t>
        </is>
      </c>
      <c r="H494" s="6" t="n">
        <v>1</v>
      </c>
      <c r="I494" s="6" t="n">
        <v>1</v>
      </c>
      <c r="J494" s="6" t="n">
        <v>1</v>
      </c>
      <c r="K494" s="6" t="n"/>
      <c r="P494">
        <f>MAX(P495,P496)</f>
        <v/>
      </c>
      <c r="S494">
        <f>S495+S496</f>
        <v/>
      </c>
      <c r="T494">
        <f>(E494/100000+F494/100+(P494/1000)*J494/5+S494/200)*200*I494*H494</f>
        <v/>
      </c>
      <c r="U494">
        <f>((E494*F494/25000)+((P494/1000)*J494*S494/2.5))*I494*H494</f>
        <v/>
      </c>
      <c r="V494">
        <f>(E494*F494*(P494/1000)*J494*S494*I494*H494)/12500000</f>
        <v/>
      </c>
      <c r="W494">
        <f>(((E494/120000)+(F494/90)+(S494/2100)+((P494/10000)*J494))*1400/4+(((E494/120000)*(F494/90))+(((P494/10000)*J494)*(S494/2100)))*1400/2+((E494/120000)*(F494/90)*((P494/10000)*J494)*(S494/2100))*1400)*(H494/0.6735)/3</f>
        <v/>
      </c>
      <c r="X494" s="6" t="n">
        <v>900</v>
      </c>
      <c r="Y494">
        <f>IFERROR(W494-X494,"")</f>
        <v/>
      </c>
      <c r="Z494">
        <f>IFERROR(ABS(Y494)/MAX(X494,1),"")</f>
        <v/>
      </c>
      <c r="AA494">
        <f>IFERROR(ROUND(((3*X494-(((E494/120000)+(F494/90)+(S494/2100))*1400/4+((E494/120000)*(F494/90))*1400/2)*(H494/0.6735))/(1400/4+((S494/2100))*1400/2+((E494/120000)*(F494/90)*(S494/2100))*1400)*(H494/0.6735)*10000)/J494,-1),"")</f>
        <v/>
      </c>
    </row>
    <row r="495">
      <c r="B495" s="7" t="inlineStr">
        <is>
          <t xml:space="preserve">  ↳ TSHighVelocity</t>
        </is>
      </c>
      <c r="C495" s="7" t="inlineStr">
        <is>
          <t>Armament@PRIMARY</t>
        </is>
      </c>
      <c r="L495" s="6" t="n">
        <v>30000</v>
      </c>
      <c r="M495" s="6" t="n">
        <v>90</v>
      </c>
      <c r="N495" s="6" t="n">
        <v>1</v>
      </c>
      <c r="O495" s="6" t="n"/>
      <c r="P495" s="6" t="n">
        <v>7701</v>
      </c>
      <c r="Q495" s="6" t="n">
        <v>0.75</v>
      </c>
      <c r="R495">
        <f>M495+IF(N495&gt;1,N(O495)*(N495-1),0)</f>
        <v/>
      </c>
      <c r="S495">
        <f>IFERROR(L495*MAX(N495,1)/R495*IF(ISBLANK(K494),1,K494),0)</f>
        <v/>
      </c>
      <c r="AB495" s="7" t="inlineStr">
        <is>
          <t>^Warhead_CannonAP_Light</t>
        </is>
      </c>
    </row>
    <row r="496">
      <c r="B496" s="7" t="inlineStr">
        <is>
          <t xml:space="preserve">  ↳ TSHighVelocityChem</t>
        </is>
      </c>
      <c r="C496" s="7" t="inlineStr">
        <is>
          <t>Armament@UPGRADE</t>
        </is>
      </c>
      <c r="L496" s="6" t="n">
        <v>45000</v>
      </c>
      <c r="M496" s="6" t="n">
        <v>90</v>
      </c>
      <c r="N496" s="6" t="n">
        <v>1</v>
      </c>
      <c r="O496" s="6" t="n"/>
      <c r="P496" s="6" t="n">
        <v>7701</v>
      </c>
      <c r="Q496" s="6" t="n">
        <v>1</v>
      </c>
      <c r="R496">
        <f>M496+IF(N496&gt;1,N(O496)*(N496-1),0)</f>
        <v/>
      </c>
      <c r="S496">
        <f>IFERROR(L496*MAX(N496,1)/R496*IF(ISBLANK(K494),1,K494),0)</f>
        <v/>
      </c>
      <c r="AB496" s="7" t="inlineStr">
        <is>
          <t>^TSCannonEffect, ^LightChemicalWeapon, ^TankDestroyerCannon</t>
        </is>
      </c>
    </row>
    <row r="497">
      <c r="A497" t="inlineStr">
        <is>
          <t>tiberiansun</t>
        </is>
      </c>
      <c r="B497" t="inlineStr">
        <is>
          <t>forgotten_warriortank</t>
        </is>
      </c>
      <c r="C497" t="inlineStr">
        <is>
          <t>actor_forgotten_warriortank.name</t>
        </is>
      </c>
      <c r="D497" s="6" t="inlineStr">
        <is>
          <t>FireSupport</t>
        </is>
      </c>
      <c r="E497" s="6" t="n">
        <v>100000</v>
      </c>
      <c r="F497" s="6" t="n">
        <v>75</v>
      </c>
      <c r="G497" t="inlineStr">
        <is>
          <t>Light</t>
        </is>
      </c>
      <c r="H497" s="6" t="n">
        <v>0.7269</v>
      </c>
      <c r="I497" s="6" t="n">
        <v>1</v>
      </c>
      <c r="J497" s="6" t="n">
        <v>1</v>
      </c>
      <c r="K497" s="6" t="n"/>
      <c r="P497">
        <f>MAX(P498,P499)</f>
        <v/>
      </c>
      <c r="S497">
        <f>S498+S499</f>
        <v/>
      </c>
      <c r="T497">
        <f>(E497/100000+F497/100+(P497/1000)*J497/5+S497/200)*200*I497*H497</f>
        <v/>
      </c>
      <c r="U497">
        <f>((E497*F497/25000)+((P497/1000)*J497*S497/2.5))*I497*H497</f>
        <v/>
      </c>
      <c r="V497">
        <f>(E497*F497*(P497/1000)*J497*S497*I497*H497)/12500000</f>
        <v/>
      </c>
      <c r="W497">
        <f>(((E497/120000)+(F497/90)+(S497/2100)+((P497/10000)*J497))*1400/4+(((E497/120000)*(F497/90))+(((P497/10000)*J497)*(S497/2100)))*1400/2+((E497/120000)*(F497/90)*((P497/10000)*J497)*(S497/2100))*1400)*(H497/0.6735)/3</f>
        <v/>
      </c>
      <c r="X497" s="6" t="n">
        <v>2000</v>
      </c>
      <c r="Y497">
        <f>IFERROR(W497-X497,"")</f>
        <v/>
      </c>
      <c r="Z497">
        <f>IFERROR(ABS(Y497)/MAX(X497,1),"")</f>
        <v/>
      </c>
      <c r="AA497">
        <f>IFERROR(ROUND(((3*X497-(((E497/120000)+(F497/90)+(S497/2100))*1400/4+((E497/120000)*(F497/90))*1400/2)*(H497/0.6735))/(1400/4+((S497/2100))*1400/2+((E497/120000)*(F497/90)*(S497/2100))*1400)*(H497/0.6735)*10000)/J497,-1),"")</f>
        <v/>
      </c>
    </row>
    <row r="498">
      <c r="B498" s="7" t="inlineStr">
        <is>
          <t xml:space="preserve">  ↳ TSHighVelocity2</t>
        </is>
      </c>
      <c r="C498" s="7" t="inlineStr">
        <is>
          <t>Armament@PRIMARY</t>
        </is>
      </c>
      <c r="L498" s="6" t="n">
        <v>40000</v>
      </c>
      <c r="M498" s="6" t="n">
        <v>55</v>
      </c>
      <c r="N498" s="6" t="n">
        <v>1</v>
      </c>
      <c r="O498" s="6" t="n"/>
      <c r="P498" s="6" t="n">
        <v>8207</v>
      </c>
      <c r="Q498" s="6" t="n">
        <v>0.75</v>
      </c>
      <c r="R498">
        <f>M498+IF(N498&gt;1,N(O498)*(N498-1),0)</f>
        <v/>
      </c>
      <c r="S498">
        <f>IFERROR(L498*MAX(N498,1)/R498*IF(ISBLANK(K497),1,K497),0)</f>
        <v/>
      </c>
      <c r="AB498" s="7" t="inlineStr">
        <is>
          <t>^Warhead_CannonAP_Light</t>
        </is>
      </c>
    </row>
    <row r="499">
      <c r="B499" s="7" t="inlineStr">
        <is>
          <t xml:space="preserve">  ↳ TSHighVelocity2Chem</t>
        </is>
      </c>
      <c r="C499" s="7" t="inlineStr">
        <is>
          <t>Armament@UPGRADE</t>
        </is>
      </c>
      <c r="L499" s="6" t="n">
        <v>60000</v>
      </c>
      <c r="M499" s="6" t="n">
        <v>55</v>
      </c>
      <c r="N499" s="6" t="n">
        <v>1</v>
      </c>
      <c r="O499" s="6" t="n"/>
      <c r="P499" s="6" t="n">
        <v>8207</v>
      </c>
      <c r="Q499" s="6" t="n">
        <v>1</v>
      </c>
      <c r="R499">
        <f>M499+IF(N499&gt;1,N(O499)*(N499-1),0)</f>
        <v/>
      </c>
      <c r="S499">
        <f>IFERROR(L499*MAX(N499,1)/R499*IF(ISBLANK(K497),1,K497),0)</f>
        <v/>
      </c>
      <c r="AB499" s="7" t="inlineStr">
        <is>
          <t>^TSCannonEffect, ^LightChemicalWeapon, ^TankDestroyerCannon</t>
        </is>
      </c>
    </row>
    <row r="500">
      <c r="A500" t="inlineStr">
        <is>
          <t>redalert2</t>
        </is>
      </c>
      <c r="B500" t="inlineStr">
        <is>
          <t>ra2_allies_prismtank</t>
        </is>
      </c>
      <c r="C500" t="inlineStr">
        <is>
          <t>Prism Tank</t>
        </is>
      </c>
      <c r="D500" s="6" t="inlineStr">
        <is>
          <t>FireSupport</t>
        </is>
      </c>
      <c r="E500" s="6" t="n">
        <v>60000</v>
      </c>
      <c r="F500" s="6" t="n">
        <v>60</v>
      </c>
      <c r="G500" t="inlineStr">
        <is>
          <t>Light</t>
        </is>
      </c>
      <c r="H500" s="6" t="n">
        <v>1</v>
      </c>
      <c r="I500" s="6" t="n">
        <v>1</v>
      </c>
      <c r="J500" s="6" t="n">
        <v>1.25</v>
      </c>
      <c r="K500" s="6" t="n"/>
      <c r="P500">
        <f>MAX(P503,P504)</f>
        <v/>
      </c>
      <c r="S500">
        <f>S503+S504</f>
        <v/>
      </c>
      <c r="T500">
        <f>(E500/100000+F500/100+(P500/1000)*J500/5+S500/200)*200*I500*H500</f>
        <v/>
      </c>
      <c r="U500">
        <f>((E500*F500/25000)+((P500/1000)*J500*S500/2.5))*I500*H500</f>
        <v/>
      </c>
      <c r="V500">
        <f>(E500*F500*(P500/1000)*J500*S500*I500*H500)/12500000</f>
        <v/>
      </c>
      <c r="W500">
        <f>(((E500/120000)+(F500/90)+(S500/2100)+((P500/10000)*J500))*1400/4+(((E500/120000)*(F500/90))+(((P500/10000)*J500)*(S500/2100)))*1400/2+((E500/120000)*(F500/90)*((P500/10000)*J500)*(S500/2100))*1400)*(H500/0.6735)/3</f>
        <v/>
      </c>
      <c r="X500" s="6" t="n">
        <v>2000</v>
      </c>
      <c r="Y500">
        <f>IFERROR(W500-X500,"")</f>
        <v/>
      </c>
      <c r="Z500">
        <f>IFERROR(ABS(Y500)/MAX(X500,1),"")</f>
        <v/>
      </c>
      <c r="AA500">
        <f>IFERROR(ROUND(((3*X500-(((E500/120000)+(F500/90)+(S500/2100))*1400/4+((E500/120000)*(F500/90))*1400/2)*(H500/0.6735))/(1400/4+((S500/2100))*1400/2+((E500/120000)*(F500/90)*(S500/2100))*1400)*(H500/0.6735)*10000)/J500,-1),"")</f>
        <v/>
      </c>
    </row>
    <row r="501">
      <c r="B501" s="7" t="inlineStr">
        <is>
          <t xml:space="preserve">  ↳ PrismTankCharge</t>
        </is>
      </c>
      <c r="C501" s="7" t="inlineStr">
        <is>
          <t>Armament@Charge</t>
        </is>
      </c>
      <c r="L501" s="6" t="n"/>
      <c r="M501" s="6" t="n">
        <v>100</v>
      </c>
      <c r="N501" s="6" t="n">
        <v>1</v>
      </c>
      <c r="O501" s="6" t="n"/>
      <c r="P501" s="6" t="n">
        <v>10000</v>
      </c>
      <c r="Q501" s="6" t="n">
        <v>1</v>
      </c>
      <c r="R501">
        <f>M501+IF(N501&gt;1,N(O501)*(N501-1),0)</f>
        <v/>
      </c>
      <c r="S501">
        <f>IFERROR(L501*MAX(N501,1)/R501*IF(ISBLANK(K500),1,K500),0)</f>
        <v/>
      </c>
      <c r="AB501" s="7" t="inlineStr">
        <is>
          <t>PrismCharge</t>
        </is>
      </c>
    </row>
    <row r="502">
      <c r="B502" s="7" t="inlineStr">
        <is>
          <t xml:space="preserve">  ↳ PrismTankCharge_elite</t>
        </is>
      </c>
      <c r="C502" s="7" t="inlineStr">
        <is>
          <t>Armament@EliteCharge</t>
        </is>
      </c>
      <c r="L502" s="6" t="n"/>
      <c r="M502" s="6" t="n">
        <v>100</v>
      </c>
      <c r="N502" s="6" t="n">
        <v>1</v>
      </c>
      <c r="O502" s="6" t="n"/>
      <c r="P502" s="6" t="n">
        <v>11111</v>
      </c>
      <c r="Q502" s="6" t="n">
        <v>1</v>
      </c>
      <c r="R502">
        <f>M502+IF(N502&gt;1,N(O502)*(N502-1),0)</f>
        <v/>
      </c>
      <c r="S502">
        <f>IFERROR(L502*MAX(N502,1)/R502*IF(ISBLANK(K500),1,K500),0)</f>
        <v/>
      </c>
      <c r="AB502" s="7" t="inlineStr">
        <is>
          <t>PrismTankCharge</t>
        </is>
      </c>
    </row>
    <row r="503">
      <c r="B503" s="7" t="inlineStr">
        <is>
          <t xml:space="preserve">  ↳ RA2Comet</t>
        </is>
      </c>
      <c r="C503" s="7" t="inlineStr">
        <is>
          <t>Armament</t>
        </is>
      </c>
      <c r="L503" s="6" t="n">
        <v>60000</v>
      </c>
      <c r="M503" s="6" t="n">
        <v>125</v>
      </c>
      <c r="N503" s="6" t="n">
        <v>1</v>
      </c>
      <c r="O503" s="6" t="n"/>
      <c r="P503" s="6" t="n">
        <v>11111</v>
      </c>
      <c r="Q503" s="6" t="n">
        <v>1</v>
      </c>
      <c r="R503">
        <f>M503+IF(N503&gt;1,N(O503)*(N503-1),0)</f>
        <v/>
      </c>
      <c r="S503">
        <f>IFERROR(L503*MAX(N503,1)/R503*IF(ISBLANK(K500),1,K500),0)</f>
        <v/>
      </c>
      <c r="AB503" s="7" t="inlineStr">
        <is>
          <t>^Warhead_Demolition_Light, ^Warhead_Flame_Medium, ^Warhead_Laser_Heavy</t>
        </is>
      </c>
    </row>
    <row r="504">
      <c r="B504" s="7" t="inlineStr">
        <is>
          <t xml:space="preserve">  ↳ RA2Comet_elite</t>
        </is>
      </c>
      <c r="C504" s="7" t="inlineStr">
        <is>
          <t>Armament@elite</t>
        </is>
      </c>
      <c r="L504" s="6" t="n">
        <v>60000</v>
      </c>
      <c r="M504" s="6" t="n">
        <v>125</v>
      </c>
      <c r="N504" s="6" t="n">
        <v>1</v>
      </c>
      <c r="O504" s="6" t="n"/>
      <c r="P504" s="6" t="n">
        <v>12345</v>
      </c>
      <c r="Q504" s="6" t="n">
        <v>1</v>
      </c>
      <c r="R504">
        <f>M504+IF(N504&gt;1,N(O504)*(N504-1),0)</f>
        <v/>
      </c>
      <c r="S504">
        <f>IFERROR(L504*MAX(N504,1)/R504*IF(ISBLANK(K500),1,K500),0)</f>
        <v/>
      </c>
      <c r="AB504" s="7" t="inlineStr">
        <is>
          <t>^Warhead_Demolition_Light, ^Warhead_Flame_Medium, ^Warhead_Laser_Heavy</t>
        </is>
      </c>
    </row>
    <row r="505">
      <c r="A505" t="inlineStr">
        <is>
          <t>redalert2</t>
        </is>
      </c>
      <c r="B505" t="inlineStr">
        <is>
          <t>ra2_soviets_teslatank</t>
        </is>
      </c>
      <c r="C505" t="inlineStr">
        <is>
          <t>Tesla Tank</t>
        </is>
      </c>
      <c r="D505" s="6" t="inlineStr">
        <is>
          <t>FireSupport</t>
        </is>
      </c>
      <c r="E505" s="6" t="n">
        <v>75000</v>
      </c>
      <c r="F505" s="6" t="n">
        <v>75</v>
      </c>
      <c r="G505" t="inlineStr">
        <is>
          <t>Light</t>
        </is>
      </c>
      <c r="H505" s="6" t="n">
        <v>0.9322</v>
      </c>
      <c r="I505" s="6" t="n">
        <v>1</v>
      </c>
      <c r="J505" s="6" t="n">
        <v>1</v>
      </c>
      <c r="K505" s="6" t="n"/>
      <c r="P505">
        <f>MAX(P506,P507,P508)</f>
        <v/>
      </c>
      <c r="S505">
        <f>S506+S507+S508</f>
        <v/>
      </c>
      <c r="T505">
        <f>(E505/100000+F505/100+(P505/1000)*J505/5+S505/200)*200*I505*H505</f>
        <v/>
      </c>
      <c r="U505">
        <f>((E505*F505/25000)+((P505/1000)*J505*S505/2.5))*I505*H505</f>
        <v/>
      </c>
      <c r="V505">
        <f>(E505*F505*(P505/1000)*J505*S505*I505*H505)/12500000</f>
        <v/>
      </c>
      <c r="W505">
        <f>(((E505/120000)+(F505/90)+(S505/2100)+((P505/10000)*J505))*1400/4+(((E505/120000)*(F505/90))+(((P505/10000)*J505)*(S505/2100)))*1400/2+((E505/120000)*(F505/90)*((P505/10000)*J505)*(S505/2100))*1400)*(H505/0.6735)/3</f>
        <v/>
      </c>
      <c r="X505" s="6" t="n">
        <v>1800</v>
      </c>
      <c r="Y505">
        <f>IFERROR(W505-X505,"")</f>
        <v/>
      </c>
      <c r="Z505">
        <f>IFERROR(ABS(Y505)/MAX(X505,1),"")</f>
        <v/>
      </c>
      <c r="AA505">
        <f>IFERROR(ROUND(((3*X505-(((E505/120000)+(F505/90)+(S505/2100))*1400/4+((E505/120000)*(F505/90))*1400/2)*(H505/0.6735))/(1400/4+((S505/2100))*1400/2+((E505/120000)*(F505/90)*(S505/2100))*1400)*(H505/0.6735)*10000)/J505,-1),"")</f>
        <v/>
      </c>
    </row>
    <row r="506">
      <c r="B506" s="7" t="inlineStr">
        <is>
          <t xml:space="preserve">  ↳ RA2TankBolt</t>
        </is>
      </c>
      <c r="C506" s="7" t="inlineStr">
        <is>
          <t>Armament@PRIMARY</t>
        </is>
      </c>
      <c r="L506" s="6" t="n">
        <v>12000</v>
      </c>
      <c r="M506" s="6" t="n">
        <v>55</v>
      </c>
      <c r="N506" s="6" t="n">
        <v>2</v>
      </c>
      <c r="O506" s="6" t="n">
        <v>5</v>
      </c>
      <c r="P506" s="6" t="n">
        <v>7500</v>
      </c>
      <c r="Q506" s="6" t="n">
        <v>1.25</v>
      </c>
      <c r="R506">
        <f>M506+IF(N506&gt;1,N(O506)*(N506-1),0)</f>
        <v/>
      </c>
      <c r="S506">
        <f>IFERROR(L506*MAX(N506,1)/R506*IF(ISBLANK(K505),1,K505),0)</f>
        <v/>
      </c>
      <c r="AB506" s="7" t="inlineStr">
        <is>
          <t>^Warhead_Tesla_Heavy</t>
        </is>
      </c>
    </row>
    <row r="507">
      <c r="B507" s="7" t="inlineStr">
        <is>
          <t xml:space="preserve">  ↳ RA2TankBolt2</t>
        </is>
      </c>
      <c r="C507" s="7" t="inlineStr">
        <is>
          <t>Armament@PRIMARY2</t>
        </is>
      </c>
      <c r="L507" s="6" t="n">
        <v>12000</v>
      </c>
      <c r="M507" s="6" t="n">
        <v>55</v>
      </c>
      <c r="N507" s="6" t="n">
        <v>2</v>
      </c>
      <c r="O507" s="6" t="n">
        <v>5</v>
      </c>
      <c r="P507" s="6" t="n">
        <v>8000</v>
      </c>
      <c r="Q507" s="6" t="n">
        <v>1.25</v>
      </c>
      <c r="R507">
        <f>M507+IF(N507&gt;1,N(O507)*(N507-1),0)</f>
        <v/>
      </c>
      <c r="S507">
        <f>IFERROR(L507*MAX(N507,1)/R507*IF(ISBLANK(K505),1,K505),0)</f>
        <v/>
      </c>
      <c r="AB507" s="7" t="inlineStr">
        <is>
          <t>^Warhead_Tesla_Heavy</t>
        </is>
      </c>
    </row>
    <row r="508">
      <c r="B508" s="7" t="inlineStr">
        <is>
          <t xml:space="preserve">  ↳ RA2TankBolt3</t>
        </is>
      </c>
      <c r="C508" s="7" t="inlineStr">
        <is>
          <t>Armament@PRIMARY3</t>
        </is>
      </c>
      <c r="L508" s="6" t="n">
        <v>12000</v>
      </c>
      <c r="M508" s="6" t="n">
        <v>55</v>
      </c>
      <c r="N508" s="6" t="n">
        <v>2</v>
      </c>
      <c r="O508" s="6" t="n">
        <v>5</v>
      </c>
      <c r="P508" s="6" t="n">
        <v>8500</v>
      </c>
      <c r="Q508" s="6" t="n">
        <v>1.25</v>
      </c>
      <c r="R508">
        <f>M508+IF(N508&gt;1,N(O508)*(N508-1),0)</f>
        <v/>
      </c>
      <c r="S508">
        <f>IFERROR(L508*MAX(N508,1)/R508*IF(ISBLANK(K505),1,K505),0)</f>
        <v/>
      </c>
      <c r="AB508" s="7" t="inlineStr">
        <is>
          <t>^Warhead_Tesla_Heavy</t>
        </is>
      </c>
    </row>
    <row r="509">
      <c r="A509" t="inlineStr">
        <is>
          <t>redalert2</t>
        </is>
      </c>
      <c r="B509" t="inlineStr">
        <is>
          <t>yuri_magnetron</t>
        </is>
      </c>
      <c r="C509" t="inlineStr">
        <is>
          <t>Magnetron</t>
        </is>
      </c>
      <c r="D509" s="6" t="inlineStr">
        <is>
          <t>FireSupport</t>
        </is>
      </c>
      <c r="E509" s="6" t="n">
        <v>65000</v>
      </c>
      <c r="F509" s="6" t="n">
        <v>65</v>
      </c>
      <c r="G509" t="inlineStr">
        <is>
          <t>Light</t>
        </is>
      </c>
      <c r="H509" s="6" t="n">
        <v>1</v>
      </c>
      <c r="I509" s="6" t="n">
        <v>1</v>
      </c>
      <c r="J509" s="6" t="n">
        <v>1.25</v>
      </c>
      <c r="K509" s="6" t="n"/>
      <c r="P509">
        <f>MAX(P510,P511,P512,P513)</f>
        <v/>
      </c>
      <c r="S509">
        <f>S510+S511+S512+S513</f>
        <v/>
      </c>
      <c r="T509">
        <f>(E509/100000+F509/100+(P509/1000)*J509/5+S509/200)*200*I509*H509</f>
        <v/>
      </c>
      <c r="U509">
        <f>((E509*F509/25000)+((P509/1000)*J509*S509/2.5))*I509*H509</f>
        <v/>
      </c>
      <c r="V509">
        <f>(E509*F509*(P509/1000)*J509*S509*I509*H509)/12500000</f>
        <v/>
      </c>
      <c r="W509">
        <f>(((E509/120000)+(F509/90)+(S509/2100)+((P509/10000)*J509))*1400/4+(((E509/120000)*(F509/90))+(((P509/10000)*J509)*(S509/2100)))*1400/2+((E509/120000)*(F509/90)*((P509/10000)*J509)*(S509/2100))*1400)*(H509/0.6735)/3</f>
        <v/>
      </c>
      <c r="X509" s="6" t="n">
        <v>1300</v>
      </c>
      <c r="Y509">
        <f>IFERROR(W509-X509,"")</f>
        <v/>
      </c>
      <c r="Z509">
        <f>IFERROR(ABS(Y509)/MAX(X509,1),"")</f>
        <v/>
      </c>
      <c r="AA509">
        <f>IFERROR(ROUND(((3*X509-(((E509/120000)+(F509/90)+(S509/2100))*1400/4+((E509/120000)*(F509/90))*1400/2)*(H509/0.6735))/(1400/4+((S509/2100))*1400/2+((E509/120000)*(F509/90)*(S509/2100))*1400)*(H509/0.6735)*10000)/J509,-1),"")</f>
        <v/>
      </c>
    </row>
    <row r="510">
      <c r="B510" s="7" t="inlineStr">
        <is>
          <t xml:space="preserve">  ↳ RA2Magnet</t>
        </is>
      </c>
      <c r="C510" s="7" t="inlineStr">
        <is>
          <t>Armament@Normal</t>
        </is>
      </c>
      <c r="L510" s="6" t="n">
        <v>2000</v>
      </c>
      <c r="M510" s="6" t="n">
        <v>200</v>
      </c>
      <c r="N510" s="6" t="n">
        <v>100</v>
      </c>
      <c r="O510" s="6" t="n">
        <v>1</v>
      </c>
      <c r="P510" s="6" t="n">
        <v>7032</v>
      </c>
      <c r="Q510" s="6" t="n">
        <v>1.25</v>
      </c>
      <c r="R510">
        <f>M510+IF(N510&gt;1,N(O510)*(N510-1),0)</f>
        <v/>
      </c>
      <c r="S510">
        <f>IFERROR(L510*MAX(N510,1)/R510*IF(ISBLANK(K509),1,K509),0)</f>
        <v/>
      </c>
      <c r="AB510" s="7" t="inlineStr">
        <is>
          <t>^Warhead_Laser_Heavy</t>
        </is>
      </c>
    </row>
    <row r="511">
      <c r="B511" s="7" t="inlineStr">
        <is>
          <t xml:space="preserve">  ↳ RA2MagnetAA</t>
        </is>
      </c>
      <c r="C511" s="7" t="inlineStr">
        <is>
          <t>Armament@Upgraded</t>
        </is>
      </c>
      <c r="L511" s="6" t="n">
        <v>2000</v>
      </c>
      <c r="M511" s="6" t="n">
        <v>200</v>
      </c>
      <c r="N511" s="6" t="n">
        <v>100</v>
      </c>
      <c r="O511" s="6" t="n">
        <v>1</v>
      </c>
      <c r="P511" s="6" t="n">
        <v>7032</v>
      </c>
      <c r="Q511" s="6" t="n">
        <v>1.25</v>
      </c>
      <c r="R511">
        <f>M511+IF(N511&gt;1,N(O511)*(N511-1),0)</f>
        <v/>
      </c>
      <c r="S511">
        <f>IFERROR(L511*MAX(N511,1)/R511*IF(ISBLANK(K509),1,K509),0)</f>
        <v/>
      </c>
      <c r="AB511" s="7" t="inlineStr">
        <is>
          <t>^Warhead_Laser_Heavy</t>
        </is>
      </c>
    </row>
    <row r="512">
      <c r="B512" s="7" t="inlineStr">
        <is>
          <t xml:space="preserve">  ↳ RA2Magnet_elite</t>
        </is>
      </c>
      <c r="C512" s="7" t="inlineStr">
        <is>
          <t>Armament@elite</t>
        </is>
      </c>
      <c r="L512" s="6" t="n">
        <v>2000</v>
      </c>
      <c r="M512" s="6" t="n">
        <v>200</v>
      </c>
      <c r="N512" s="6" t="n">
        <v>100</v>
      </c>
      <c r="O512" s="6" t="n">
        <v>1</v>
      </c>
      <c r="P512" s="6" t="n">
        <v>8032</v>
      </c>
      <c r="Q512" s="6" t="n">
        <v>1.25</v>
      </c>
      <c r="R512">
        <f>M512+IF(N512&gt;1,N(O512)*(N512-1),0)</f>
        <v/>
      </c>
      <c r="S512">
        <f>IFERROR(L512*MAX(N512,1)/R512*IF(ISBLANK(K509),1,K509),0)</f>
        <v/>
      </c>
      <c r="AB512" s="7" t="inlineStr">
        <is>
          <t>^Warhead_Laser_Heavy</t>
        </is>
      </c>
    </row>
    <row r="513">
      <c r="B513" s="7" t="inlineStr">
        <is>
          <t xml:space="preserve">  ↳ RA2MagnetAA_elite</t>
        </is>
      </c>
      <c r="C513" s="7" t="inlineStr">
        <is>
          <t>Armament@elite_aa</t>
        </is>
      </c>
      <c r="L513" s="6" t="n">
        <v>2000</v>
      </c>
      <c r="M513" s="6" t="n">
        <v>200</v>
      </c>
      <c r="N513" s="6" t="n">
        <v>100</v>
      </c>
      <c r="O513" s="6" t="n">
        <v>1</v>
      </c>
      <c r="P513" s="6" t="n">
        <v>8032</v>
      </c>
      <c r="Q513" s="6" t="n">
        <v>1.25</v>
      </c>
      <c r="R513">
        <f>M513+IF(N513&gt;1,N(O513)*(N513-1),0)</f>
        <v/>
      </c>
      <c r="S513">
        <f>IFERROR(L513*MAX(N513,1)/R513*IF(ISBLANK(K509),1,K509),0)</f>
        <v/>
      </c>
      <c r="AB513" s="7" t="inlineStr">
        <is>
          <t>^Warhead_Laser_Heavy</t>
        </is>
      </c>
    </row>
    <row r="514">
      <c r="A514" t="inlineStr">
        <is>
          <t>redalert2mod</t>
        </is>
      </c>
      <c r="B514" t="inlineStr">
        <is>
          <t>asianalliance_heavyrailguntank</t>
        </is>
      </c>
      <c r="C514" t="inlineStr">
        <is>
          <t>Heavy Railgun Tank</t>
        </is>
      </c>
      <c r="D514" s="6" t="inlineStr">
        <is>
          <t>FireSupport</t>
        </is>
      </c>
      <c r="E514" s="6" t="n">
        <v>250000</v>
      </c>
      <c r="F514" s="6" t="n">
        <v>50</v>
      </c>
      <c r="G514" t="inlineStr">
        <is>
          <t>Light</t>
        </is>
      </c>
      <c r="H514" s="6" t="n">
        <v>0.4853</v>
      </c>
      <c r="I514" s="6" t="n">
        <v>1</v>
      </c>
      <c r="J514" s="6" t="n">
        <v>1</v>
      </c>
      <c r="K514" s="6" t="n"/>
      <c r="P514">
        <f>MAX(P515,P516)</f>
        <v/>
      </c>
      <c r="S514">
        <f>S515+S516</f>
        <v/>
      </c>
      <c r="T514">
        <f>(E514/100000+F514/100+(P514/1000)*J514/5+S514/200)*200*I514*H514</f>
        <v/>
      </c>
      <c r="U514">
        <f>((E514*F514/25000)+((P514/1000)*J514*S514/2.5))*I514*H514</f>
        <v/>
      </c>
      <c r="V514">
        <f>(E514*F514*(P514/1000)*J514*S514*I514*H514)/12500000</f>
        <v/>
      </c>
      <c r="W514">
        <f>(((E514/120000)+(F514/90)+(S514/2100)+((P514/10000)*J514))*1400/4+(((E514/120000)*(F514/90))+(((P514/10000)*J514)*(S514/2100)))*1400/2+((E514/120000)*(F514/90)*((P514/10000)*J514)*(S514/2100))*1400)*(H514/0.6735)/3</f>
        <v/>
      </c>
      <c r="X514" s="6" t="n">
        <v>2200</v>
      </c>
      <c r="Y514">
        <f>IFERROR(W514-X514,"")</f>
        <v/>
      </c>
      <c r="Z514">
        <f>IFERROR(ABS(Y514)/MAX(X514,1),"")</f>
        <v/>
      </c>
      <c r="AA514">
        <f>IFERROR(ROUND(((3*X514-(((E514/120000)+(F514/90)+(S514/2100))*1400/4+((E514/120000)*(F514/90))*1400/2)*(H514/0.6735))/(1400/4+((S514/2100))*1400/2+((E514/120000)*(F514/90)*(S514/2100))*1400)*(H514/0.6735)*10000)/J514,-1),"")</f>
        <v/>
      </c>
    </row>
    <row r="515">
      <c r="B515" s="7" t="inlineStr">
        <is>
          <t xml:space="preserve">  ↳ AsianRailTank2</t>
        </is>
      </c>
      <c r="C515" s="7" t="inlineStr">
        <is>
          <t>Armament@PRIMARY</t>
        </is>
      </c>
      <c r="L515" s="6" t="n">
        <v>36000</v>
      </c>
      <c r="M515" s="6" t="n">
        <v>75</v>
      </c>
      <c r="N515" s="6" t="n">
        <v>1</v>
      </c>
      <c r="O515" s="6" t="n"/>
      <c r="P515" s="6" t="n">
        <v>10000</v>
      </c>
      <c r="Q515" s="6" t="n">
        <v>1.25</v>
      </c>
      <c r="R515">
        <f>M515+IF(N515&gt;1,N(O515)*(N515-1),0)</f>
        <v/>
      </c>
      <c r="S515">
        <f>IFERROR(L515*MAX(N515,1)/R515*IF(ISBLANK(K514),1,K514),0)</f>
        <v/>
      </c>
      <c r="AB515" s="7" t="inlineStr">
        <is>
          <t>^Warhead_Railgun_Heavy</t>
        </is>
      </c>
    </row>
    <row r="516">
      <c r="B516" s="7" t="inlineStr">
        <is>
          <t xml:space="preserve">  ↳ AsianRailTank3</t>
        </is>
      </c>
      <c r="C516" s="7" t="inlineStr">
        <is>
          <t>Armament@ELITE</t>
        </is>
      </c>
      <c r="L516" s="6" t="n">
        <v>48000</v>
      </c>
      <c r="M516" s="6" t="n">
        <v>90</v>
      </c>
      <c r="N516" s="6" t="n">
        <v>1</v>
      </c>
      <c r="O516" s="6" t="n"/>
      <c r="P516" s="6" t="n">
        <v>11111</v>
      </c>
      <c r="Q516" s="6" t="n">
        <v>1.25</v>
      </c>
      <c r="R516">
        <f>M516+IF(N516&gt;1,N(O516)*(N516-1),0)</f>
        <v/>
      </c>
      <c r="S516">
        <f>IFERROR(L516*MAX(N516,1)/R516*IF(ISBLANK(K514),1,K514),0)</f>
        <v/>
      </c>
      <c r="AB516" s="7" t="inlineStr">
        <is>
          <t>^Warhead_Railgun_Heavy</t>
        </is>
      </c>
    </row>
    <row r="517">
      <c r="A517" t="inlineStr">
        <is>
          <t>redalert2mod</t>
        </is>
      </c>
      <c r="B517" t="inlineStr">
        <is>
          <t>asianalliance_railguntank</t>
        </is>
      </c>
      <c r="C517" t="inlineStr">
        <is>
          <t>Railgun Tank</t>
        </is>
      </c>
      <c r="D517" s="6" t="inlineStr">
        <is>
          <t>FireSupport</t>
        </is>
      </c>
      <c r="E517" s="6" t="n">
        <v>160000</v>
      </c>
      <c r="F517" s="6" t="n">
        <v>65</v>
      </c>
      <c r="G517" t="inlineStr">
        <is>
          <t>Light</t>
        </is>
      </c>
      <c r="H517" s="6" t="n">
        <v>0.4853</v>
      </c>
      <c r="I517" s="6" t="n">
        <v>1</v>
      </c>
      <c r="J517" s="6" t="n">
        <v>1</v>
      </c>
      <c r="K517" s="6" t="n"/>
      <c r="P517">
        <f>MAX(P518,P519)</f>
        <v/>
      </c>
      <c r="S517">
        <f>S518+S519</f>
        <v/>
      </c>
      <c r="T517">
        <f>(E517/100000+F517/100+(P517/1000)*J517/5+S517/200)*200*I517*H517</f>
        <v/>
      </c>
      <c r="U517">
        <f>((E517*F517/25000)+((P517/1000)*J517*S517/2.5))*I517*H517</f>
        <v/>
      </c>
      <c r="V517">
        <f>(E517*F517*(P517/1000)*J517*S517*I517*H517)/12500000</f>
        <v/>
      </c>
      <c r="W517">
        <f>(((E517/120000)+(F517/90)+(S517/2100)+((P517/10000)*J517))*1400/4+(((E517/120000)*(F517/90))+(((P517/10000)*J517)*(S517/2100)))*1400/2+((E517/120000)*(F517/90)*((P517/10000)*J517)*(S517/2100))*1400)*(H517/0.6735)/3</f>
        <v/>
      </c>
      <c r="X517" s="6" t="n">
        <v>1500</v>
      </c>
      <c r="Y517">
        <f>IFERROR(W517-X517,"")</f>
        <v/>
      </c>
      <c r="Z517">
        <f>IFERROR(ABS(Y517)/MAX(X517,1),"")</f>
        <v/>
      </c>
      <c r="AA517">
        <f>IFERROR(ROUND(((3*X517-(((E517/120000)+(F517/90)+(S517/2100))*1400/4+((E517/120000)*(F517/90))*1400/2)*(H517/0.6735))/(1400/4+((S517/2100))*1400/2+((E517/120000)*(F517/90)*(S517/2100))*1400)*(H517/0.6735)*10000)/J517,-1),"")</f>
        <v/>
      </c>
    </row>
    <row r="518">
      <c r="B518" s="7" t="inlineStr">
        <is>
          <t xml:space="preserve">  ↳ AsianRailTank</t>
        </is>
      </c>
      <c r="C518" s="7" t="inlineStr">
        <is>
          <t>Armament@PRIMARY</t>
        </is>
      </c>
      <c r="L518" s="6" t="n">
        <v>24000</v>
      </c>
      <c r="M518" s="6" t="n">
        <v>60</v>
      </c>
      <c r="N518" s="6" t="n">
        <v>1</v>
      </c>
      <c r="O518" s="6" t="n"/>
      <c r="P518" s="6" t="n">
        <v>8888</v>
      </c>
      <c r="Q518" s="6" t="n">
        <v>1.25</v>
      </c>
      <c r="R518">
        <f>M518+IF(N518&gt;1,N(O518)*(N518-1),0)</f>
        <v/>
      </c>
      <c r="S518">
        <f>IFERROR(L518*MAX(N518,1)/R518*IF(ISBLANK(K517),1,K517),0)</f>
        <v/>
      </c>
      <c r="AB518" s="7" t="inlineStr">
        <is>
          <t>^Warhead_Railgun_Heavy</t>
        </is>
      </c>
    </row>
    <row r="519">
      <c r="B519" s="7" t="inlineStr">
        <is>
          <t xml:space="preserve">  ↳ AsianRailTank2</t>
        </is>
      </c>
      <c r="C519" s="7" t="inlineStr">
        <is>
          <t>Armament@ELITE</t>
        </is>
      </c>
      <c r="L519" s="6" t="n">
        <v>36000</v>
      </c>
      <c r="M519" s="6" t="n">
        <v>75</v>
      </c>
      <c r="N519" s="6" t="n">
        <v>1</v>
      </c>
      <c r="O519" s="6" t="n"/>
      <c r="P519" s="6" t="n">
        <v>10000</v>
      </c>
      <c r="Q519" s="6" t="n">
        <v>1.25</v>
      </c>
      <c r="R519">
        <f>M519+IF(N519&gt;1,N(O519)*(N519-1),0)</f>
        <v/>
      </c>
      <c r="S519">
        <f>IFERROR(L519*MAX(N519,1)/R519*IF(ISBLANK(K517),1,K517),0)</f>
        <v/>
      </c>
      <c r="AB519" s="7" t="inlineStr">
        <is>
          <t>^Warhead_Railgun_Heavy</t>
        </is>
      </c>
    </row>
    <row r="520">
      <c r="A520" t="inlineStr">
        <is>
          <t>redalert2mod</t>
        </is>
      </c>
      <c r="B520" t="inlineStr">
        <is>
          <t>latinsyndicate_missiletruck</t>
        </is>
      </c>
      <c r="C520" t="inlineStr">
        <is>
          <t>Missile Truck</t>
        </is>
      </c>
      <c r="D520" s="6" t="inlineStr">
        <is>
          <t>FireSupport</t>
        </is>
      </c>
      <c r="E520" s="6" t="n">
        <v>30000</v>
      </c>
      <c r="F520" s="6" t="n">
        <v>75</v>
      </c>
      <c r="G520" t="inlineStr">
        <is>
          <t>Light</t>
        </is>
      </c>
      <c r="H520" s="6" t="n">
        <v>0.6735</v>
      </c>
      <c r="I520" s="6" t="n">
        <v>1</v>
      </c>
      <c r="J520" s="6" t="n">
        <v>1</v>
      </c>
      <c r="K520" s="6" t="n">
        <v>0.0125</v>
      </c>
      <c r="P520">
        <f>MAX(P521,P522)</f>
        <v/>
      </c>
      <c r="S520">
        <f>S521+S522</f>
        <v/>
      </c>
      <c r="T520">
        <f>(E520/100000+F520/100+(P520/1000)*J520/5+S520/200)*200*I520*H520</f>
        <v/>
      </c>
      <c r="U520">
        <f>((E520*F520/25000)+((P520/1000)*J520*S520/2.5))*I520*H520</f>
        <v/>
      </c>
      <c r="V520">
        <f>(E520*F520*(P520/1000)*J520*S520*I520*H520)/12500000</f>
        <v/>
      </c>
      <c r="W520">
        <f>(((E520/120000)+(F520/90)+(S520/2100)+((P520/10000)*J520))*1400/4+(((E520/120000)*(F520/90))+(((P520/10000)*J520)*(S520/2100)))*1400/2+((E520/120000)*(F520/90)*((P520/10000)*J520)*(S520/2100))*1400)*(H520/0.6735)/3</f>
        <v/>
      </c>
      <c r="X520" s="6" t="n">
        <v>1000</v>
      </c>
      <c r="Y520">
        <f>IFERROR(W520-X520,"")</f>
        <v/>
      </c>
      <c r="Z520">
        <f>IFERROR(ABS(Y520)/MAX(X520,1),"")</f>
        <v/>
      </c>
      <c r="AA520">
        <f>IFERROR(ROUND(((3*X520-(((E520/120000)+(F520/90)+(S520/2100))*1400/4+((E520/120000)*(F520/90))*1400/2)*(H520/0.6735))/(1400/4+((S520/2100))*1400/2+((E520/120000)*(F520/90)*(S520/2100))*1400)*(H520/0.6735)*10000)/J520,-1),"")</f>
        <v/>
      </c>
    </row>
    <row r="521">
      <c r="B521" s="7" t="inlineStr">
        <is>
          <t xml:space="preserve">  ↳ RA2RTruckRocket</t>
        </is>
      </c>
      <c r="C521" s="7" t="inlineStr">
        <is>
          <t>Armament</t>
        </is>
      </c>
      <c r="L521" s="6" t="n">
        <v>8000</v>
      </c>
      <c r="M521" s="6" t="n">
        <v>108</v>
      </c>
      <c r="N521" s="6" t="n">
        <v>8</v>
      </c>
      <c r="O521" s="6" t="n">
        <v>3</v>
      </c>
      <c r="P521" s="6" t="n">
        <v>7777</v>
      </c>
      <c r="Q521" s="6" t="n">
        <v>1</v>
      </c>
      <c r="R521">
        <f>M521+IF(N521&gt;1,N(O521)*(N521-1),0)</f>
        <v/>
      </c>
      <c r="S521">
        <f>IFERROR(L521*MAX(N521,1)/R521*IF(ISBLANK(K520),1,K520),0)</f>
        <v/>
      </c>
      <c r="AB521" s="7" t="inlineStr">
        <is>
          <t>^Warhead_MissileHE_Medium</t>
        </is>
      </c>
    </row>
    <row r="522">
      <c r="B522" s="7" t="inlineStr">
        <is>
          <t xml:space="preserve">  ↳ RA2RTruckRocket</t>
        </is>
      </c>
      <c r="C522" s="7" t="inlineStr">
        <is>
          <t>Armament@PRIMARYELITE</t>
        </is>
      </c>
      <c r="L522" s="6" t="n">
        <v>8000</v>
      </c>
      <c r="M522" s="6" t="n">
        <v>108</v>
      </c>
      <c r="N522" s="6" t="n">
        <v>8</v>
      </c>
      <c r="O522" s="6" t="n">
        <v>3</v>
      </c>
      <c r="P522" s="6" t="n">
        <v>7777</v>
      </c>
      <c r="Q522" s="6" t="n">
        <v>1</v>
      </c>
      <c r="R522">
        <f>M522+IF(N522&gt;1,N(O522)*(N522-1),0)</f>
        <v/>
      </c>
      <c r="S522">
        <f>IFERROR(L522*MAX(N522,1)/R522*IF(ISBLANK(K520),1,K520),0)</f>
        <v/>
      </c>
      <c r="AB522" s="7" t="inlineStr">
        <is>
          <t>^Warhead_MissileHE_Medium</t>
        </is>
      </c>
    </row>
    <row r="523">
      <c r="A523" t="inlineStr">
        <is>
          <t>redalert2mod</t>
        </is>
      </c>
      <c r="B523" t="inlineStr">
        <is>
          <t>naxis_antitankcannon</t>
        </is>
      </c>
      <c r="C523" t="inlineStr">
        <is>
          <t>Anti Tank Cannon</t>
        </is>
      </c>
      <c r="D523" s="6" t="inlineStr">
        <is>
          <t>FireSupport</t>
        </is>
      </c>
      <c r="E523" s="6" t="n">
        <v>17500</v>
      </c>
      <c r="F523" s="6" t="n">
        <v>30</v>
      </c>
      <c r="G523" t="inlineStr">
        <is>
          <t>Light</t>
        </is>
      </c>
      <c r="H523" s="6" t="n">
        <v>1</v>
      </c>
      <c r="I523" s="6" t="n">
        <v>1</v>
      </c>
      <c r="J523" s="6" t="n">
        <v>1</v>
      </c>
      <c r="K523" s="6" t="n"/>
      <c r="P523">
        <f>MAX(P524,P525)</f>
        <v/>
      </c>
      <c r="S523">
        <f>S524+S525</f>
        <v/>
      </c>
      <c r="T523">
        <f>(E523/100000+F523/100+(P523/1000)*J523/5+S523/200)*200*I523*H523</f>
        <v/>
      </c>
      <c r="U523">
        <f>((E523*F523/25000)+((P523/1000)*J523*S523/2.5))*I523*H523</f>
        <v/>
      </c>
      <c r="V523">
        <f>(E523*F523*(P523/1000)*J523*S523*I523*H523)/12500000</f>
        <v/>
      </c>
      <c r="W523">
        <f>(T523+U523+V523)/3</f>
        <v/>
      </c>
      <c r="X523" s="6" t="n">
        <v>600</v>
      </c>
      <c r="Y523">
        <f>IFERROR(W523-X523,"")</f>
        <v/>
      </c>
      <c r="Z523">
        <f>IFERROR(ABS(Y523)/MAX(X523,1),"")</f>
        <v/>
      </c>
      <c r="AA523">
        <f>IFERROR((X523-(((E523/100000+F523/100+S523/200)*200*I523*H523)+((E523*F523/25000)*I523*H523))/3)/(((J523/5)*200*I523*H523)+((J523*S523/2.5)*I523*H523)+((E523*F523*J523*S523*I523*H523)/12500000))/3*1000,"")</f>
        <v/>
      </c>
    </row>
    <row r="524">
      <c r="B524" s="7" t="inlineStr">
        <is>
          <t xml:space="preserve">  ↳ NaxiAntiTankCannon</t>
        </is>
      </c>
      <c r="C524" s="7" t="inlineStr">
        <is>
          <t>Armament@PRIMARY</t>
        </is>
      </c>
      <c r="L524" s="6" t="n">
        <v>28000</v>
      </c>
      <c r="M524" s="6" t="n">
        <v>75</v>
      </c>
      <c r="N524" s="6" t="n">
        <v>1</v>
      </c>
      <c r="O524" s="6" t="n"/>
      <c r="P524" s="6" t="n">
        <v>7361</v>
      </c>
      <c r="Q524" s="6" t="n">
        <v>0.875</v>
      </c>
      <c r="R524">
        <f>M524+IF(N524&gt;1,N(O524)*(N524-1),0)</f>
        <v/>
      </c>
      <c r="S524">
        <f>IFERROR(L524*MAX(N524,1)/R524*IF(ISBLANK(K523),1,K523),0)</f>
        <v/>
      </c>
      <c r="AB524" s="7" t="inlineStr">
        <is>
          <t>^Warhead_CannonHE_Medium, ^Warhead_CannonAP_Light</t>
        </is>
      </c>
    </row>
    <row r="525">
      <c r="B525" s="7" t="inlineStr">
        <is>
          <t xml:space="preserve">  ↳ NaxiAntiTankCannon_elite</t>
        </is>
      </c>
      <c r="C525" s="7" t="inlineStr">
        <is>
          <t>Armament@ELITE</t>
        </is>
      </c>
      <c r="L525" s="6" t="n">
        <v>28000</v>
      </c>
      <c r="M525" s="6" t="n">
        <v>75</v>
      </c>
      <c r="N525" s="6" t="n">
        <v>2</v>
      </c>
      <c r="O525" s="6" t="n">
        <v>3</v>
      </c>
      <c r="P525" s="6" t="n">
        <v>8361</v>
      </c>
      <c r="Q525" s="6" t="n">
        <v>0.875</v>
      </c>
      <c r="R525">
        <f>M525+IF(N525&gt;1,N(O525)*(N525-1),0)</f>
        <v/>
      </c>
      <c r="S525">
        <f>IFERROR(L525*MAX(N525,1)/R525*IF(ISBLANK(K523),1,K523),0)</f>
        <v/>
      </c>
      <c r="AB525" s="7" t="inlineStr">
        <is>
          <t>^Warhead_CannonHE_Medium, ^Warhead_CannonAP_Light</t>
        </is>
      </c>
    </row>
    <row r="526">
      <c r="A526" t="inlineStr">
        <is>
          <t>redalert2mod</t>
        </is>
      </c>
      <c r="B526" t="inlineStr">
        <is>
          <t>naxis_imperialturbotank</t>
        </is>
      </c>
      <c r="C526" t="inlineStr">
        <is>
          <t>Imperial Turbo Tank</t>
        </is>
      </c>
      <c r="D526" s="6" t="inlineStr">
        <is>
          <t>FireSupport</t>
        </is>
      </c>
      <c r="E526" s="6" t="n">
        <v>82500</v>
      </c>
      <c r="F526" s="6" t="n">
        <v>110</v>
      </c>
      <c r="G526" t="inlineStr">
        <is>
          <t>Light</t>
        </is>
      </c>
      <c r="H526" s="6" t="n">
        <v>0.6846</v>
      </c>
      <c r="I526" s="6" t="n">
        <v>1</v>
      </c>
      <c r="J526" s="6" t="n">
        <v>1</v>
      </c>
      <c r="K526" s="6" t="n"/>
      <c r="P526">
        <f>MAX(P527,P528,P529)</f>
        <v/>
      </c>
      <c r="S526">
        <f>S527+S528+S529</f>
        <v/>
      </c>
      <c r="T526">
        <f>(E526/100000+F526/100+(P526/1000)*J526/5+S526/200)*200*I526*H526</f>
        <v/>
      </c>
      <c r="U526">
        <f>((E526*F526/25000)+((P526/1000)*J526*S526/2.5))*I526*H526</f>
        <v/>
      </c>
      <c r="V526">
        <f>(E526*F526*(P526/1000)*J526*S526*I526*H526)/12500000</f>
        <v/>
      </c>
      <c r="W526">
        <f>(((E526/120000)+(F526/90)+(S526/2100)+((P526/10000)*J526))*1400/4+(((E526/120000)*(F526/90))+(((P526/10000)*J526)*(S526/2100)))*1400/2+((E526/120000)*(F526/90)*((P526/10000)*J526)*(S526/2100))*1400)*(H526/0.6735)/3</f>
        <v/>
      </c>
      <c r="X526" s="6" t="n">
        <v>950</v>
      </c>
      <c r="Y526">
        <f>IFERROR(W526-X526,"")</f>
        <v/>
      </c>
      <c r="Z526">
        <f>IFERROR(ABS(Y526)/MAX(X526,1),"")</f>
        <v/>
      </c>
      <c r="AA526">
        <f>IFERROR(ROUND(((3*X526-(((E526/120000)+(F526/90)+(S526/2100))*1400/4+((E526/120000)*(F526/90))*1400/2)*(H526/0.6735))/(1400/4+((S526/2100))*1400/2+((E526/120000)*(F526/90)*(S526/2100))*1400)*(H526/0.6735)*10000)/J526,-1),"")</f>
        <v/>
      </c>
    </row>
    <row r="527">
      <c r="B527" s="7" t="inlineStr">
        <is>
          <t xml:space="preserve">  ↳ NaxiJadgDestroyer</t>
        </is>
      </c>
      <c r="C527" s="7" t="inlineStr">
        <is>
          <t>Armament@AG</t>
        </is>
      </c>
      <c r="L527" s="6" t="n">
        <v>60000</v>
      </c>
      <c r="M527" s="6" t="n">
        <v>90</v>
      </c>
      <c r="N527" s="6" t="n">
        <v>1</v>
      </c>
      <c r="O527" s="6" t="n"/>
      <c r="P527" s="6" t="n">
        <v>7396</v>
      </c>
      <c r="Q527" s="6" t="n">
        <v>1</v>
      </c>
      <c r="R527">
        <f>M527+IF(N527&gt;1,N(O527)*(N527-1),0)</f>
        <v/>
      </c>
      <c r="S527">
        <f>IFERROR(L527*MAX(N527,1)/R527*IF(ISBLANK(K526),1,K526),0)</f>
        <v/>
      </c>
      <c r="AB527" s="7" t="inlineStr">
        <is>
          <t>^Warhead_CannonHE_Heavy, ^Warhead_Concussion_Medium, ^Warhead_CannonAP_Light</t>
        </is>
      </c>
    </row>
    <row r="528">
      <c r="B528" s="7" t="inlineStr">
        <is>
          <t xml:space="preserve">  ↳ Nax120mmAssault</t>
        </is>
      </c>
      <c r="C528" s="7" t="inlineStr">
        <is>
          <t>Armament</t>
        </is>
      </c>
      <c r="L528" s="6" t="n">
        <v>10000</v>
      </c>
      <c r="M528" s="6" t="n">
        <v>28</v>
      </c>
      <c r="N528" s="6" t="n">
        <v>1</v>
      </c>
      <c r="O528" s="6" t="n"/>
      <c r="P528" s="6" t="n">
        <v>5200</v>
      </c>
      <c r="Q528" s="6" t="n">
        <v>1</v>
      </c>
      <c r="R528">
        <f>M528+IF(N528&gt;1,N(O528)*(N528-1),0)</f>
        <v/>
      </c>
      <c r="S528">
        <f>IFERROR(L528*MAX(N528,1)/R528*IF(ISBLANK(K526),1,K526),0)</f>
        <v/>
      </c>
      <c r="AB528" s="7" t="inlineStr">
        <is>
          <t>^Warhead_CannonHE_Medium</t>
        </is>
      </c>
    </row>
    <row r="529">
      <c r="B529" s="7" t="inlineStr">
        <is>
          <t xml:space="preserve">  ↳ Nax120mmAssault_elite</t>
        </is>
      </c>
      <c r="C529" s="7" t="inlineStr">
        <is>
          <t>Armament@elite</t>
        </is>
      </c>
      <c r="L529" s="6" t="n">
        <v>10000</v>
      </c>
      <c r="M529" s="6" t="n">
        <v>28</v>
      </c>
      <c r="N529" s="6" t="n">
        <v>2</v>
      </c>
      <c r="O529" s="6" t="n">
        <v>3</v>
      </c>
      <c r="P529" s="6" t="n">
        <v>6200</v>
      </c>
      <c r="Q529" s="6" t="n">
        <v>1</v>
      </c>
      <c r="R529">
        <f>M529+IF(N529&gt;1,N(O529)*(N529-1),0)</f>
        <v/>
      </c>
      <c r="S529">
        <f>IFERROR(L529*MAX(N529,1)/R529*IF(ISBLANK(K526),1,K526),0)</f>
        <v/>
      </c>
      <c r="AB529" s="7" t="inlineStr">
        <is>
          <t>^Warhead_CannonHE_Medium</t>
        </is>
      </c>
    </row>
    <row r="530">
      <c r="A530" t="inlineStr">
        <is>
          <t>redalert2mod</t>
        </is>
      </c>
      <c r="B530" t="inlineStr">
        <is>
          <t>naxis_nop03sarubia</t>
        </is>
      </c>
      <c r="C530" t="inlineStr">
        <is>
          <t>Nop-03 Sarubia</t>
        </is>
      </c>
      <c r="D530" s="6" t="inlineStr">
        <is>
          <t>FireSupport</t>
        </is>
      </c>
      <c r="E530" s="6" t="n">
        <v>62500</v>
      </c>
      <c r="F530" s="6" t="n">
        <v>65</v>
      </c>
      <c r="G530" t="inlineStr">
        <is>
          <t>Light</t>
        </is>
      </c>
      <c r="H530" s="6" t="n">
        <v>0.4839</v>
      </c>
      <c r="I530" s="6" t="n">
        <v>1</v>
      </c>
      <c r="J530" s="6" t="n">
        <v>1</v>
      </c>
      <c r="K530" s="6" t="n"/>
      <c r="X530" s="6" t="n">
        <v>1400</v>
      </c>
    </row>
    <row r="531">
      <c r="B531" s="7" t="inlineStr">
        <is>
          <t xml:space="preserve">  ↳ NaxisSarubianTarget</t>
        </is>
      </c>
      <c r="C531" s="7" t="inlineStr">
        <is>
          <t>Armament@AG</t>
        </is>
      </c>
      <c r="L531" s="6" t="n"/>
      <c r="M531" s="6" t="n">
        <v>40</v>
      </c>
      <c r="N531" s="6" t="n">
        <v>1</v>
      </c>
      <c r="O531" s="6" t="n"/>
      <c r="P531" s="6" t="n">
        <v>7800</v>
      </c>
      <c r="Q531" s="6" t="n">
        <v>1</v>
      </c>
      <c r="R531">
        <f>M531+IF(N531&gt;1,N(O531)*(N531-1),0)</f>
        <v/>
      </c>
      <c r="S531">
        <f>IFERROR(L531*MAX(N531,1)/R531*IF(ISBLANK(K530),1,K530),0)</f>
        <v/>
      </c>
      <c r="AB531" s="7" t="inlineStr"/>
    </row>
    <row r="532">
      <c r="A532" t="inlineStr">
        <is>
          <t>redalert2mod</t>
        </is>
      </c>
      <c r="B532" t="inlineStr">
        <is>
          <t>schwarzermond_crystaltank</t>
        </is>
      </c>
      <c r="C532" t="inlineStr">
        <is>
          <t>Crystal Tank</t>
        </is>
      </c>
      <c r="D532" s="6" t="inlineStr">
        <is>
          <t>FireSupport</t>
        </is>
      </c>
      <c r="E532" s="6" t="n">
        <v>400000</v>
      </c>
      <c r="F532" s="6" t="n">
        <v>60</v>
      </c>
      <c r="G532" t="inlineStr">
        <is>
          <t>Light</t>
        </is>
      </c>
      <c r="H532" s="6" t="n">
        <v>0.75</v>
      </c>
      <c r="I532" s="6" t="n">
        <v>1</v>
      </c>
      <c r="J532" s="6" t="n">
        <v>1.25</v>
      </c>
      <c r="K532" s="6" t="n"/>
      <c r="P532">
        <f>MAX(P533,P534)</f>
        <v/>
      </c>
      <c r="S532">
        <f>S533+S534</f>
        <v/>
      </c>
      <c r="T532">
        <f>(E532/100000+F532/100+(P532/1000)*J532/5+S532/200)*200*I532*H532</f>
        <v/>
      </c>
      <c r="U532">
        <f>((E532*F532/25000)+((P532/1000)*J532*S532/2.5))*I532*H532</f>
        <v/>
      </c>
      <c r="V532">
        <f>(E532*F532*(P532/1000)*J532*S532*I532*H532)/12500000</f>
        <v/>
      </c>
      <c r="W532">
        <f>(((E532/120000)+(F532/90)+(S532/2100)+((P532/10000)*J532))*1400/4+(((E532/120000)*(F532/90))+(((P532/10000)*J532)*(S532/2100)))*1400/2+((E532/120000)*(F532/90)*((P532/10000)*J532)*(S532/2100))*1400)*(H532/0.6735)/3</f>
        <v/>
      </c>
      <c r="X532" s="6" t="n">
        <v>1700</v>
      </c>
      <c r="Y532">
        <f>IFERROR(W532-X532,"")</f>
        <v/>
      </c>
      <c r="Z532">
        <f>IFERROR(ABS(Y532)/MAX(X532,1),"")</f>
        <v/>
      </c>
      <c r="AA532">
        <f>IFERROR(ROUND(((3*X532-(((E532/120000)+(F532/90)+(S532/2100))*1400/4+((E532/120000)*(F532/90))*1400/2)*(H532/0.6735))/(1400/4+((S532/2100))*1400/2+((E532/120000)*(F532/90)*(S532/2100))*1400)*(H532/0.6735)*10000)/J532,-1),"")</f>
        <v/>
      </c>
    </row>
    <row r="533">
      <c r="B533" s="7" t="inlineStr">
        <is>
          <t xml:space="preserve">  ↳ NaxCrystalLeech</t>
        </is>
      </c>
      <c r="C533" s="7" t="inlineStr">
        <is>
          <t>Armament@AG</t>
        </is>
      </c>
      <c r="L533" s="6" t="n">
        <v>2000</v>
      </c>
      <c r="M533" s="6" t="n">
        <v>90</v>
      </c>
      <c r="N533" s="6" t="n">
        <v>10</v>
      </c>
      <c r="O533" s="6" t="n">
        <v>1</v>
      </c>
      <c r="P533" s="6" t="n">
        <v>7420</v>
      </c>
      <c r="Q533" s="6" t="n">
        <v>1.25</v>
      </c>
      <c r="R533">
        <f>M533+IF(N533&gt;1,N(O533)*(N533-1),0)</f>
        <v/>
      </c>
      <c r="S533">
        <f>IFERROR(L533*MAX(N533,1)/R533*IF(ISBLANK(K532),1,K532),0)</f>
        <v/>
      </c>
      <c r="AB533" s="7" t="inlineStr">
        <is>
          <t>^Warhead_Tesla_Heavy</t>
        </is>
      </c>
    </row>
    <row r="534">
      <c r="B534" s="7" t="inlineStr">
        <is>
          <t xml:space="preserve">  ↳ NaxCrystalLeech_elite</t>
        </is>
      </c>
      <c r="C534" s="7" t="inlineStr">
        <is>
          <t>Armament@ELITE</t>
        </is>
      </c>
      <c r="L534" s="6" t="n">
        <v>2000</v>
      </c>
      <c r="M534" s="6" t="n">
        <v>25</v>
      </c>
      <c r="N534" s="6" t="n">
        <v>20</v>
      </c>
      <c r="O534" s="6" t="n">
        <v>1</v>
      </c>
      <c r="P534" s="6" t="n">
        <v>8420</v>
      </c>
      <c r="Q534" s="6" t="n">
        <v>1</v>
      </c>
      <c r="R534">
        <f>M534+IF(N534&gt;1,N(O534)*(N534-1),0)</f>
        <v/>
      </c>
      <c r="S534">
        <f>IFERROR(L534*MAX(N534,1)/R534*IF(ISBLANK(K532),1,K532),0)</f>
        <v/>
      </c>
      <c r="AB534" s="7" t="inlineStr">
        <is>
          <t>^Warhead_Tesla_Super</t>
        </is>
      </c>
    </row>
    <row r="535">
      <c r="A535" t="inlineStr">
        <is>
          <t>redalert2mod</t>
        </is>
      </c>
      <c r="B535" t="inlineStr">
        <is>
          <t>schwarzermond_korruptesbiest</t>
        </is>
      </c>
      <c r="C535" t="inlineStr">
        <is>
          <t>Korruptes Biest</t>
        </is>
      </c>
      <c r="D535" s="6" t="inlineStr">
        <is>
          <t>FireSupport</t>
        </is>
      </c>
      <c r="E535" s="6" t="n">
        <v>240000</v>
      </c>
      <c r="F535" s="6" t="n">
        <v>40</v>
      </c>
      <c r="G535" t="inlineStr">
        <is>
          <t>Light</t>
        </is>
      </c>
      <c r="H535" s="6" t="n">
        <v>0.75</v>
      </c>
      <c r="I535" s="6" t="n">
        <v>1</v>
      </c>
      <c r="J535" s="6" t="n">
        <v>1.25</v>
      </c>
      <c r="K535" s="6" t="n"/>
      <c r="P535">
        <f>MAX(P536,P537)</f>
        <v/>
      </c>
      <c r="S535">
        <f>S536+S537</f>
        <v/>
      </c>
      <c r="T535">
        <f>(E535/100000+F535/100+(P535/1000)*J535/5+S535/200)*200*I535*H535</f>
        <v/>
      </c>
      <c r="U535">
        <f>((E535*F535/25000)+((P535/1000)*J535*S535/2.5))*I535*H535</f>
        <v/>
      </c>
      <c r="V535">
        <f>(E535*F535*(P535/1000)*J535*S535*I535*H535)/12500000</f>
        <v/>
      </c>
      <c r="W535">
        <f>(((E535/120000)+(F535/90)+(S535/2100)+((P535/10000)*J535))*1400/4+(((E535/120000)*(F535/90))+(((P535/10000)*J535)*(S535/2100)))*1400/2+((E535/120000)*(F535/90)*((P535/10000)*J535)*(S535/2100))*1400)*(H535/0.6735)/3</f>
        <v/>
      </c>
      <c r="X535" s="6" t="n">
        <v>3500</v>
      </c>
      <c r="Y535">
        <f>IFERROR(W535-X535,"")</f>
        <v/>
      </c>
      <c r="Z535">
        <f>IFERROR(ABS(Y535)/MAX(X535,1),"")</f>
        <v/>
      </c>
      <c r="AA535">
        <f>IFERROR(ROUND(((3*X535-(((E535/120000)+(F535/90)+(S535/2100))*1400/4+((E535/120000)*(F535/90))*1400/2)*(H535/0.6735))/(1400/4+((S535/2100))*1400/2+((E535/120000)*(F535/90)*(S535/2100))*1400)*(H535/0.6735)*10000)/J535,-1),"")</f>
        <v/>
      </c>
    </row>
    <row r="536">
      <c r="B536" s="7" t="inlineStr">
        <is>
          <t xml:space="preserve">  ↳ NaxCorrosionBeast</t>
        </is>
      </c>
      <c r="C536" s="7" t="inlineStr">
        <is>
          <t>Armament@PRIMARY</t>
        </is>
      </c>
      <c r="L536" s="6" t="n">
        <v>6000</v>
      </c>
      <c r="M536" s="6" t="n">
        <v>34</v>
      </c>
      <c r="N536" s="6" t="n">
        <v>8</v>
      </c>
      <c r="O536" s="6" t="n">
        <v>2</v>
      </c>
      <c r="P536" s="6" t="n">
        <v>7984</v>
      </c>
      <c r="Q536" s="6" t="n">
        <v>1</v>
      </c>
      <c r="R536">
        <f>M536+IF(N536&gt;1,N(O536)*(N536-1),0)</f>
        <v/>
      </c>
      <c r="S536">
        <f>IFERROR(L536*MAX(N536,1)/R536*IF(ISBLANK(K535),1,K535),0)</f>
        <v/>
      </c>
      <c r="AB536" s="7" t="inlineStr">
        <is>
          <t>^Warhead_Concussion_Light, ^Warhead_MissileAP_Heavy, ^Warhead_MissileAP_Medium</t>
        </is>
      </c>
    </row>
    <row r="537">
      <c r="B537" s="7" t="inlineStr">
        <is>
          <t xml:space="preserve">  ↳ NaxCorrosionBeast_elite</t>
        </is>
      </c>
      <c r="C537" s="7" t="inlineStr">
        <is>
          <t>Armament@ELITE</t>
        </is>
      </c>
      <c r="L537" s="6" t="n">
        <v>6000</v>
      </c>
      <c r="M537" s="6" t="n">
        <v>34</v>
      </c>
      <c r="N537" s="6" t="n">
        <v>16</v>
      </c>
      <c r="O537" s="6" t="n">
        <v>2</v>
      </c>
      <c r="P537" s="6" t="n">
        <v>8984</v>
      </c>
      <c r="Q537" s="6" t="n">
        <v>1</v>
      </c>
      <c r="R537">
        <f>M537+IF(N537&gt;1,N(O537)*(N537-1),0)</f>
        <v/>
      </c>
      <c r="S537">
        <f>IFERROR(L537*MAX(N537,1)/R537*IF(ISBLANK(K535),1,K535),0)</f>
        <v/>
      </c>
      <c r="AB537" s="7" t="inlineStr">
        <is>
          <t>^Warhead_Concussion_Light, ^Warhead_MissileAP_Heavy, ^Warhead_MissileAP_Medium</t>
        </is>
      </c>
    </row>
    <row r="538">
      <c r="A538" t="inlineStr">
        <is>
          <t>redalert2mod</t>
        </is>
      </c>
      <c r="B538" t="inlineStr">
        <is>
          <t>futuretech_beehivedronecarrier</t>
        </is>
      </c>
      <c r="C538" t="inlineStr">
        <is>
          <t>Beehive Drone Carrier</t>
        </is>
      </c>
      <c r="D538" s="6" t="inlineStr">
        <is>
          <t>FireSupport</t>
        </is>
      </c>
      <c r="E538" s="6" t="n">
        <v>125000</v>
      </c>
      <c r="F538" s="6" t="n">
        <v>45</v>
      </c>
      <c r="G538" t="inlineStr">
        <is>
          <t>Light</t>
        </is>
      </c>
      <c r="H538" s="6" t="n">
        <v>0.305</v>
      </c>
      <c r="I538" s="6" t="n">
        <v>1</v>
      </c>
      <c r="J538" s="6" t="n">
        <v>1</v>
      </c>
      <c r="K538" s="6" t="n"/>
      <c r="X538" s="6" t="n">
        <v>2100</v>
      </c>
    </row>
    <row r="539">
      <c r="B539" s="7" t="inlineStr">
        <is>
          <t xml:space="preserve">  ↳ BeehiveCarrierTarget</t>
        </is>
      </c>
      <c r="C539" s="7" t="inlineStr">
        <is>
          <t>Armament@PRIMARY</t>
        </is>
      </c>
      <c r="L539" s="6" t="n"/>
      <c r="M539" s="6" t="n">
        <v>150</v>
      </c>
      <c r="N539" s="6" t="n">
        <v>1</v>
      </c>
      <c r="O539" s="6" t="n"/>
      <c r="P539" s="6" t="n">
        <v>17500</v>
      </c>
      <c r="Q539" s="6" t="n">
        <v>1</v>
      </c>
      <c r="R539">
        <f>M539+IF(N539&gt;1,N(O539)*(N539-1),0)</f>
        <v/>
      </c>
      <c r="S539">
        <f>IFERROR(L539*MAX(N539,1)/R539*IF(ISBLANK(K538),1,K538),0)</f>
        <v/>
      </c>
      <c r="AB539" s="7" t="inlineStr">
        <is>
          <t>RA2CarrierTarget</t>
        </is>
      </c>
    </row>
    <row r="540">
      <c r="A540" t="inlineStr">
        <is>
          <t>redalert2mod</t>
        </is>
      </c>
      <c r="B540" t="inlineStr">
        <is>
          <t>futuretech_energizer</t>
        </is>
      </c>
      <c r="C540" t="inlineStr">
        <is>
          <t>Energizer</t>
        </is>
      </c>
      <c r="D540" s="6" t="inlineStr">
        <is>
          <t>FireSupport</t>
        </is>
      </c>
      <c r="E540" s="6" t="n">
        <v>50000</v>
      </c>
      <c r="F540" s="6" t="n">
        <v>50</v>
      </c>
      <c r="G540" t="inlineStr">
        <is>
          <t>Light</t>
        </is>
      </c>
      <c r="H540" s="6" t="n">
        <v>0.305</v>
      </c>
      <c r="I540" s="6" t="n">
        <v>1</v>
      </c>
      <c r="J540" s="6" t="n">
        <v>1</v>
      </c>
      <c r="K540" s="6" t="n"/>
      <c r="P540">
        <f>MAX(P541)</f>
        <v/>
      </c>
      <c r="S540">
        <f>S541</f>
        <v/>
      </c>
      <c r="T540">
        <f>(E540/100000+F540/100+(P540/1000)*J540/5+S540/200)*200*I540*H540</f>
        <v/>
      </c>
      <c r="U540">
        <f>((E540*F540/25000)+((P540/1000)*J540*S540/2.5))*I540*H540</f>
        <v/>
      </c>
      <c r="V540">
        <f>(E540*F540*(P540/1000)*J540*S540*I540*H540)/12500000</f>
        <v/>
      </c>
      <c r="W540">
        <f>(((E540/120000)+(F540/90)+(S540/2100)+((P540/10000)*J540))*1400/4+(((E540/120000)*(F540/90))+(((P540/10000)*J540)*(S540/2100)))*1400/2+((E540/120000)*(F540/90)*((P540/10000)*J540)*(S540/2100))*1400)*(H540/0.6735)/3</f>
        <v/>
      </c>
      <c r="X540" s="6" t="n">
        <v>1000</v>
      </c>
      <c r="Y540">
        <f>IFERROR(W540-X540,"")</f>
        <v/>
      </c>
      <c r="Z540">
        <f>IFERROR(ABS(Y540)/MAX(X540,1),"")</f>
        <v/>
      </c>
      <c r="AA540">
        <f>IFERROR(ROUND(((3*X540-(((E540/120000)+(F540/90)+(S540/2100))*1400/4+((E540/120000)*(F540/90))*1400/2)*(H540/0.6735))/(1400/4+((S540/2100))*1400/2+((E540/120000)*(F540/90)*(S540/2100))*1400)*(H540/0.6735)*10000)/J540,-1),"")</f>
        <v/>
      </c>
    </row>
    <row r="541">
      <c r="B541" s="7" t="inlineStr">
        <is>
          <t xml:space="preserve">  ↳ Future_CoilerAgressive</t>
        </is>
      </c>
      <c r="C541" s="7" t="inlineStr">
        <is>
          <t>Armament@Agressive</t>
        </is>
      </c>
      <c r="L541" s="6" t="n">
        <v>50000</v>
      </c>
      <c r="M541" s="6" t="n">
        <v>125</v>
      </c>
      <c r="N541" s="6" t="n">
        <v>1</v>
      </c>
      <c r="O541" s="6" t="n"/>
      <c r="P541" s="6" t="n">
        <v>7500</v>
      </c>
      <c r="Q541" s="6" t="n">
        <v>1.25</v>
      </c>
      <c r="R541">
        <f>M541+IF(N541&gt;1,N(O541)*(N541-1),0)</f>
        <v/>
      </c>
      <c r="S541">
        <f>IFERROR(L541*MAX(N541,1)/R541*IF(ISBLANK(K540),1,K540),0)</f>
        <v/>
      </c>
      <c r="AB541" s="7" t="inlineStr">
        <is>
          <t>^Warhead_Tesla_Heavy</t>
        </is>
      </c>
    </row>
    <row r="542">
      <c r="B542" s="7" t="inlineStr">
        <is>
          <t xml:space="preserve">  ↳ Future_CoilerFriendMain</t>
        </is>
      </c>
      <c r="C542" s="7" t="inlineStr">
        <is>
          <t>Armament@Support</t>
        </is>
      </c>
      <c r="L542" s="6" t="n"/>
      <c r="M542" s="6" t="n">
        <v>125</v>
      </c>
      <c r="N542" s="6" t="n">
        <v>1</v>
      </c>
      <c r="O542" s="6" t="n"/>
      <c r="P542" s="6" t="n">
        <v>7500</v>
      </c>
      <c r="Q542" s="6" t="n">
        <v>1</v>
      </c>
      <c r="R542">
        <f>M542+IF(N542&gt;1,N(O542)*(N542-1),0)</f>
        <v/>
      </c>
      <c r="S542">
        <f>IFERROR(L542*MAX(N542,1)/R542*IF(ISBLANK(K540),1,K540),0)</f>
        <v/>
      </c>
      <c r="AB542" s="7" t="inlineStr">
        <is>
          <t>Future_CoilerFriend</t>
        </is>
      </c>
    </row>
    <row r="543">
      <c r="A543" t="inlineStr">
        <is>
          <t>redalert2mod</t>
        </is>
      </c>
      <c r="B543" t="inlineStr">
        <is>
          <t>futuretech_gunstrider</t>
        </is>
      </c>
      <c r="C543" t="inlineStr">
        <is>
          <t>Gun Strider</t>
        </is>
      </c>
      <c r="D543" s="6" t="inlineStr">
        <is>
          <t>FireSupport</t>
        </is>
      </c>
      <c r="E543" s="6" t="n">
        <v>320000</v>
      </c>
      <c r="F543" s="6" t="n">
        <v>35</v>
      </c>
      <c r="G543" t="inlineStr">
        <is>
          <t>Light</t>
        </is>
      </c>
      <c r="H543" s="6" t="n">
        <v>0.422</v>
      </c>
      <c r="I543" s="6" t="n">
        <v>1</v>
      </c>
      <c r="J543" s="6" t="n">
        <v>1</v>
      </c>
      <c r="K543" s="6" t="n"/>
      <c r="P543">
        <f>MAX(P544)</f>
        <v/>
      </c>
      <c r="S543">
        <f>S544</f>
        <v/>
      </c>
      <c r="T543">
        <f>(E543/100000+F543/100+(P543/1000)*J543/5+S543/200)*200*I543*H543</f>
        <v/>
      </c>
      <c r="U543">
        <f>((E543*F543/25000)+((P543/1000)*J543*S543/2.5))*I543*H543</f>
        <v/>
      </c>
      <c r="V543">
        <f>(E543*F543*(P543/1000)*J543*S543*I543*H543)/12500000</f>
        <v/>
      </c>
      <c r="W543">
        <f>(((E543/120000)+(F543/90)+(S543/2100)+((P543/10000)*J543))*1400/4+(((E543/120000)*(F543/90))+(((P543/10000)*J543)*(S543/2100)))*1400/2+((E543/120000)*(F543/90)*((P543/10000)*J543)*(S543/2100))*1400)*(H543/0.6735)/3</f>
        <v/>
      </c>
      <c r="X543" s="6" t="n">
        <v>2500</v>
      </c>
      <c r="Y543">
        <f>IFERROR(W543-X543,"")</f>
        <v/>
      </c>
      <c r="Z543">
        <f>IFERROR(ABS(Y543)/MAX(X543,1),"")</f>
        <v/>
      </c>
      <c r="AA543">
        <f>IFERROR(ROUND(((3*X543-(((E543/120000)+(F543/90)+(S543/2100))*1400/4+((E543/120000)*(F543/90))*1400/2)*(H543/0.6735))/(1400/4+((S543/2100))*1400/2+((E543/120000)*(F543/90)*(S543/2100))*1400)*(H543/0.6735)*10000)/J543,-1),"")</f>
        <v/>
      </c>
    </row>
    <row r="544">
      <c r="B544" s="7" t="inlineStr">
        <is>
          <t xml:space="preserve">  ↳ FutureMechGatling</t>
        </is>
      </c>
      <c r="C544" s="7" t="inlineStr">
        <is>
          <t>Armament</t>
        </is>
      </c>
      <c r="L544" s="6" t="n">
        <v>8000</v>
      </c>
      <c r="M544" s="6" t="n">
        <v>12</v>
      </c>
      <c r="N544" s="6" t="n">
        <v>1</v>
      </c>
      <c r="O544" s="6" t="n"/>
      <c r="P544" s="6" t="n">
        <v>8300</v>
      </c>
      <c r="Q544" s="6" t="n">
        <v>1</v>
      </c>
      <c r="R544">
        <f>M544+IF(N544&gt;1,N(O544)*(N544-1),0)</f>
        <v/>
      </c>
      <c r="S544">
        <f>IFERROR(L544*MAX(N544,1)/R544*IF(ISBLANK(K543),1,K543),0)</f>
        <v/>
      </c>
      <c r="AB544" s="7" t="inlineStr">
        <is>
          <t>^Warhead_Bullet_Medium</t>
        </is>
      </c>
    </row>
    <row r="545">
      <c r="A545" t="inlineStr">
        <is>
          <t>redalert2mod</t>
        </is>
      </c>
      <c r="B545" t="inlineStr">
        <is>
          <t>futuretech_missiledroid</t>
        </is>
      </c>
      <c r="C545" t="inlineStr">
        <is>
          <t>Missile Droid</t>
        </is>
      </c>
      <c r="D545" s="6" t="inlineStr">
        <is>
          <t>FireSupport</t>
        </is>
      </c>
      <c r="E545" s="6" t="n">
        <v>67500</v>
      </c>
      <c r="F545" s="6" t="n">
        <v>40</v>
      </c>
      <c r="G545" t="inlineStr">
        <is>
          <t>Flak</t>
        </is>
      </c>
      <c r="H545" s="6" t="n">
        <v>0.4015</v>
      </c>
      <c r="I545" s="6" t="n">
        <v>1</v>
      </c>
      <c r="J545" s="6" t="n">
        <v>1</v>
      </c>
      <c r="K545" s="6" t="n"/>
      <c r="P545">
        <f>MAX(P546,P547)</f>
        <v/>
      </c>
      <c r="S545">
        <f>S546+S547</f>
        <v/>
      </c>
      <c r="T545">
        <f>(E545/100000+F545/100+(P545/1000)*J545/5+S545/200)*200*I545*H545</f>
        <v/>
      </c>
      <c r="U545">
        <f>((E545*F545/25000)+((P545/1000)*J545*S545/2.5))*I545*H545</f>
        <v/>
      </c>
      <c r="V545">
        <f>(E545*F545*(P545/1000)*J545*S545*I545*H545)/12500000</f>
        <v/>
      </c>
      <c r="W545">
        <f>(((E545/10000)+(F545/55)+(S545/200)+((P545/6500)*J545))*300/4+(((E545/10000)*(F545/55))+(((P545/6500)*J545)*(S545/200)))*300/2+((E545/10000)*(F545/55)*((P545/6500)*J545)*(S545/200))*300)*(H545/1.0)/3</f>
        <v/>
      </c>
      <c r="X545" s="6" t="n">
        <v>700</v>
      </c>
      <c r="Y545">
        <f>IFERROR(W545-X545,"")</f>
        <v/>
      </c>
      <c r="Z545">
        <f>IFERROR(ABS(Y545)/MAX(X545,1),"")</f>
        <v/>
      </c>
      <c r="AA545">
        <f>IFERROR(ROUND(((3*X545-(((E545/10000)+(F545/55)+(S545/200))*300/4+((E545/10000)*(F545/55))*300/2)*(H545/1.0))/(300/4+((S545/200))*300/2+((E545/10000)*(F545/55)*(S545/200))*300)*(H545/1.0)*6500)/J545,-1),"")</f>
        <v/>
      </c>
    </row>
    <row r="546">
      <c r="B546" s="7" t="inlineStr">
        <is>
          <t xml:space="preserve">  ↳ MissileAttackRobotGun</t>
        </is>
      </c>
      <c r="C546" s="7" t="inlineStr">
        <is>
          <t>Armament@PRIMARY</t>
        </is>
      </c>
      <c r="L546" s="6" t="n">
        <v>24000</v>
      </c>
      <c r="M546" s="6" t="n">
        <v>65</v>
      </c>
      <c r="N546" s="6" t="n">
        <v>2</v>
      </c>
      <c r="O546" s="6" t="n">
        <v>5</v>
      </c>
      <c r="P546" s="6" t="n">
        <v>8000</v>
      </c>
      <c r="Q546" s="6" t="n">
        <v>0.875</v>
      </c>
      <c r="R546">
        <f>M546+IF(N546&gt;1,N(O546)*(N546-1),0)</f>
        <v/>
      </c>
      <c r="S546">
        <f>IFERROR(L546*MAX(N546,1)/R546*IF(ISBLANK(K545),1,K545),0)</f>
        <v/>
      </c>
      <c r="AB546" s="7" t="inlineStr">
        <is>
          <t>^Warhead_MissileAP_Medium, ^Warhead_MissileAP_Light</t>
        </is>
      </c>
    </row>
    <row r="547">
      <c r="B547" s="7" t="inlineStr">
        <is>
          <t xml:space="preserve">  ↳ MissileAttackRobotGun_elite</t>
        </is>
      </c>
      <c r="C547" s="7" t="inlineStr">
        <is>
          <t>Armament@ELITE</t>
        </is>
      </c>
      <c r="L547" s="6" t="n">
        <v>24000</v>
      </c>
      <c r="M547" s="6" t="n">
        <v>65</v>
      </c>
      <c r="N547" s="6" t="n">
        <v>4</v>
      </c>
      <c r="O547" s="6" t="n">
        <v>5</v>
      </c>
      <c r="P547" s="6" t="n">
        <v>9000</v>
      </c>
      <c r="Q547" s="6" t="n">
        <v>0.875</v>
      </c>
      <c r="R547">
        <f>M547+IF(N547&gt;1,N(O547)*(N547-1),0)</f>
        <v/>
      </c>
      <c r="S547">
        <f>IFERROR(L547*MAX(N547,1)/R547*IF(ISBLANK(K545),1,K545),0)</f>
        <v/>
      </c>
      <c r="AB547" s="7" t="inlineStr">
        <is>
          <t>^Warhead_MissileAP_Medium, ^Warhead_MissileAP_Light</t>
        </is>
      </c>
    </row>
    <row r="548">
      <c r="A548" t="inlineStr">
        <is>
          <t>d2k</t>
        </is>
      </c>
      <c r="B548" t="inlineStr">
        <is>
          <t>ixian_stormraider</t>
        </is>
      </c>
      <c r="C548" t="inlineStr">
        <is>
          <t>Storm Raider</t>
        </is>
      </c>
      <c r="D548" s="6" t="inlineStr">
        <is>
          <t>FireSupport</t>
        </is>
      </c>
      <c r="E548" s="6" t="n">
        <v>60000</v>
      </c>
      <c r="F548" s="6" t="n">
        <v>95</v>
      </c>
      <c r="G548" t="inlineStr">
        <is>
          <t>Light</t>
        </is>
      </c>
      <c r="H548" s="6" t="n">
        <v>0.75</v>
      </c>
      <c r="I548" s="6" t="n">
        <v>1</v>
      </c>
      <c r="J548" s="6" t="n">
        <v>1.5</v>
      </c>
      <c r="K548" s="6" t="n">
        <v>0.005</v>
      </c>
      <c r="P548">
        <f>MAX(P549,P550)</f>
        <v/>
      </c>
      <c r="S548">
        <f>S549+S550</f>
        <v/>
      </c>
      <c r="T548">
        <f>(E548/100000+F548/100+(P548/1000)*J548/5+S548/200)*200*I548*H548</f>
        <v/>
      </c>
      <c r="U548">
        <f>((E548*F548/25000)+((P548/1000)*J548*S548/2.5))*I548*H548</f>
        <v/>
      </c>
      <c r="V548">
        <f>(E548*F548*(P548/1000)*J548*S548*I548*H548)/12500000</f>
        <v/>
      </c>
      <c r="W548">
        <f>(((E548/120000)+(F548/90)+(S548/2100)+((P548/10000)*J548))*1400/4+(((E548/120000)*(F548/90))+(((P548/10000)*J548)*(S548/2100)))*1400/2+((E548/120000)*(F548/90)*((P548/10000)*J548)*(S548/2100))*1400)*(H548/0.6735)/3</f>
        <v/>
      </c>
      <c r="X548" s="6" t="n">
        <v>2200</v>
      </c>
      <c r="Y548">
        <f>IFERROR(W548-X548,"")</f>
        <v/>
      </c>
      <c r="Z548">
        <f>IFERROR(ABS(Y548)/MAX(X548,1),"")</f>
        <v/>
      </c>
      <c r="AA548">
        <f>IFERROR(ROUND(((3*X548-(((E548/120000)+(F548/90)+(S548/2100))*1400/4+((E548/120000)*(F548/90))*1400/2)*(H548/0.6735))/(1400/4+((S548/2100))*1400/2+((E548/120000)*(F548/90)*(S548/2100))*1400)*(H548/0.6735)*10000)/J548,-1),"")</f>
        <v/>
      </c>
    </row>
    <row r="549">
      <c r="B549" s="7" t="inlineStr">
        <is>
          <t xml:space="preserve">  ↳ D2K_ShockGun2</t>
        </is>
      </c>
      <c r="C549" s="7" t="inlineStr">
        <is>
          <t>Armament@damage</t>
        </is>
      </c>
      <c r="L549" s="6" t="n">
        <v>40000</v>
      </c>
      <c r="M549" s="6" t="n">
        <v>100</v>
      </c>
      <c r="N549" s="6" t="n">
        <v>1</v>
      </c>
      <c r="O549" s="6" t="n"/>
      <c r="P549" s="6" t="n">
        <v>7343</v>
      </c>
      <c r="Q549" s="6" t="n">
        <v>1.25</v>
      </c>
      <c r="R549">
        <f>M549+IF(N549&gt;1,N(O549)*(N549-1),0)</f>
        <v/>
      </c>
      <c r="S549">
        <f>IFERROR(L549*MAX(N549,1)/R549*IF(ISBLANK(K548),1,K548),0)</f>
        <v/>
      </c>
      <c r="AB549" s="7" t="inlineStr">
        <is>
          <t>^Warhead_Storm_Heavy</t>
        </is>
      </c>
    </row>
    <row r="550">
      <c r="B550" s="7" t="inlineStr">
        <is>
          <t xml:space="preserve">  ↳ D2K_StormGun</t>
        </is>
      </c>
      <c r="C550" s="7" t="inlineStr">
        <is>
          <t>Armament@StormEffect</t>
        </is>
      </c>
      <c r="L550" s="6" t="n">
        <v>80000</v>
      </c>
      <c r="M550" s="6" t="n">
        <v>100</v>
      </c>
      <c r="N550" s="6" t="n">
        <v>1</v>
      </c>
      <c r="O550" s="6" t="n"/>
      <c r="P550" s="6" t="n">
        <v>7343</v>
      </c>
      <c r="Q550" s="6" t="n">
        <v>1.25</v>
      </c>
      <c r="R550">
        <f>M550+IF(N550&gt;1,N(O550)*(N550-1),0)</f>
        <v/>
      </c>
      <c r="S550">
        <f>IFERROR(L550*MAX(N550,1)/R550*IF(ISBLANK(K548),1,K548),0)</f>
        <v/>
      </c>
      <c r="AB550" s="7" t="inlineStr">
        <is>
          <t>^Warhead_Storm_Heavy</t>
        </is>
      </c>
    </row>
    <row r="551">
      <c r="A551" t="inlineStr">
        <is>
          <t>starcraft</t>
        </is>
      </c>
      <c r="B551" t="inlineStr">
        <is>
          <t>protoss_reaver</t>
        </is>
      </c>
      <c r="C551" t="inlineStr">
        <is>
          <t>Reaver</t>
        </is>
      </c>
      <c r="D551" s="6" t="inlineStr">
        <is>
          <t>FireSupport</t>
        </is>
      </c>
      <c r="E551" s="6" t="n">
        <v>275000</v>
      </c>
      <c r="F551" s="6" t="n">
        <v>40</v>
      </c>
      <c r="G551" t="inlineStr">
        <is>
          <t>Light</t>
        </is>
      </c>
      <c r="H551" s="6" t="n">
        <v>1</v>
      </c>
      <c r="I551" s="6" t="n">
        <v>1</v>
      </c>
      <c r="J551" s="6" t="n">
        <v>1</v>
      </c>
      <c r="K551" s="6" t="n"/>
      <c r="P551">
        <f>MAX(P552,P553)</f>
        <v/>
      </c>
      <c r="S551">
        <f>S552+S553</f>
        <v/>
      </c>
      <c r="T551">
        <f>(E551/100000+F551/100+(P551/1000)*J551/5+S551/200)*200*I551*H551</f>
        <v/>
      </c>
      <c r="U551">
        <f>((E551*F551/25000)+((P551/1000)*J551*S551/2.5))*I551*H551</f>
        <v/>
      </c>
      <c r="V551">
        <f>(E551*F551*(P551/1000)*J551*S551*I551*H551)/12500000</f>
        <v/>
      </c>
      <c r="W551">
        <f>(((E551/120000)+(F551/90)+(S551/2100)+((P551/10000)*J551))*1400/4+(((E551/120000)*(F551/90))+(((P551/10000)*J551)*(S551/2100)))*1400/2+((E551/120000)*(F551/90)*((P551/10000)*J551)*(S551/2100))*1400)*(H551/0.6735)/3</f>
        <v/>
      </c>
      <c r="X551" s="6" t="n">
        <v>2700</v>
      </c>
      <c r="Y551">
        <f>IFERROR(W551-X551,"")</f>
        <v/>
      </c>
      <c r="Z551">
        <f>IFERROR(ABS(Y551)/MAX(X551,1),"")</f>
        <v/>
      </c>
      <c r="AA551">
        <f>IFERROR(ROUND(((3*X551-(((E551/120000)+(F551/90)+(S551/2100))*1400/4+((E551/120000)*(F551/90))*1400/2)*(H551/0.6735))/(1400/4+((S551/2100))*1400/2+((E551/120000)*(F551/90)*(S551/2100))*1400)*(H551/0.6735)*10000)/J551,-1),"")</f>
        <v/>
      </c>
    </row>
    <row r="552">
      <c r="B552" s="7" t="inlineStr">
        <is>
          <t xml:space="preserve">  ↳ ScarabLaunch</t>
        </is>
      </c>
      <c r="C552" s="7" t="inlineStr">
        <is>
          <t>Armament@primary</t>
        </is>
      </c>
      <c r="L552" s="6" t="n">
        <v>200000</v>
      </c>
      <c r="M552" s="6" t="n">
        <v>90</v>
      </c>
      <c r="N552" s="6" t="n">
        <v>1</v>
      </c>
      <c r="O552" s="6" t="n"/>
      <c r="P552" s="6" t="n">
        <v>7777</v>
      </c>
      <c r="Q552" s="6" t="n">
        <v>1.25</v>
      </c>
      <c r="R552">
        <f>M552+IF(N552&gt;1,N(O552)*(N552-1),0)</f>
        <v/>
      </c>
      <c r="S552">
        <f>IFERROR(L552*MAX(N552,1)/R552*IF(ISBLANK(K551),1,K551),0)</f>
        <v/>
      </c>
      <c r="AB552" s="7" t="inlineStr">
        <is>
          <t>^Warhead_CannonHE_Heavy</t>
        </is>
      </c>
    </row>
    <row r="553">
      <c r="B553" s="7" t="inlineStr">
        <is>
          <t xml:space="preserve">  ↳ ScarabLaunchDummy</t>
        </is>
      </c>
      <c r="C553" s="7" t="inlineStr">
        <is>
          <t>Armament@secondary</t>
        </is>
      </c>
      <c r="L553" s="6" t="n">
        <v>0</v>
      </c>
      <c r="M553" s="6" t="n">
        <v>90</v>
      </c>
      <c r="N553" s="6" t="n">
        <v>1</v>
      </c>
      <c r="O553" s="6" t="n"/>
      <c r="P553" s="6" t="n">
        <v>7777</v>
      </c>
      <c r="Q553" s="6" t="n">
        <v>1</v>
      </c>
      <c r="R553">
        <f>M553+IF(N553&gt;1,N(O553)*(N553-1),0)</f>
        <v/>
      </c>
      <c r="S553">
        <f>IFERROR(L553*MAX(N553,1)/R553*IF(ISBLANK(K551),1,K551),0)</f>
        <v/>
      </c>
      <c r="AB553" s="7" t="inlineStr"/>
    </row>
    <row r="554">
      <c r="A554" t="inlineStr">
        <is>
          <t>starcraft</t>
        </is>
      </c>
      <c r="B554" t="inlineStr">
        <is>
          <t>zerg_lurker</t>
        </is>
      </c>
      <c r="C554" t="inlineStr">
        <is>
          <t>Lurker</t>
        </is>
      </c>
      <c r="D554" s="6" t="inlineStr">
        <is>
          <t>FireSupport</t>
        </is>
      </c>
      <c r="E554" s="6" t="n">
        <v>125000</v>
      </c>
      <c r="F554" s="6" t="n">
        <v>90</v>
      </c>
      <c r="G554" t="inlineStr">
        <is>
          <t>Light</t>
        </is>
      </c>
      <c r="H554" s="6" t="n">
        <v>1</v>
      </c>
      <c r="I554" s="6" t="n">
        <v>1</v>
      </c>
      <c r="J554" s="6" t="n">
        <v>1.25</v>
      </c>
      <c r="K554" s="6" t="n"/>
      <c r="X554" s="6" t="n">
        <v>1300</v>
      </c>
    </row>
    <row r="555">
      <c r="B555" s="7" t="inlineStr">
        <is>
          <t xml:space="preserve">  ↳ LurkerTargeting</t>
        </is>
      </c>
      <c r="C555" s="7" t="inlineStr">
        <is>
          <t>Armament@Dummy</t>
        </is>
      </c>
      <c r="L555" s="6" t="n"/>
      <c r="M555" s="6" t="n">
        <v>33</v>
      </c>
      <c r="N555" s="6" t="n">
        <v>1</v>
      </c>
      <c r="O555" s="6" t="n"/>
      <c r="P555" s="6" t="n">
        <v>6666</v>
      </c>
      <c r="Q555" s="6" t="n">
        <v>1</v>
      </c>
      <c r="R555">
        <f>M555+IF(N555&gt;1,N(O555)*(N555-1),0)</f>
        <v/>
      </c>
      <c r="S555">
        <f>IFERROR(L555*MAX(N555,1)/R555*IF(ISBLANK(K554),1,K554),0)</f>
        <v/>
      </c>
      <c r="AB555" s="7" t="inlineStr"/>
    </row>
    <row r="556">
      <c r="B556" s="7" t="inlineStr">
        <is>
          <t xml:space="preserve">  ↳ LurkerSpines</t>
        </is>
      </c>
      <c r="C556" s="7" t="inlineStr">
        <is>
          <t>Armament@Deployed</t>
        </is>
      </c>
      <c r="L556" s="6" t="n"/>
      <c r="M556" s="6" t="n">
        <v>66</v>
      </c>
      <c r="N556" s="6" t="n">
        <v>1</v>
      </c>
      <c r="O556" s="6" t="n"/>
      <c r="P556" s="6" t="n">
        <v>6666</v>
      </c>
      <c r="Q556" s="6" t="n">
        <v>1</v>
      </c>
      <c r="R556">
        <f>M556+IF(N556&gt;1,N(O556)*(N556-1),0)</f>
        <v/>
      </c>
      <c r="S556">
        <f>IFERROR(L556*MAX(N556,1)/R556*IF(ISBLANK(K554),1,K554),0)</f>
        <v/>
      </c>
      <c r="AB556" s="7" t="inlineStr"/>
    </row>
    <row r="557">
      <c r="A557" t="inlineStr">
        <is>
          <t>starcraft</t>
        </is>
      </c>
      <c r="B557" t="inlineStr">
        <is>
          <t>zerg_sporemaw</t>
        </is>
      </c>
      <c r="C557" t="inlineStr">
        <is>
          <t>Sporemaw</t>
        </is>
      </c>
      <c r="D557" s="6" t="inlineStr">
        <is>
          <t>FireSupport</t>
        </is>
      </c>
      <c r="E557" s="6" t="n">
        <v>25000</v>
      </c>
      <c r="F557" s="6" t="n">
        <v>80</v>
      </c>
      <c r="G557" t="inlineStr">
        <is>
          <t>Light</t>
        </is>
      </c>
      <c r="H557" s="6" t="n">
        <v>1</v>
      </c>
      <c r="I557" s="6" t="n">
        <v>1</v>
      </c>
      <c r="J557" s="6" t="n">
        <v>1</v>
      </c>
      <c r="K557" s="6" t="n"/>
      <c r="P557">
        <f>MAX(P558)</f>
        <v/>
      </c>
      <c r="S557">
        <f>S558</f>
        <v/>
      </c>
      <c r="T557">
        <f>(E557/100000+F557/100+(P557/1000)*J557/5+S557/200)*200*I557*H557</f>
        <v/>
      </c>
      <c r="U557">
        <f>((E557*F557/25000)+((P557/1000)*J557*S557/2.5))*I557*H557</f>
        <v/>
      </c>
      <c r="V557">
        <f>(E557*F557*(P557/1000)*J557*S557*I557*H557)/12500000</f>
        <v/>
      </c>
      <c r="W557">
        <f>(((E557/120000)+(F557/90)+(S557/2100)+((P557/10000)*J557))*1400/4+(((E557/120000)*(F557/90))+(((P557/10000)*J557)*(S557/2100)))*1400/2+((E557/120000)*(F557/90)*((P557/10000)*J557)*(S557/2100))*1400)*(H557/0.6735)/3</f>
        <v/>
      </c>
      <c r="X557" s="6" t="n">
        <v>1000</v>
      </c>
      <c r="Y557">
        <f>IFERROR(W557-X557,"")</f>
        <v/>
      </c>
      <c r="Z557">
        <f>IFERROR(ABS(Y557)/MAX(X557,1),"")</f>
        <v/>
      </c>
      <c r="AA557">
        <f>IFERROR(ROUND(((3*X557-(((E557/120000)+(F557/90)+(S557/2100))*1400/4+((E557/120000)*(F557/90))*1400/2)*(H557/0.6735))/(1400/4+((S557/2100))*1400/2+((E557/120000)*(F557/90)*(S557/2100))*1400)*(H557/0.6735)*10000)/J557,-1),"")</f>
        <v/>
      </c>
    </row>
    <row r="558">
      <c r="B558" s="7" t="inlineStr">
        <is>
          <t xml:space="preserve">  ↳ SporemawShoot</t>
        </is>
      </c>
      <c r="C558" s="7" t="inlineStr">
        <is>
          <t>Armament@PRIMARY</t>
        </is>
      </c>
      <c r="L558" s="6" t="n">
        <v>18000</v>
      </c>
      <c r="M558" s="6" t="n">
        <v>40</v>
      </c>
      <c r="N558" s="6" t="n">
        <v>1</v>
      </c>
      <c r="O558" s="6" t="n"/>
      <c r="P558" s="6" t="n">
        <v>7740</v>
      </c>
      <c r="Q558" s="6" t="n">
        <v>1</v>
      </c>
      <c r="R558">
        <f>M558+IF(N558&gt;1,N(O558)*(N558-1),0)</f>
        <v/>
      </c>
      <c r="S558">
        <f>IFERROR(L558*MAX(N558,1)/R558*IF(ISBLANK(K557),1,K557),0)</f>
        <v/>
      </c>
      <c r="AB558" s="7" t="inlineStr">
        <is>
          <t>^TankDestroyerCannon, ^MediumCannon, ^HeavyCannon, ^Grenade, ^ShrapnelWeapon, ^HeavyBomb, ^MediumMissile, ^Chaingun, ^FlakWeapon</t>
        </is>
      </c>
    </row>
    <row r="559">
      <c r="B559" s="7" t="inlineStr">
        <is>
          <t xml:space="preserve">  ↳ SporemawShoot</t>
        </is>
      </c>
      <c r="C559" s="7" t="inlineStr">
        <is>
          <t>Armament@GARRISONED</t>
        </is>
      </c>
      <c r="L559" s="6" t="n">
        <v>18000</v>
      </c>
      <c r="M559" s="6" t="n">
        <v>40</v>
      </c>
      <c r="N559" s="6" t="n">
        <v>1</v>
      </c>
      <c r="O559" s="6" t="n"/>
      <c r="P559" s="6" t="n">
        <v>7740</v>
      </c>
      <c r="Q559" s="6" t="n">
        <v>1</v>
      </c>
      <c r="R559">
        <f>M559+IF(N559&gt;1,N(O559)*(N559-1),0)</f>
        <v/>
      </c>
      <c r="S559">
        <f>IFERROR(L559*MAX(N559,1)/R559*IF(ISBLANK(K557),1,K557),0)</f>
        <v/>
      </c>
      <c r="AB559" s="7" t="inlineStr">
        <is>
          <t>^TankDestroyerCannon, ^MediumCannon, ^HeavyCannon, ^Grenade, ^ShrapnelWeapon, ^HeavyBomb, ^MediumMissile, ^Chaingun, ^FlakWeapon</t>
        </is>
      </c>
    </row>
    <row r="560">
      <c r="A560" s="4" t="inlineStr">
        <is>
          <t>SupportVehicle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</row>
    <row r="561">
      <c r="A561" t="inlineStr">
        <is>
          <t>tiberiandawn</t>
        </is>
      </c>
      <c r="B561" t="inlineStr">
        <is>
          <t>td_gdi_apc</t>
        </is>
      </c>
      <c r="C561" t="inlineStr">
        <is>
          <t>GDI APC</t>
        </is>
      </c>
      <c r="D561" s="6" t="inlineStr">
        <is>
          <t>SupportVehicle</t>
        </is>
      </c>
      <c r="E561" s="6" t="n">
        <v>47500</v>
      </c>
      <c r="F561" s="6" t="n">
        <v>100</v>
      </c>
      <c r="G561" t="inlineStr">
        <is>
          <t>Medium</t>
        </is>
      </c>
      <c r="H561" s="6" t="n">
        <v>0.8048999999999999</v>
      </c>
      <c r="I561" s="6" t="n">
        <v>1</v>
      </c>
      <c r="J561" s="6" t="n">
        <v>1</v>
      </c>
      <c r="K561" s="6" t="n"/>
      <c r="P561">
        <f>MAX(P562,P563)</f>
        <v/>
      </c>
      <c r="S561">
        <f>S562+S563</f>
        <v/>
      </c>
      <c r="T561">
        <f>(E561/100000+F561/100+(P561/1000)*J561/5+S561/200)*200*I561*H561</f>
        <v/>
      </c>
      <c r="U561">
        <f>((E561*F561/25000)+((P561/1000)*J561*S561/2.5))*I561*H561</f>
        <v/>
      </c>
      <c r="V561">
        <f>(E561*F561*(P561/1000)*J561*S561*I561*H561)/12500000</f>
        <v/>
      </c>
      <c r="W561">
        <f>(T561+U561+V561)/3</f>
        <v/>
      </c>
      <c r="X561" s="6" t="n">
        <v>1200</v>
      </c>
      <c r="Y561">
        <f>IFERROR(W561-X561,"")</f>
        <v/>
      </c>
      <c r="Z561">
        <f>IFERROR(ABS(Y561)/MAX(X561,1),"")</f>
        <v/>
      </c>
      <c r="AA561">
        <f>IFERROR((X561-(((E561/100000+F561/100+S561/200)*200*I561*H561)+((E561*F561/25000)*I561*H561))/3)/(((J561/5)*200*I561*H561)+((J561*S561/2.5)*I561*H561)+((E561*F561*J561*S561*I561*H561)/12500000))/3*1000,"")</f>
        <v/>
      </c>
    </row>
    <row r="562">
      <c r="B562" s="7" t="inlineStr">
        <is>
          <t xml:space="preserve">  ↳ APCGun</t>
        </is>
      </c>
      <c r="C562" s="7" t="inlineStr">
        <is>
          <t>Armament@PRIMARY</t>
        </is>
      </c>
      <c r="L562" s="6" t="n">
        <v>4000</v>
      </c>
      <c r="M562" s="6" t="n">
        <v>10</v>
      </c>
      <c r="N562" s="6" t="n">
        <v>1</v>
      </c>
      <c r="O562" s="6" t="n"/>
      <c r="P562" s="6" t="n">
        <v>5668</v>
      </c>
      <c r="Q562" s="6" t="n">
        <v>1</v>
      </c>
      <c r="R562">
        <f>M562+IF(N562&gt;1,N(O562)*(N562-1),0)</f>
        <v/>
      </c>
      <c r="S562">
        <f>IFERROR(L562*MAX(N562,1)/R562*IF(ISBLANK(K561),1,K561),0)</f>
        <v/>
      </c>
      <c r="AB562" s="7" t="inlineStr">
        <is>
          <t>^Warhead_Bullet_Medium, ^Warhead_Flak_Medium</t>
        </is>
      </c>
    </row>
    <row r="563">
      <c r="B563" s="7" t="inlineStr">
        <is>
          <t xml:space="preserve">  ↳ APCGun_AA</t>
        </is>
      </c>
      <c r="C563" s="7" t="inlineStr">
        <is>
          <t>Armament@SECONDARY</t>
        </is>
      </c>
      <c r="L563" s="6" t="n">
        <v>4000</v>
      </c>
      <c r="M563" s="6" t="n">
        <v>10</v>
      </c>
      <c r="N563" s="6" t="n">
        <v>1</v>
      </c>
      <c r="O563" s="6" t="n"/>
      <c r="P563" s="6" t="n">
        <v>8502</v>
      </c>
      <c r="Q563" s="6" t="n">
        <v>1</v>
      </c>
      <c r="R563">
        <f>M563+IF(N563&gt;1,N(O563)*(N563-1),0)</f>
        <v/>
      </c>
      <c r="S563">
        <f>IFERROR(L563*MAX(N563,1)/R563*IF(ISBLANK(K561),1,K561),0)</f>
        <v/>
      </c>
      <c r="AB563" s="7" t="inlineStr">
        <is>
          <t>^Warhead_Bullet_Medium, ^Warhead_Flak_Medium</t>
        </is>
      </c>
    </row>
    <row r="564">
      <c r="A564" t="inlineStr">
        <is>
          <t>tiberiandawn</t>
        </is>
      </c>
      <c r="B564" t="inlineStr">
        <is>
          <t>td_gdi_boxer</t>
        </is>
      </c>
      <c r="C564" t="inlineStr">
        <is>
          <t>Boxer</t>
        </is>
      </c>
      <c r="D564" s="6" t="inlineStr">
        <is>
          <t>SupportVehicle</t>
        </is>
      </c>
      <c r="E564" s="6" t="n">
        <v>110000</v>
      </c>
      <c r="F564" s="6" t="n">
        <v>80</v>
      </c>
      <c r="G564" t="inlineStr">
        <is>
          <t>Medium</t>
        </is>
      </c>
      <c r="H564" s="6" t="n">
        <v>1</v>
      </c>
      <c r="I564" s="6" t="n">
        <v>1</v>
      </c>
      <c r="J564" s="6" t="n">
        <v>1.25</v>
      </c>
      <c r="K564" s="6" t="n">
        <v>0.005</v>
      </c>
      <c r="P564">
        <f>MAX(P565,P566)</f>
        <v/>
      </c>
      <c r="S564">
        <f>S565+S566</f>
        <v/>
      </c>
      <c r="T564">
        <f>(E564/100000+F564/100+(P564/1000)*J564/5+S564/200)*200*I564*H564</f>
        <v/>
      </c>
      <c r="U564">
        <f>((E564*F564/25000)+((P564/1000)*J564*S564/2.5))*I564*H564</f>
        <v/>
      </c>
      <c r="V564">
        <f>(E564*F564*(P564/1000)*J564*S564*I564*H564)/12500000</f>
        <v/>
      </c>
      <c r="W564">
        <f>(T564+U564+V564)/3</f>
        <v/>
      </c>
      <c r="X564" s="6" t="n">
        <v>1550</v>
      </c>
      <c r="Y564">
        <f>IFERROR(W564-X564,"")</f>
        <v/>
      </c>
      <c r="Z564">
        <f>IFERROR(ABS(Y564)/MAX(X564,1),"")</f>
        <v/>
      </c>
      <c r="AA564">
        <f>IFERROR((X564-(((E564/100000+F564/100+S564/200)*200*I564*H564)+((E564*F564/25000)*I564*H564))/3)/(((J564/5)*200*I564*H564)+((J564*S564/2.5)*I564*H564)+((E564*F564*J564*S564*I564*H564)/12500000))/3*1000,"")</f>
        <v/>
      </c>
    </row>
    <row r="565">
      <c r="B565" s="7" t="inlineStr">
        <is>
          <t xml:space="preserve">  ↳ BoxerCannonAG</t>
        </is>
      </c>
      <c r="C565" s="7" t="inlineStr">
        <is>
          <t>Armament@AG</t>
        </is>
      </c>
      <c r="L565" s="6" t="n">
        <v>12000</v>
      </c>
      <c r="M565" s="6" t="n">
        <v>11</v>
      </c>
      <c r="N565" s="6" t="n">
        <v>1</v>
      </c>
      <c r="O565" s="6" t="n"/>
      <c r="P565" s="6" t="n">
        <v>4860</v>
      </c>
      <c r="Q565" s="6" t="n">
        <v>1</v>
      </c>
      <c r="R565">
        <f>M565+IF(N565&gt;1,N(O565)*(N565-1),0)</f>
        <v/>
      </c>
      <c r="S565">
        <f>IFERROR(L565*MAX(N565,1)/R565*IF(ISBLANK(K564),1,K564),0)</f>
        <v/>
      </c>
      <c r="AB565" s="7" t="inlineStr">
        <is>
          <t>^SmallArms, ^LightMissile, ^Grenade, ^MediumCannon, ^Chaingun, ^FlakWeapon</t>
        </is>
      </c>
    </row>
    <row r="566">
      <c r="B566" s="7" t="inlineStr">
        <is>
          <t xml:space="preserve">  ↳ BoxerCannon_AA</t>
        </is>
      </c>
      <c r="C566" s="7" t="inlineStr">
        <is>
          <t>Armament@AA</t>
        </is>
      </c>
      <c r="L566" s="6" t="n">
        <v>12000</v>
      </c>
      <c r="M566" s="6" t="n">
        <v>11</v>
      </c>
      <c r="N566" s="6" t="n">
        <v>1</v>
      </c>
      <c r="O566" s="6" t="n"/>
      <c r="P566" s="6" t="n">
        <v>7290</v>
      </c>
      <c r="Q566" s="6" t="n">
        <v>1</v>
      </c>
      <c r="R566">
        <f>M566+IF(N566&gt;1,N(O566)*(N566-1),0)</f>
        <v/>
      </c>
      <c r="S566">
        <f>IFERROR(L566*MAX(N566,1)/R566*IF(ISBLANK(K564),1,K564),0)</f>
        <v/>
      </c>
      <c r="AB566" s="7" t="inlineStr">
        <is>
          <t>BoxerCannonAG</t>
        </is>
      </c>
    </row>
    <row r="567">
      <c r="A567" t="inlineStr">
        <is>
          <t>tiberiandawn</t>
        </is>
      </c>
      <c r="B567" t="inlineStr">
        <is>
          <t>td_gdi_mobileconstructionvehicle</t>
        </is>
      </c>
      <c r="C567" t="inlineStr">
        <is>
          <t>GDI Mobile Construction Vehicle</t>
        </is>
      </c>
      <c r="D567" s="6" t="inlineStr">
        <is>
          <t>SupportVehicle</t>
        </is>
      </c>
      <c r="E567" s="6" t="n">
        <v>300000</v>
      </c>
      <c r="F567" s="6" t="n">
        <v>75</v>
      </c>
      <c r="G567" t="inlineStr">
        <is>
          <t>Medium</t>
        </is>
      </c>
      <c r="H567" s="6" t="n">
        <v>0.8048999999999999</v>
      </c>
      <c r="I567" s="6" t="n">
        <v>1</v>
      </c>
      <c r="J567" s="6" t="n">
        <v>1</v>
      </c>
      <c r="K567" s="6" t="n"/>
      <c r="X567" s="6" t="n">
        <v>5000</v>
      </c>
    </row>
    <row r="568">
      <c r="A568" t="inlineStr">
        <is>
          <t>tiberiandawn</t>
        </is>
      </c>
      <c r="B568" t="inlineStr">
        <is>
          <t>td_nod_mobileconstructionvehicle</t>
        </is>
      </c>
      <c r="C568" t="inlineStr">
        <is>
          <t>Nod Mobile Construction Vehicle</t>
        </is>
      </c>
      <c r="D568" s="6" t="inlineStr">
        <is>
          <t>SupportVehicle</t>
        </is>
      </c>
      <c r="E568" s="6" t="n">
        <v>300000</v>
      </c>
      <c r="F568" s="6" t="n">
        <v>75</v>
      </c>
      <c r="G568" t="inlineStr">
        <is>
          <t>Medium</t>
        </is>
      </c>
      <c r="H568" s="6" t="n">
        <v>0.8462</v>
      </c>
      <c r="I568" s="6" t="n">
        <v>1</v>
      </c>
      <c r="J568" s="6" t="n">
        <v>1</v>
      </c>
      <c r="K568" s="6" t="n"/>
      <c r="X568" s="6" t="n">
        <v>5000</v>
      </c>
    </row>
    <row r="569">
      <c r="A569" t="inlineStr">
        <is>
          <t>shared</t>
        </is>
      </c>
      <c r="B569" t="inlineStr">
        <is>
          <t>ra1_allies_alliedapc</t>
        </is>
      </c>
      <c r="C569" t="inlineStr">
        <is>
          <t>Allied APC</t>
        </is>
      </c>
      <c r="D569" s="6" t="inlineStr">
        <is>
          <t>SupportVehicle</t>
        </is>
      </c>
      <c r="E569" s="6" t="n">
        <v>50000</v>
      </c>
      <c r="F569" s="6" t="n">
        <v>105</v>
      </c>
      <c r="G569" t="inlineStr">
        <is>
          <t>Medium</t>
        </is>
      </c>
      <c r="H569" s="6" t="n">
        <v>1</v>
      </c>
      <c r="I569" s="6" t="n">
        <v>1</v>
      </c>
      <c r="J569" s="6" t="n">
        <v>1</v>
      </c>
      <c r="K569" s="6" t="n"/>
      <c r="P569">
        <f>MAX(P570,P571)</f>
        <v/>
      </c>
      <c r="S569">
        <f>S570+S571</f>
        <v/>
      </c>
      <c r="T569">
        <f>(E569/100000+F569/100+(P569/1000)*J569/5+S569/200)*200*I569*H569</f>
        <v/>
      </c>
      <c r="U569">
        <f>((E569*F569/25000)+((P569/1000)*J569*S569/2.5))*I569*H569</f>
        <v/>
      </c>
      <c r="V569">
        <f>(E569*F569*(P569/1000)*J569*S569*I569*H569)/12500000</f>
        <v/>
      </c>
      <c r="W569">
        <f>(T569+U569+V569)/3</f>
        <v/>
      </c>
      <c r="X569" s="6" t="n">
        <v>1300</v>
      </c>
      <c r="Y569">
        <f>IFERROR(W569-X569,"")</f>
        <v/>
      </c>
      <c r="Z569">
        <f>IFERROR(ABS(Y569)/MAX(X569,1),"")</f>
        <v/>
      </c>
      <c r="AA569">
        <f>IFERROR((X569-(((E569/100000+F569/100+S569/200)*200*I569*H569)+((E569*F569/25000)*I569*H569))/3)/(((J569/5)*200*I569*H569)+((J569*S569/2.5)*I569*H569)+((E569*F569*J569*S569*I569*H569)/12500000))/3*1000,"")</f>
        <v/>
      </c>
    </row>
    <row r="570">
      <c r="B570" s="7" t="inlineStr">
        <is>
          <t xml:space="preserve">  ↳ APCGunAllies</t>
        </is>
      </c>
      <c r="C570" s="7" t="inlineStr">
        <is>
          <t>Armament@PRIMARY</t>
        </is>
      </c>
      <c r="L570" s="6" t="n">
        <v>4000</v>
      </c>
      <c r="M570" s="6" t="n">
        <v>10</v>
      </c>
      <c r="N570" s="6" t="n">
        <v>1</v>
      </c>
      <c r="O570" s="6" t="n"/>
      <c r="P570" s="6" t="n">
        <v>5978</v>
      </c>
      <c r="Q570" s="6" t="n">
        <v>1</v>
      </c>
      <c r="R570">
        <f>M570+IF(N570&gt;1,N(O570)*(N570-1),0)</f>
        <v/>
      </c>
      <c r="S570">
        <f>IFERROR(L570*MAX(N570,1)/R570*IF(ISBLANK(K569),1,K569),0)</f>
        <v/>
      </c>
      <c r="AB570" s="7" t="inlineStr">
        <is>
          <t>^Warhead_Bullet_Medium, ^Warhead_Flak_Medium</t>
        </is>
      </c>
    </row>
    <row r="571">
      <c r="B571" s="7" t="inlineStr">
        <is>
          <t xml:space="preserve">  ↳ APCGunAllies_AA</t>
        </is>
      </c>
      <c r="C571" s="7" t="inlineStr">
        <is>
          <t>Armament@SECONDARY</t>
        </is>
      </c>
      <c r="L571" s="6" t="n">
        <v>4000</v>
      </c>
      <c r="M571" s="6" t="n">
        <v>10</v>
      </c>
      <c r="N571" s="6" t="n">
        <v>1</v>
      </c>
      <c r="O571" s="6" t="n"/>
      <c r="P571" s="6" t="n">
        <v>8967</v>
      </c>
      <c r="Q571" s="6" t="n">
        <v>1</v>
      </c>
      <c r="R571">
        <f>M571+IF(N571&gt;1,N(O571)*(N571-1),0)</f>
        <v/>
      </c>
      <c r="S571">
        <f>IFERROR(L571*MAX(N571,1)/R571*IF(ISBLANK(K569),1,K569),0)</f>
        <v/>
      </c>
      <c r="AB571" s="7" t="inlineStr">
        <is>
          <t>^Warhead_Bullet_Medium, ^Warhead_Flak_Medium</t>
        </is>
      </c>
    </row>
    <row r="572">
      <c r="A572" t="inlineStr">
        <is>
          <t>redalert</t>
        </is>
      </c>
      <c r="B572" t="inlineStr">
        <is>
          <t>japan_hovercrafttransport</t>
        </is>
      </c>
      <c r="C572" t="inlineStr">
        <is>
          <t>Hovercraft Transport</t>
        </is>
      </c>
      <c r="D572" s="6" t="inlineStr">
        <is>
          <t>SupportVehicle</t>
        </is>
      </c>
      <c r="E572" s="6" t="n">
        <v>65000</v>
      </c>
      <c r="F572" s="6" t="n">
        <v>130</v>
      </c>
      <c r="G572" t="inlineStr">
        <is>
          <t>Medium</t>
        </is>
      </c>
      <c r="H572" s="6" t="n">
        <v>0.6875</v>
      </c>
      <c r="I572" s="6" t="n">
        <v>1</v>
      </c>
      <c r="J572" s="6" t="n">
        <v>1</v>
      </c>
      <c r="K572" s="6" t="n">
        <v>0.005</v>
      </c>
      <c r="P572">
        <f>MAX(P573,P574,P575,P576,P577,P578)</f>
        <v/>
      </c>
      <c r="S572">
        <f>S573+S574+S575+S576+S577+S578</f>
        <v/>
      </c>
      <c r="T572">
        <f>(E572/100000+F572/100+(P572/1000)*J572/5+S572/200)*200*I572*H572</f>
        <v/>
      </c>
      <c r="U572">
        <f>((E572*F572/25000)+((P572/1000)*J572*S572/2.5))*I572*H572</f>
        <v/>
      </c>
      <c r="V572">
        <f>(E572*F572*(P572/1000)*J572*S572*I572*H572)/12500000</f>
        <v/>
      </c>
      <c r="W572">
        <f>(T572+U572+V572)/3</f>
        <v/>
      </c>
      <c r="X572" s="6" t="n">
        <v>1500</v>
      </c>
      <c r="Y572">
        <f>IFERROR(W572-X572,"")</f>
        <v/>
      </c>
      <c r="Z572">
        <f>IFERROR(ABS(Y572)/MAX(X572,1),"")</f>
        <v/>
      </c>
      <c r="AA572">
        <f>IFERROR((X572-(((E572/100000+F572/100+S572/200)*200*I572*H572)+((E572*F572/25000)*I572*H572))/3)/(((J572/5)*200*I572*H572)+((J572*S572/2.5)*I572*H572)+((E572*F572*J572*S572*I572*H572)/12500000))/3*1000,"")</f>
        <v/>
      </c>
    </row>
    <row r="573">
      <c r="B573" s="7" t="inlineStr">
        <is>
          <t xml:space="preserve">  ↳ HovercraftCannon</t>
        </is>
      </c>
      <c r="C573" s="7" t="inlineStr">
        <is>
          <t>Armament@cannon</t>
        </is>
      </c>
      <c r="L573" s="6" t="n">
        <v>12000</v>
      </c>
      <c r="M573" s="6" t="n">
        <v>25</v>
      </c>
      <c r="N573" s="6" t="n">
        <v>1</v>
      </c>
      <c r="O573" s="6" t="n"/>
      <c r="P573" s="6" t="n">
        <v>4876</v>
      </c>
      <c r="Q573" s="6" t="n">
        <v>1</v>
      </c>
      <c r="R573">
        <f>M573+IF(N573&gt;1,N(O573)*(N573-1),0)</f>
        <v/>
      </c>
      <c r="S573">
        <f>IFERROR(L573*MAX(N573,1)/R573*IF(ISBLANK(K572),1,K572),0)</f>
        <v/>
      </c>
      <c r="AB573" s="7" t="inlineStr">
        <is>
          <t>^SmallArms, ^Chaingun, ^Grenade, ^ShrapnelWeapon, ^TankDestroyerCannon, ^MediumCannon</t>
        </is>
      </c>
    </row>
    <row r="574">
      <c r="B574" s="7" t="inlineStr">
        <is>
          <t xml:space="preserve">  ↳ HovercraftPlasmaCannon</t>
        </is>
      </c>
      <c r="C574" s="7" t="inlineStr">
        <is>
          <t>Armament@Upgrade</t>
        </is>
      </c>
      <c r="L574" s="6" t="n">
        <v>26000</v>
      </c>
      <c r="M574" s="6" t="n">
        <v>25</v>
      </c>
      <c r="N574" s="6" t="n">
        <v>1</v>
      </c>
      <c r="O574" s="6" t="n"/>
      <c r="P574" s="6" t="n">
        <v>4876</v>
      </c>
      <c r="Q574" s="6" t="n">
        <v>1</v>
      </c>
      <c r="R574">
        <f>M574+IF(N574&gt;1,N(O574)*(N574-1),0)</f>
        <v/>
      </c>
      <c r="S574">
        <f>IFERROR(L574*MAX(N574,1)/R574*IF(ISBLANK(K572),1,K572),0)</f>
        <v/>
      </c>
      <c r="AB574" s="7" t="inlineStr">
        <is>
          <t>^TeslaWeapon, ^HeavyBomb, ^HeavyCannon, HovercraftCannon</t>
        </is>
      </c>
    </row>
    <row r="575">
      <c r="B575" s="7" t="inlineStr">
        <is>
          <t xml:space="preserve">  ↳ JapaneseHovercraftFlak</t>
        </is>
      </c>
      <c r="C575" s="7" t="inlineStr">
        <is>
          <t>Armament@flak</t>
        </is>
      </c>
      <c r="L575" s="6" t="n">
        <v>4000</v>
      </c>
      <c r="M575" s="6" t="n">
        <v>8</v>
      </c>
      <c r="N575" s="6" t="n">
        <v>1</v>
      </c>
      <c r="O575" s="6" t="n"/>
      <c r="P575" s="6" t="n">
        <v>4876</v>
      </c>
      <c r="Q575" s="6" t="n">
        <v>0.875</v>
      </c>
      <c r="R575">
        <f>M575+IF(N575&gt;1,N(O575)*(N575-1),0)</f>
        <v/>
      </c>
      <c r="S575">
        <f>IFERROR(L575*MAX(N575,1)/R575*IF(ISBLANK(K572),1,K572),0)</f>
        <v/>
      </c>
      <c r="AB575" s="7" t="inlineStr">
        <is>
          <t>^Warhead_Bullet_Light, ^Warhead_Flak_Medium</t>
        </is>
      </c>
    </row>
    <row r="576">
      <c r="B576" s="7" t="inlineStr">
        <is>
          <t xml:space="preserve">  ↳ JapaneseHovercraftFlakWaveforce</t>
        </is>
      </c>
      <c r="C576" s="7" t="inlineStr">
        <is>
          <t>Armament@Upgradeflak</t>
        </is>
      </c>
      <c r="L576" s="6" t="n">
        <v>6000</v>
      </c>
      <c r="M576" s="6" t="n">
        <v>8</v>
      </c>
      <c r="N576" s="6" t="n">
        <v>1</v>
      </c>
      <c r="O576" s="6" t="n"/>
      <c r="P576" s="6" t="n">
        <v>4876</v>
      </c>
      <c r="Q576" s="6" t="n">
        <v>1</v>
      </c>
      <c r="R576">
        <f>M576+IF(N576&gt;1,N(O576)*(N576-1),0)</f>
        <v/>
      </c>
      <c r="S576">
        <f>IFERROR(L576*MAX(N576,1)/R576*IF(ISBLANK(K572),1,K572),0)</f>
        <v/>
      </c>
      <c r="AB576" s="7" t="inlineStr">
        <is>
          <t>^Warhead_Railgun_Heavy, ^Warhead_Bullet_Light, ^Warhead_Flak_Medium</t>
        </is>
      </c>
    </row>
    <row r="577">
      <c r="B577" s="7" t="inlineStr">
        <is>
          <t xml:space="preserve">  ↳ JapaneseHovercraftFlakAA</t>
        </is>
      </c>
      <c r="C577" s="7" t="inlineStr">
        <is>
          <t>Armament@AA</t>
        </is>
      </c>
      <c r="L577" s="6" t="n">
        <v>4000</v>
      </c>
      <c r="M577" s="6" t="n">
        <v>8</v>
      </c>
      <c r="N577" s="6" t="n">
        <v>1</v>
      </c>
      <c r="O577" s="6" t="n"/>
      <c r="P577" s="6" t="n">
        <v>7314</v>
      </c>
      <c r="Q577" s="6" t="n">
        <v>0.875</v>
      </c>
      <c r="R577">
        <f>M577+IF(N577&gt;1,N(O577)*(N577-1),0)</f>
        <v/>
      </c>
      <c r="S577">
        <f>IFERROR(L577*MAX(N577,1)/R577*IF(ISBLANK(K572),1,K572),0)</f>
        <v/>
      </c>
      <c r="AB577" s="7" t="inlineStr">
        <is>
          <t>^Warhead_Bullet_Light, ^Warhead_Flak_Medium</t>
        </is>
      </c>
    </row>
    <row r="578">
      <c r="B578" s="7" t="inlineStr">
        <is>
          <t xml:space="preserve">  ↳ JapaneseHovercraftFlakAAkWaveforce</t>
        </is>
      </c>
      <c r="C578" s="7" t="inlineStr">
        <is>
          <t>Armament@UpgradeAA</t>
        </is>
      </c>
      <c r="L578" s="6" t="n">
        <v>6000</v>
      </c>
      <c r="M578" s="6" t="n">
        <v>8</v>
      </c>
      <c r="N578" s="6" t="n">
        <v>1</v>
      </c>
      <c r="O578" s="6" t="n"/>
      <c r="P578" s="6" t="n">
        <v>7314</v>
      </c>
      <c r="Q578" s="6" t="n">
        <v>1</v>
      </c>
      <c r="R578">
        <f>M578+IF(N578&gt;1,N(O578)*(N578-1),0)</f>
        <v/>
      </c>
      <c r="S578">
        <f>IFERROR(L578*MAX(N578,1)/R578*IF(ISBLANK(K572),1,K572),0)</f>
        <v/>
      </c>
      <c r="AB578" s="7" t="inlineStr">
        <is>
          <t>^Warhead_Railgun_Heavy, ^Warhead_Bullet_Light, ^Warhead_Flak_Medium</t>
        </is>
      </c>
    </row>
    <row r="579">
      <c r="A579" t="inlineStr">
        <is>
          <t>redalert</t>
        </is>
      </c>
      <c r="B579" t="inlineStr">
        <is>
          <t>japan_japanesemobileconstructionvehicle</t>
        </is>
      </c>
      <c r="C579" t="inlineStr">
        <is>
          <t>Japanese Mobile Construction Vehicle</t>
        </is>
      </c>
      <c r="D579" s="6" t="inlineStr">
        <is>
          <t>SupportVehicle</t>
        </is>
      </c>
      <c r="E579" s="6" t="n">
        <v>300000</v>
      </c>
      <c r="F579" s="6" t="n">
        <v>75</v>
      </c>
      <c r="G579" t="inlineStr">
        <is>
          <t>Medium</t>
        </is>
      </c>
      <c r="H579" s="6" t="n">
        <v>0.7857</v>
      </c>
      <c r="I579" s="6" t="n">
        <v>1</v>
      </c>
      <c r="J579" s="6" t="n">
        <v>1</v>
      </c>
      <c r="K579" s="6" t="n"/>
      <c r="X579" s="6" t="n">
        <v>5000</v>
      </c>
    </row>
    <row r="580">
      <c r="A580" t="inlineStr">
        <is>
          <t>redalert</t>
        </is>
      </c>
      <c r="B580" t="inlineStr">
        <is>
          <t>ra1_soviets_btr80</t>
        </is>
      </c>
      <c r="C580" t="inlineStr">
        <is>
          <t>BTR-80</t>
        </is>
      </c>
      <c r="D580" s="6" t="inlineStr">
        <is>
          <t>SupportVehicle</t>
        </is>
      </c>
      <c r="E580" s="6" t="n">
        <v>90000</v>
      </c>
      <c r="F580" s="6" t="n">
        <v>90</v>
      </c>
      <c r="G580" t="inlineStr">
        <is>
          <t>Heavy</t>
        </is>
      </c>
      <c r="H580" s="6" t="n">
        <v>0.8919</v>
      </c>
      <c r="I580" s="6" t="n">
        <v>1</v>
      </c>
      <c r="J580" s="6" t="n">
        <v>1</v>
      </c>
      <c r="K580" s="6" t="n"/>
      <c r="P580">
        <f>MAX(P581,P582,P583,P584,P585,P586)</f>
        <v/>
      </c>
      <c r="S580">
        <f>S581+S582+S583+S584+S585+S586</f>
        <v/>
      </c>
      <c r="T580">
        <f>(E580/100000+F580/100+(P580/1000)*J580/5+S580/200)*200*I580*H580</f>
        <v/>
      </c>
      <c r="U580">
        <f>((E580*F580/25000)+((P580/1000)*J580*S580/2.5))*I580*H580</f>
        <v/>
      </c>
      <c r="V580">
        <f>(E580*F580*(P580/1000)*J580*S580*I580*H580)/12500000</f>
        <v/>
      </c>
      <c r="W580">
        <f>(T580+U580+V580)/3</f>
        <v/>
      </c>
      <c r="X580" s="6" t="n">
        <v>1600</v>
      </c>
      <c r="Y580">
        <f>IFERROR(W580-X580,"")</f>
        <v/>
      </c>
      <c r="Z580">
        <f>IFERROR(ABS(Y580)/MAX(X580,1),"")</f>
        <v/>
      </c>
      <c r="AA580">
        <f>IFERROR((X580-(((E580/100000+F580/100+S580/200)*200*I580*H580)+((E580*F580/25000)*I580*H580))/3)/(((J580/5)*200*I580*H580)+((J580*S580/2.5)*I580*H580)+((E580*F580*J580*S580*I580*H580)/12500000))/3*1000,"")</f>
        <v/>
      </c>
    </row>
    <row r="581">
      <c r="B581" s="7" t="inlineStr">
        <is>
          <t xml:space="preserve">  ↳ BTRMachineGun</t>
        </is>
      </c>
      <c r="C581" s="7" t="inlineStr">
        <is>
          <t>Armament</t>
        </is>
      </c>
      <c r="L581" s="6" t="n">
        <v>4000</v>
      </c>
      <c r="M581" s="6" t="n">
        <v>20</v>
      </c>
      <c r="N581" s="6" t="n">
        <v>4</v>
      </c>
      <c r="O581" s="6" t="n">
        <v>4</v>
      </c>
      <c r="P581" s="6" t="n">
        <v>5454</v>
      </c>
      <c r="Q581" s="6" t="n">
        <v>0.875</v>
      </c>
      <c r="R581">
        <f>M581+IF(N581&gt;1,N(O581)*(N581-1),0)</f>
        <v/>
      </c>
      <c r="S581">
        <f>IFERROR(L581*MAX(N581,1)/R581*IF(ISBLANK(K580),1,K580),0)</f>
        <v/>
      </c>
      <c r="AB581" s="7" t="inlineStr">
        <is>
          <t>^Warhead_Bullet_Light, ^Warhead_Bullet_Medium</t>
        </is>
      </c>
    </row>
    <row r="582">
      <c r="B582" s="7" t="inlineStr">
        <is>
          <t xml:space="preserve">  ↳ BTRMachineGun_AA</t>
        </is>
      </c>
      <c r="C582" s="7" t="inlineStr">
        <is>
          <t>Armament@AA</t>
        </is>
      </c>
      <c r="L582" s="6" t="n">
        <v>4000</v>
      </c>
      <c r="M582" s="6" t="n">
        <v>20</v>
      </c>
      <c r="N582" s="6" t="n">
        <v>4</v>
      </c>
      <c r="O582" s="6" t="n">
        <v>4</v>
      </c>
      <c r="P582" s="6" t="n">
        <v>8181</v>
      </c>
      <c r="Q582" s="6" t="n">
        <v>0.875</v>
      </c>
      <c r="R582">
        <f>M582+IF(N582&gt;1,N(O582)*(N582-1),0)</f>
        <v/>
      </c>
      <c r="S582">
        <f>IFERROR(L582*MAX(N582,1)/R582*IF(ISBLANK(K580),1,K580),0)</f>
        <v/>
      </c>
      <c r="AB582" s="7" t="inlineStr">
        <is>
          <t>^Warhead_Bullet_Light, ^Warhead_Bullet_Medium</t>
        </is>
      </c>
    </row>
    <row r="583">
      <c r="B583" s="7" t="inlineStr">
        <is>
          <t xml:space="preserve">  ↳ BTRTeslaMachineGun</t>
        </is>
      </c>
      <c r="C583" s="7" t="inlineStr">
        <is>
          <t>Armament@TeslaUpgrade1</t>
        </is>
      </c>
      <c r="L583" s="6" t="n">
        <v>4000</v>
      </c>
      <c r="M583" s="6" t="n">
        <v>20</v>
      </c>
      <c r="N583" s="6" t="n">
        <v>4</v>
      </c>
      <c r="O583" s="6" t="n">
        <v>4</v>
      </c>
      <c r="P583" s="6" t="n">
        <v>5454</v>
      </c>
      <c r="Q583" s="6" t="n">
        <v>1</v>
      </c>
      <c r="R583">
        <f>M583+IF(N583&gt;1,N(O583)*(N583-1),0)</f>
        <v/>
      </c>
      <c r="S583">
        <f>IFERROR(L583*MAX(N583,1)/R583*IF(ISBLANK(K580),1,K580),0)</f>
        <v/>
      </c>
      <c r="AB583" s="7" t="inlineStr">
        <is>
          <t>^Warhead_MissileAP_Light, ^Warhead_Tesla_Heavy</t>
        </is>
      </c>
    </row>
    <row r="584">
      <c r="B584" s="7" t="inlineStr">
        <is>
          <t xml:space="preserve">  ↳ BTRTeslaMachineGunArc</t>
        </is>
      </c>
      <c r="C584" s="7" t="inlineStr">
        <is>
          <t>Armament@TeslaUpgrade2</t>
        </is>
      </c>
      <c r="L584" s="6" t="n">
        <v>4000</v>
      </c>
      <c r="M584" s="6" t="n">
        <v>20</v>
      </c>
      <c r="N584" s="6" t="n">
        <v>4</v>
      </c>
      <c r="O584" s="6" t="n">
        <v>4</v>
      </c>
      <c r="P584" s="6" t="n">
        <v>5454</v>
      </c>
      <c r="Q584" s="6" t="n">
        <v>1</v>
      </c>
      <c r="R584">
        <f>M584+IF(N584&gt;1,N(O584)*(N584-1),0)</f>
        <v/>
      </c>
      <c r="S584">
        <f>IFERROR(L584*MAX(N584,1)/R584*IF(ISBLANK(K580),1,K580),0)</f>
        <v/>
      </c>
      <c r="AB584" s="7" t="inlineStr">
        <is>
          <t>^Warhead_MissileAP_Light, ^Warhead_Tesla_Heavy</t>
        </is>
      </c>
    </row>
    <row r="585">
      <c r="B585" s="7" t="inlineStr">
        <is>
          <t xml:space="preserve">  ↳ BTRTeslaMachineGun_AA</t>
        </is>
      </c>
      <c r="C585" s="7" t="inlineStr">
        <is>
          <t>Armament@TeslaUpgrade1AA</t>
        </is>
      </c>
      <c r="L585" s="6" t="n">
        <v>4000</v>
      </c>
      <c r="M585" s="6" t="n">
        <v>20</v>
      </c>
      <c r="N585" s="6" t="n">
        <v>4</v>
      </c>
      <c r="O585" s="6" t="n">
        <v>4</v>
      </c>
      <c r="P585" s="6" t="n">
        <v>8181</v>
      </c>
      <c r="Q585" s="6" t="n">
        <v>1</v>
      </c>
      <c r="R585">
        <f>M585+IF(N585&gt;1,N(O585)*(N585-1),0)</f>
        <v/>
      </c>
      <c r="S585">
        <f>IFERROR(L585*MAX(N585,1)/R585*IF(ISBLANK(K580),1,K580),0)</f>
        <v/>
      </c>
      <c r="AB585" s="7" t="inlineStr">
        <is>
          <t>^Warhead_MissileAP_Light, ^Warhead_Tesla_Heavy</t>
        </is>
      </c>
    </row>
    <row r="586">
      <c r="B586" s="7" t="inlineStr">
        <is>
          <t xml:space="preserve">  ↳ BTRTeslaMachineGunArc_AA</t>
        </is>
      </c>
      <c r="C586" s="7" t="inlineStr">
        <is>
          <t>Armament@TeslaUpgrade2AA</t>
        </is>
      </c>
      <c r="L586" s="6" t="n">
        <v>4000</v>
      </c>
      <c r="M586" s="6" t="n">
        <v>20</v>
      </c>
      <c r="N586" s="6" t="n">
        <v>4</v>
      </c>
      <c r="O586" s="6" t="n">
        <v>4</v>
      </c>
      <c r="P586" s="6" t="n">
        <v>8181</v>
      </c>
      <c r="Q586" s="6" t="n">
        <v>1</v>
      </c>
      <c r="R586">
        <f>M586+IF(N586&gt;1,N(O586)*(N586-1),0)</f>
        <v/>
      </c>
      <c r="S586">
        <f>IFERROR(L586*MAX(N586,1)/R586*IF(ISBLANK(K580),1,K580),0)</f>
        <v/>
      </c>
      <c r="AB586" s="7" t="inlineStr">
        <is>
          <t>^Warhead_MissileAP_Light, ^Warhead_Tesla_Heavy</t>
        </is>
      </c>
    </row>
    <row r="587">
      <c r="A587" t="inlineStr">
        <is>
          <t>redalert</t>
        </is>
      </c>
      <c r="B587" t="inlineStr">
        <is>
          <t>ra1_soviets_mobileconstructionvehicle</t>
        </is>
      </c>
      <c r="C587" t="inlineStr">
        <is>
          <t>Soviet Mobile Construction Vehicle</t>
        </is>
      </c>
      <c r="D587" s="6" t="inlineStr">
        <is>
          <t>SupportVehicle</t>
        </is>
      </c>
      <c r="E587" s="6" t="n">
        <v>300000</v>
      </c>
      <c r="F587" s="6" t="n">
        <v>75</v>
      </c>
      <c r="G587" t="inlineStr">
        <is>
          <t>Medium</t>
        </is>
      </c>
      <c r="H587" s="6" t="n">
        <v>0.8048999999999999</v>
      </c>
      <c r="I587" s="6" t="n">
        <v>1</v>
      </c>
      <c r="J587" s="6" t="n">
        <v>1</v>
      </c>
      <c r="K587" s="6" t="n"/>
      <c r="X587" s="6" t="n">
        <v>5000</v>
      </c>
    </row>
    <row r="588">
      <c r="A588" t="inlineStr">
        <is>
          <t>redalert</t>
        </is>
      </c>
      <c r="B588" t="inlineStr">
        <is>
          <t>ra1_soviets_stalinfist</t>
        </is>
      </c>
      <c r="C588" t="inlineStr">
        <is>
          <t>Stalin Fist</t>
        </is>
      </c>
      <c r="D588" s="6" t="inlineStr">
        <is>
          <t>SupportVehicle</t>
        </is>
      </c>
      <c r="E588" s="6" t="n">
        <v>100000</v>
      </c>
      <c r="F588" s="6" t="n">
        <v>60</v>
      </c>
      <c r="G588" t="inlineStr">
        <is>
          <t>Heavy</t>
        </is>
      </c>
      <c r="H588" s="6" t="n">
        <v>0.5593</v>
      </c>
      <c r="I588" s="6" t="n">
        <v>1</v>
      </c>
      <c r="J588" s="6" t="n">
        <v>1</v>
      </c>
      <c r="K588" s="6" t="n"/>
      <c r="X588" s="6" t="n">
        <v>7000</v>
      </c>
    </row>
    <row r="589">
      <c r="A589" t="inlineStr">
        <is>
          <t>redalert</t>
        </is>
      </c>
      <c r="B589" t="inlineStr">
        <is>
          <t>ra1_allies_alliedmobileconstructionvehicle</t>
        </is>
      </c>
      <c r="C589" t="inlineStr">
        <is>
          <t>Allied Mobile Construction Vehicle</t>
        </is>
      </c>
      <c r="D589" s="6" t="inlineStr">
        <is>
          <t>SupportVehicle</t>
        </is>
      </c>
      <c r="E589" s="6" t="n">
        <v>300000</v>
      </c>
      <c r="F589" s="6" t="n">
        <v>75</v>
      </c>
      <c r="G589" t="inlineStr">
        <is>
          <t>Medium</t>
        </is>
      </c>
      <c r="H589" s="6" t="n">
        <v>0.8048999999999999</v>
      </c>
      <c r="I589" s="6" t="n">
        <v>1</v>
      </c>
      <c r="J589" s="6" t="n">
        <v>1</v>
      </c>
      <c r="K589" s="6" t="n"/>
      <c r="X589" s="6" t="n">
        <v>5000</v>
      </c>
    </row>
    <row r="590">
      <c r="A590" t="inlineStr">
        <is>
          <t>redalert</t>
        </is>
      </c>
      <c r="B590" t="inlineStr">
        <is>
          <t>ra1_allies_phasetransport</t>
        </is>
      </c>
      <c r="C590" t="inlineStr">
        <is>
          <t>Phase Transport</t>
        </is>
      </c>
      <c r="D590" s="6" t="inlineStr">
        <is>
          <t>SupportVehicle</t>
        </is>
      </c>
      <c r="E590" s="6" t="n">
        <v>30000</v>
      </c>
      <c r="F590" s="6" t="n">
        <v>125</v>
      </c>
      <c r="G590" t="inlineStr">
        <is>
          <t>Light</t>
        </is>
      </c>
      <c r="H590" s="6" t="n">
        <v>0.75</v>
      </c>
      <c r="I590" s="6" t="n">
        <v>1.25</v>
      </c>
      <c r="J590" s="6" t="n">
        <v>1.25</v>
      </c>
      <c r="K590" s="6" t="n"/>
      <c r="P590">
        <f>MAX(P591,P592)</f>
        <v/>
      </c>
      <c r="S590">
        <f>S591+S592</f>
        <v/>
      </c>
      <c r="T590">
        <f>(E590/100000+F590/100+(P590/1000)*J590/5+S590/200)*200*I590*H590</f>
        <v/>
      </c>
      <c r="U590">
        <f>((E590*F590/25000)+((P590/1000)*J590*S590/2.5))*I590*H590</f>
        <v/>
      </c>
      <c r="V590">
        <f>(E590*F590*(P590/1000)*J590*S590*I590*H590)/12500000</f>
        <v/>
      </c>
      <c r="W590">
        <f>(T590+U590+V590)/3</f>
        <v/>
      </c>
      <c r="X590" s="6" t="n">
        <v>1800</v>
      </c>
      <c r="Y590">
        <f>IFERROR(W590-X590,"")</f>
        <v/>
      </c>
      <c r="Z590">
        <f>IFERROR(ABS(Y590)/MAX(X590,1),"")</f>
        <v/>
      </c>
      <c r="AA590">
        <f>IFERROR((X590-(((E590/100000+F590/100+S590/200)*200*I590*H590)+((E590*F590/25000)*I590*H590))/3)/(((J590/5)*200*I590*H590)+((J590*S590/2.5)*I590*H590)+((E590*F590*J590*S590*I590*H590)/12500000))/3*1000,"")</f>
        <v/>
      </c>
    </row>
    <row r="591">
      <c r="B591" s="7" t="inlineStr">
        <is>
          <t xml:space="preserve">  ↳ APTusk</t>
        </is>
      </c>
      <c r="C591" s="7" t="inlineStr">
        <is>
          <t>Armament</t>
        </is>
      </c>
      <c r="L591" s="6" t="n">
        <v>16000</v>
      </c>
      <c r="M591" s="6" t="n">
        <v>51</v>
      </c>
      <c r="N591" s="6" t="n">
        <v>4</v>
      </c>
      <c r="O591" s="6" t="n">
        <v>3</v>
      </c>
      <c r="P591" s="6" t="n">
        <v>5038</v>
      </c>
      <c r="Q591" s="6" t="n">
        <v>1</v>
      </c>
      <c r="R591">
        <f>M591+IF(N591&gt;1,N(O591)*(N591-1),0)</f>
        <v/>
      </c>
      <c r="S591">
        <f>IFERROR(L591*MAX(N591,1)/R591*IF(ISBLANK(K590),1,K590),0)</f>
        <v/>
      </c>
      <c r="AB591" s="7" t="inlineStr">
        <is>
          <t>^TankDestroyerCannon, ^Grenade, ^FlakWeapon, ^MediumMissile</t>
        </is>
      </c>
    </row>
    <row r="592">
      <c r="B592" s="7" t="inlineStr">
        <is>
          <t xml:space="preserve">  ↳ APTuskCryo</t>
        </is>
      </c>
      <c r="C592" s="7" t="inlineStr">
        <is>
          <t>Armament@Upgrade</t>
        </is>
      </c>
      <c r="L592" s="6" t="n">
        <v>16000</v>
      </c>
      <c r="M592" s="6" t="n">
        <v>51</v>
      </c>
      <c r="N592" s="6" t="n">
        <v>4</v>
      </c>
      <c r="O592" s="6" t="n">
        <v>3</v>
      </c>
      <c r="P592" s="6" t="n">
        <v>5038</v>
      </c>
      <c r="Q592" s="6" t="n">
        <v>1</v>
      </c>
      <c r="R592">
        <f>M592+IF(N592&gt;1,N(O592)*(N592-1),0)</f>
        <v/>
      </c>
      <c r="S592">
        <f>IFERROR(L592*MAX(N592,1)/R592*IF(ISBLANK(K590),1,K590),0)</f>
        <v/>
      </c>
      <c r="AB592" s="7" t="inlineStr">
        <is>
          <t>APTusk, ^CryoMissileProjectile</t>
        </is>
      </c>
    </row>
    <row r="593">
      <c r="A593" t="inlineStr">
        <is>
          <t>redalert</t>
        </is>
      </c>
      <c r="B593" t="inlineStr">
        <is>
          <t>ra1_allies_reconranger</t>
        </is>
      </c>
      <c r="C593" t="inlineStr">
        <is>
          <t>Recon Ranger</t>
        </is>
      </c>
      <c r="D593" s="6" t="inlineStr">
        <is>
          <t>SupportVehicle</t>
        </is>
      </c>
      <c r="E593" s="6" t="n">
        <v>25000</v>
      </c>
      <c r="F593" s="6" t="n">
        <v>160</v>
      </c>
      <c r="G593" t="inlineStr">
        <is>
          <t>Light</t>
        </is>
      </c>
      <c r="H593" s="6" t="n">
        <v>1</v>
      </c>
      <c r="I593" s="6" t="n">
        <v>0.5</v>
      </c>
      <c r="J593" s="6" t="n">
        <v>1</v>
      </c>
      <c r="K593" s="6" t="n"/>
      <c r="P593">
        <f>MAX(P594,P595)</f>
        <v/>
      </c>
      <c r="S593">
        <f>S594+S595</f>
        <v/>
      </c>
      <c r="T593">
        <f>(E593/100000+F593/100+(P593/1000)*J593/5+S593/200)*200*I593*H593</f>
        <v/>
      </c>
      <c r="U593">
        <f>((E593*F593/25000)+((P593/1000)*J593*S593/2.5))*I593*H593</f>
        <v/>
      </c>
      <c r="V593">
        <f>(E593*F593*(P593/1000)*J593*S593*I593*H593)/12500000</f>
        <v/>
      </c>
      <c r="W593">
        <f>(T593+U593+V593)/3</f>
        <v/>
      </c>
      <c r="X593" s="6" t="n">
        <v>500</v>
      </c>
      <c r="Y593">
        <f>IFERROR(W593-X593,"")</f>
        <v/>
      </c>
      <c r="Z593">
        <f>IFERROR(ABS(Y593)/MAX(X593,1),"")</f>
        <v/>
      </c>
      <c r="AA593">
        <f>IFERROR((X593-(((E593/100000+F593/100+S593/200)*200*I593*H593)+((E593*F593/25000)*I593*H593))/3)/(((J593/5)*200*I593*H593)+((J593*S593/2.5)*I593*H593)+((E593*F593*J593*S593*I593*H593)/12500000))/3*1000,"")</f>
        <v/>
      </c>
    </row>
    <row r="594">
      <c r="B594" s="7" t="inlineStr">
        <is>
          <t xml:space="preserve">  ↳ ReconRangerRecoillessGun</t>
        </is>
      </c>
      <c r="C594" s="7" t="inlineStr">
        <is>
          <t>Armament</t>
        </is>
      </c>
      <c r="L594" s="6" t="n">
        <v>32000</v>
      </c>
      <c r="M594" s="6" t="n">
        <v>64</v>
      </c>
      <c r="N594" s="6" t="n">
        <v>1</v>
      </c>
      <c r="O594" s="6" t="n"/>
      <c r="P594" s="6" t="n">
        <v>4925</v>
      </c>
      <c r="Q594" s="6" t="n">
        <v>1.25</v>
      </c>
      <c r="R594">
        <f>M594+IF(N594&gt;1,N(O594)*(N594-1),0)</f>
        <v/>
      </c>
      <c r="S594">
        <f>IFERROR(L594*MAX(N594,1)/R594*IF(ISBLANK(K593),1,K593),0)</f>
        <v/>
      </c>
      <c r="AB594" s="7" t="inlineStr">
        <is>
          <t>^Warhead_MissileAP_Heavy</t>
        </is>
      </c>
    </row>
    <row r="595">
      <c r="B595" s="7" t="inlineStr">
        <is>
          <t xml:space="preserve">  ↳ CryoReconRangerRecoillessGun</t>
        </is>
      </c>
      <c r="C595" s="7" t="inlineStr">
        <is>
          <t>Armament@Upgrade</t>
        </is>
      </c>
      <c r="L595" s="6" t="n">
        <v>32000</v>
      </c>
      <c r="M595" s="6" t="n">
        <v>64</v>
      </c>
      <c r="N595" s="6" t="n">
        <v>1</v>
      </c>
      <c r="O595" s="6" t="n"/>
      <c r="P595" s="6" t="n">
        <v>4925</v>
      </c>
      <c r="Q595" s="6" t="n">
        <v>1.25</v>
      </c>
      <c r="R595">
        <f>M595+IF(N595&gt;1,N(O595)*(N595-1),0)</f>
        <v/>
      </c>
      <c r="S595">
        <f>IFERROR(L595*MAX(N595,1)/R595*IF(ISBLANK(K593),1,K593),0)</f>
        <v/>
      </c>
      <c r="AB595" s="7" t="inlineStr">
        <is>
          <t>^Warhead_MissileAP_Heavy</t>
        </is>
      </c>
    </row>
    <row r="596">
      <c r="A596" t="inlineStr">
        <is>
          <t>tiberiansun</t>
        </is>
      </c>
      <c r="B596" t="inlineStr">
        <is>
          <t>cabal_constructionyard</t>
        </is>
      </c>
      <c r="C596" t="inlineStr">
        <is>
          <t>Construction Yard (CABAL)</t>
        </is>
      </c>
      <c r="D596" s="6" t="inlineStr">
        <is>
          <t>SupportVehicle</t>
        </is>
      </c>
      <c r="E596" s="6" t="n">
        <v>1000000</v>
      </c>
      <c r="F596" s="6" t="n"/>
      <c r="G596" t="inlineStr">
        <is>
          <t>Wood</t>
        </is>
      </c>
      <c r="H596" s="6" t="n">
        <v>1</v>
      </c>
      <c r="I596" s="6" t="n">
        <v>1</v>
      </c>
      <c r="J596" s="6" t="n">
        <v>1</v>
      </c>
      <c r="K596" s="6" t="n"/>
      <c r="X596" s="6" t="n">
        <v>2500</v>
      </c>
    </row>
    <row r="597">
      <c r="A597" t="inlineStr">
        <is>
          <t>tiberiansun</t>
        </is>
      </c>
      <c r="B597" t="inlineStr">
        <is>
          <t>cabal_cyborgreaper</t>
        </is>
      </c>
      <c r="C597" t="inlineStr">
        <is>
          <t>Cyborg Reaper</t>
        </is>
      </c>
      <c r="D597" s="6" t="inlineStr">
        <is>
          <t>SupportVehicle</t>
        </is>
      </c>
      <c r="E597" s="6" t="n">
        <v>70000</v>
      </c>
      <c r="F597" s="6" t="n">
        <v>65</v>
      </c>
      <c r="G597" t="inlineStr">
        <is>
          <t>Medium</t>
        </is>
      </c>
      <c r="H597" s="6" t="n">
        <v>1</v>
      </c>
      <c r="I597" s="6" t="n">
        <v>1.25</v>
      </c>
      <c r="J597" s="6" t="n">
        <v>1</v>
      </c>
      <c r="K597" s="6" t="n"/>
      <c r="P597">
        <f>MAX(P598,P599)</f>
        <v/>
      </c>
      <c r="S597">
        <f>S598+S599</f>
        <v/>
      </c>
      <c r="T597">
        <f>(E597/100000+F597/100+(P597/1000)*J597/5+S597/200)*200*I597*H597</f>
        <v/>
      </c>
      <c r="U597">
        <f>((E597*F597/25000)+((P597/1000)*J597*S597/2.5))*I597*H597</f>
        <v/>
      </c>
      <c r="V597">
        <f>(E597*F597*(P597/1000)*J597*S597*I597*H597)/12500000</f>
        <v/>
      </c>
      <c r="W597">
        <f>(T597+U597+V597)/3</f>
        <v/>
      </c>
      <c r="X597" s="6" t="n">
        <v>1100</v>
      </c>
      <c r="Y597">
        <f>IFERROR(W597-X597,"")</f>
        <v/>
      </c>
      <c r="Z597">
        <f>IFERROR(ABS(Y597)/MAX(X597,1),"")</f>
        <v/>
      </c>
      <c r="AA597">
        <f>IFERROR((X597-(((E597/100000+F597/100+S597/200)*200*I597*H597)+((E597*F597/25000)*I597*H597))/3)/(((J597/5)*200*I597*H597)+((J597*S597/2.5)*I597*H597)+((E597*F597*J597*S597*I597*H597)/12500000))/3*1000,"")</f>
        <v/>
      </c>
    </row>
    <row r="598">
      <c r="B598" s="7" t="inlineStr">
        <is>
          <t xml:space="preserve">  ↳ CabalReaperMissiles</t>
        </is>
      </c>
      <c r="C598" s="7" t="inlineStr">
        <is>
          <t>Armament</t>
        </is>
      </c>
      <c r="L598" s="6" t="n">
        <v>32000</v>
      </c>
      <c r="M598" s="6" t="n">
        <v>24</v>
      </c>
      <c r="N598" s="6" t="n">
        <v>2</v>
      </c>
      <c r="O598" s="6" t="n">
        <v>12</v>
      </c>
      <c r="P598" s="6" t="n">
        <v>5785</v>
      </c>
      <c r="Q598" s="6" t="n">
        <v>1</v>
      </c>
      <c r="R598">
        <f>M598+IF(N598&gt;1,N(O598)*(N598-1),0)</f>
        <v/>
      </c>
      <c r="S598">
        <f>IFERROR(L598*MAX(N598,1)/R598*IF(ISBLANK(K597),1,K597),0)</f>
        <v/>
      </c>
      <c r="AB598" s="7" t="inlineStr">
        <is>
          <t>^Warhead_MissileHE_Light, ^Warhead_MissileHE_Medium, ^Warhead_Demolition_Light, ^Warhead_Concussion_Medium</t>
        </is>
      </c>
    </row>
    <row r="599">
      <c r="B599" s="7" t="inlineStr">
        <is>
          <t xml:space="preserve">  ↳ CabalReaperMissiles_AA</t>
        </is>
      </c>
      <c r="C599" s="7" t="inlineStr">
        <is>
          <t>Armament@SECONDARY</t>
        </is>
      </c>
      <c r="L599" s="6" t="n">
        <v>32000</v>
      </c>
      <c r="M599" s="6" t="n">
        <v>24</v>
      </c>
      <c r="N599" s="6" t="n">
        <v>2</v>
      </c>
      <c r="O599" s="6" t="n">
        <v>12</v>
      </c>
      <c r="P599" s="6" t="n">
        <v>8680</v>
      </c>
      <c r="Q599" s="6" t="n">
        <v>1</v>
      </c>
      <c r="R599">
        <f>M599+IF(N599&gt;1,N(O599)*(N599-1),0)</f>
        <v/>
      </c>
      <c r="S599">
        <f>IFERROR(L599*MAX(N599,1)/R599*IF(ISBLANK(K597),1,K597),0)</f>
        <v/>
      </c>
      <c r="AB599" s="7" t="inlineStr">
        <is>
          <t>^Warhead_MissileHE_Light, ^Warhead_MissileHE_Medium, ^Warhead_Demolition_Light, ^Warhead_Concussion_Medium</t>
        </is>
      </c>
    </row>
    <row r="600">
      <c r="B600" s="7" t="inlineStr">
        <is>
          <t xml:space="preserve">  ↳ CabalReaperTrapGround</t>
        </is>
      </c>
      <c r="C600" s="7" t="inlineStr">
        <is>
          <t>Armament@TRAPGROUND</t>
        </is>
      </c>
      <c r="L600" s="6" t="n"/>
      <c r="M600" s="6" t="n">
        <v>250</v>
      </c>
      <c r="N600" s="6" t="n">
        <v>1</v>
      </c>
      <c r="O600" s="6" t="n"/>
      <c r="P600" s="6" t="n">
        <v>5785</v>
      </c>
      <c r="Q600" s="6" t="n">
        <v>1</v>
      </c>
      <c r="R600">
        <f>M600+IF(N600&gt;1,N(O600)*(N600-1),0)</f>
        <v/>
      </c>
      <c r="S600">
        <f>IFERROR(L600*MAX(N600,1)/R600*IF(ISBLANK(K597),1,K597),0)</f>
        <v/>
      </c>
      <c r="AB600" s="7" t="inlineStr"/>
    </row>
    <row r="601">
      <c r="B601" s="7" t="inlineStr">
        <is>
          <t xml:space="preserve">  ↳ CabalReaperTrapAir</t>
        </is>
      </c>
      <c r="C601" s="7" t="inlineStr">
        <is>
          <t>Armament@TRAPAIR</t>
        </is>
      </c>
      <c r="L601" s="6" t="n"/>
      <c r="M601" s="6" t="n">
        <v>250</v>
      </c>
      <c r="N601" s="6" t="n">
        <v>1</v>
      </c>
      <c r="O601" s="6" t="n"/>
      <c r="P601" s="6" t="n">
        <v>8680</v>
      </c>
      <c r="Q601" s="6" t="n">
        <v>1</v>
      </c>
      <c r="R601">
        <f>M601+IF(N601&gt;1,N(O601)*(N601-1),0)</f>
        <v/>
      </c>
      <c r="S601">
        <f>IFERROR(L601*MAX(N601,1)/R601*IF(ISBLANK(K597),1,K597),0)</f>
        <v/>
      </c>
      <c r="AB601" s="7" t="inlineStr"/>
    </row>
    <row r="602">
      <c r="A602" t="inlineStr">
        <is>
          <t>tiberiansun</t>
        </is>
      </c>
      <c r="B602" t="inlineStr">
        <is>
          <t>cabal_heavyreaper</t>
        </is>
      </c>
      <c r="C602" t="inlineStr">
        <is>
          <t>Heavy Reaper</t>
        </is>
      </c>
      <c r="D602" s="6" t="inlineStr">
        <is>
          <t>SupportVehicle</t>
        </is>
      </c>
      <c r="E602" s="6" t="n">
        <v>75000</v>
      </c>
      <c r="F602" s="6" t="n">
        <v>65</v>
      </c>
      <c r="G602" t="inlineStr">
        <is>
          <t>Medium</t>
        </is>
      </c>
      <c r="H602" s="6" t="n">
        <v>1</v>
      </c>
      <c r="I602" s="6" t="n">
        <v>1.25</v>
      </c>
      <c r="J602" s="6" t="n">
        <v>1.5</v>
      </c>
      <c r="K602" s="6" t="n"/>
      <c r="P602">
        <f>MAX(P603,P604)</f>
        <v/>
      </c>
      <c r="S602">
        <f>S603+S604</f>
        <v/>
      </c>
      <c r="T602">
        <f>(E602/100000+F602/100+(P602/1000)*J602/5+S602/200)*200*I602*H602</f>
        <v/>
      </c>
      <c r="U602">
        <f>((E602*F602/25000)+((P602/1000)*J602*S602/2.5))*I602*H602</f>
        <v/>
      </c>
      <c r="V602">
        <f>(E602*F602*(P602/1000)*J602*S602*I602*H602)/12500000</f>
        <v/>
      </c>
      <c r="W602">
        <f>(T602+U602+V602)/3</f>
        <v/>
      </c>
      <c r="X602" s="6" t="n">
        <v>1650</v>
      </c>
      <c r="Y602">
        <f>IFERROR(W602-X602,"")</f>
        <v/>
      </c>
      <c r="Z602">
        <f>IFERROR(ABS(Y602)/MAX(X602,1),"")</f>
        <v/>
      </c>
      <c r="AA602">
        <f>IFERROR((X602-(((E602/100000+F602/100+S602/200)*200*I602*H602)+((E602*F602/25000)*I602*H602))/3)/(((J602/5)*200*I602*H602)+((J602*S602/2.5)*I602*H602)+((E602*F602*J602*S602*I602*H602)/12500000))/3*1000,"")</f>
        <v/>
      </c>
    </row>
    <row r="603">
      <c r="B603" s="7" t="inlineStr">
        <is>
          <t xml:space="preserve">  ↳ CabalHeavyReaperMissiles</t>
        </is>
      </c>
      <c r="C603" s="7" t="inlineStr">
        <is>
          <t>Armament</t>
        </is>
      </c>
      <c r="L603" s="6" t="n">
        <v>48000</v>
      </c>
      <c r="M603" s="6" t="n">
        <v>30</v>
      </c>
      <c r="N603" s="6" t="n">
        <v>2</v>
      </c>
      <c r="O603" s="6" t="n">
        <v>12</v>
      </c>
      <c r="P603" s="6" t="n">
        <v>6085</v>
      </c>
      <c r="Q603" s="6" t="n">
        <v>1</v>
      </c>
      <c r="R603">
        <f>M603+IF(N603&gt;1,N(O603)*(N603-1),0)</f>
        <v/>
      </c>
      <c r="S603">
        <f>IFERROR(L603*MAX(N603,1)/R603*IF(ISBLANK(K602),1,K602),0)</f>
        <v/>
      </c>
      <c r="AB603" s="7" t="inlineStr">
        <is>
          <t>^Warhead_MissileHE_Medium, ^Warhead_MissileHE_Heavy, ^Warhead_Demolition_Light, ^Warhead_Concussion_Medium</t>
        </is>
      </c>
    </row>
    <row r="604">
      <c r="B604" s="7" t="inlineStr">
        <is>
          <t xml:space="preserve">  ↳ CabalHeavyReaperMissiles_AA</t>
        </is>
      </c>
      <c r="C604" s="7" t="inlineStr">
        <is>
          <t>Armament@SECONDARY</t>
        </is>
      </c>
      <c r="L604" s="6" t="n">
        <v>48000</v>
      </c>
      <c r="M604" s="6" t="n">
        <v>30</v>
      </c>
      <c r="N604" s="6" t="n">
        <v>2</v>
      </c>
      <c r="O604" s="6" t="n">
        <v>12</v>
      </c>
      <c r="P604" s="6" t="n">
        <v>9130</v>
      </c>
      <c r="Q604" s="6" t="n">
        <v>1</v>
      </c>
      <c r="R604">
        <f>M604+IF(N604&gt;1,N(O604)*(N604-1),0)</f>
        <v/>
      </c>
      <c r="S604">
        <f>IFERROR(L604*MAX(N604,1)/R604*IF(ISBLANK(K602),1,K602),0)</f>
        <v/>
      </c>
      <c r="AB604" s="7" t="inlineStr">
        <is>
          <t>^Warhead_MissileHE_Medium, ^Warhead_MissileHE_Heavy, ^Warhead_Demolition_Light, ^Warhead_Concussion_Medium</t>
        </is>
      </c>
    </row>
    <row r="605">
      <c r="B605" s="7" t="inlineStr">
        <is>
          <t xml:space="preserve">  ↳ CabalHeavyReaperTrap</t>
        </is>
      </c>
      <c r="C605" s="7" t="inlineStr">
        <is>
          <t>Armament@TRAP</t>
        </is>
      </c>
      <c r="L605" s="6" t="n"/>
      <c r="M605" s="6" t="n">
        <v>250</v>
      </c>
      <c r="N605" s="6" t="n">
        <v>1</v>
      </c>
      <c r="O605" s="6" t="n"/>
      <c r="P605" s="6" t="n">
        <v>6085</v>
      </c>
      <c r="Q605" s="6" t="n">
        <v>1</v>
      </c>
      <c r="R605">
        <f>M605+IF(N605&gt;1,N(O605)*(N605-1),0)</f>
        <v/>
      </c>
      <c r="S605">
        <f>IFERROR(L605*MAX(N605,1)/R605*IF(ISBLANK(K602),1,K602),0)</f>
        <v/>
      </c>
      <c r="AB605" s="7" t="inlineStr"/>
    </row>
    <row r="606">
      <c r="A606" t="inlineStr">
        <is>
          <t>tiberiansun</t>
        </is>
      </c>
      <c r="B606" t="inlineStr">
        <is>
          <t>cabal_manticore</t>
        </is>
      </c>
      <c r="C606" t="inlineStr">
        <is>
          <t>Manticore</t>
        </is>
      </c>
      <c r="D606" s="6" t="inlineStr">
        <is>
          <t>SupportVehicle</t>
        </is>
      </c>
      <c r="E606" s="6" t="n">
        <v>100000</v>
      </c>
      <c r="F606" s="6" t="n">
        <v>65</v>
      </c>
      <c r="G606" t="inlineStr">
        <is>
          <t>Light</t>
        </is>
      </c>
      <c r="H606" s="6" t="n">
        <v>0.75</v>
      </c>
      <c r="I606" s="6" t="n">
        <v>1.25</v>
      </c>
      <c r="J606" s="6" t="n">
        <v>1</v>
      </c>
      <c r="K606" s="6" t="n"/>
      <c r="P606">
        <f>MAX(P607,P608)</f>
        <v/>
      </c>
      <c r="S606">
        <f>S607+S608</f>
        <v/>
      </c>
      <c r="T606">
        <f>(E606/100000+F606/100+(P606/1000)*J606/5+S606/200)*200*I606*H606</f>
        <v/>
      </c>
      <c r="U606">
        <f>((E606*F606/25000)+((P606/1000)*J606*S606/2.5))*I606*H606</f>
        <v/>
      </c>
      <c r="V606">
        <f>(E606*F606*(P606/1000)*J606*S606*I606*H606)/12500000</f>
        <v/>
      </c>
      <c r="W606">
        <f>(T606+U606+V606)/3</f>
        <v/>
      </c>
      <c r="X606" s="6" t="n">
        <v>1400</v>
      </c>
      <c r="Y606">
        <f>IFERROR(W606-X606,"")</f>
        <v/>
      </c>
      <c r="Z606">
        <f>IFERROR(ABS(Y606)/MAX(X606,1),"")</f>
        <v/>
      </c>
      <c r="AA606">
        <f>IFERROR((X606-(((E606/100000+F606/100+S606/200)*200*I606*H606)+((E606*F606/25000)*I606*H606))/3)/(((J606/5)*200*I606*H606)+((J606*S606/2.5)*I606*H606)+((E606*F606*J606*S606*I606*H606)/12500000))/3*1000,"")</f>
        <v/>
      </c>
    </row>
    <row r="607">
      <c r="B607" s="7" t="inlineStr">
        <is>
          <t xml:space="preserve">  ↳ CabalManticoreLaser</t>
        </is>
      </c>
      <c r="C607" s="7" t="inlineStr">
        <is>
          <t>Armament@PRIMARY</t>
        </is>
      </c>
      <c r="L607" s="6" t="n">
        <v>10000</v>
      </c>
      <c r="M607" s="6" t="n">
        <v>30</v>
      </c>
      <c r="N607" s="6" t="n">
        <v>2</v>
      </c>
      <c r="O607" s="6" t="n">
        <v>3</v>
      </c>
      <c r="P607" s="6" t="n">
        <v>5358</v>
      </c>
      <c r="Q607" s="6" t="n">
        <v>1.25</v>
      </c>
      <c r="R607">
        <f>M607+IF(N607&gt;1,N(O607)*(N607-1),0)</f>
        <v/>
      </c>
      <c r="S607">
        <f>IFERROR(L607*MAX(N607,1)/R607*IF(ISBLANK(K606),1,K606),0)</f>
        <v/>
      </c>
      <c r="AB607" s="7" t="inlineStr">
        <is>
          <t>^Warhead_Laser_Heavy</t>
        </is>
      </c>
    </row>
    <row r="608">
      <c r="B608" s="7" t="inlineStr">
        <is>
          <t xml:space="preserve">  ↳ CabalManticoreMissilesAA</t>
        </is>
      </c>
      <c r="C608" s="7" t="inlineStr">
        <is>
          <t>Armament@SECONDARY</t>
        </is>
      </c>
      <c r="L608" s="6" t="n">
        <v>48000</v>
      </c>
      <c r="M608" s="6" t="n">
        <v>30</v>
      </c>
      <c r="N608" s="6" t="n">
        <v>2</v>
      </c>
      <c r="O608" s="6" t="n">
        <v>3</v>
      </c>
      <c r="P608" s="6" t="n">
        <v>5358</v>
      </c>
      <c r="Q608" s="6" t="n">
        <v>1</v>
      </c>
      <c r="R608">
        <f>M608+IF(N608&gt;1,N(O608)*(N608-1),0)</f>
        <v/>
      </c>
      <c r="S608">
        <f>IFERROR(L608*MAX(N608,1)/R608*IF(ISBLANK(K606),1,K606),0)</f>
        <v/>
      </c>
      <c r="AB608" s="7" t="inlineStr">
        <is>
          <t>^Warhead_MissileHE_Light, ^Warhead_MissileHE_Medium, ^Warhead_Demolition_Light, ^Warhead_Concussion_Medium</t>
        </is>
      </c>
    </row>
    <row r="609">
      <c r="A609" t="inlineStr">
        <is>
          <t>tiberiansun</t>
        </is>
      </c>
      <c r="B609" t="inlineStr">
        <is>
          <t>cabal_mobileconstructionvehicle</t>
        </is>
      </c>
      <c r="C609" t="inlineStr">
        <is>
          <t>CABAL Mobile Construction Vehicle</t>
        </is>
      </c>
      <c r="D609" s="6" t="inlineStr">
        <is>
          <t>SupportVehicle</t>
        </is>
      </c>
      <c r="E609" s="6" t="n">
        <v>300000</v>
      </c>
      <c r="F609" s="6" t="n">
        <v>75</v>
      </c>
      <c r="G609" t="inlineStr">
        <is>
          <t>Medium</t>
        </is>
      </c>
      <c r="H609" s="6" t="n">
        <v>1</v>
      </c>
      <c r="I609" s="6" t="n">
        <v>1</v>
      </c>
      <c r="J609" s="6" t="n">
        <v>1</v>
      </c>
      <c r="K609" s="6" t="n"/>
      <c r="X609" s="6" t="n">
        <v>5000</v>
      </c>
    </row>
    <row r="610">
      <c r="A610" t="inlineStr">
        <is>
          <t>tiberiansun</t>
        </is>
      </c>
      <c r="B610" t="inlineStr">
        <is>
          <t>cabal_scarabapc</t>
        </is>
      </c>
      <c r="C610" t="inlineStr">
        <is>
          <t>Scarab APC</t>
        </is>
      </c>
      <c r="D610" s="6" t="inlineStr">
        <is>
          <t>SupportVehicle</t>
        </is>
      </c>
      <c r="E610" s="6" t="n">
        <v>30000</v>
      </c>
      <c r="F610" s="6" t="n">
        <v>75</v>
      </c>
      <c r="G610" t="inlineStr">
        <is>
          <t>Heavy</t>
        </is>
      </c>
      <c r="H610" s="6" t="n">
        <v>1</v>
      </c>
      <c r="I610" s="6" t="n">
        <v>1</v>
      </c>
      <c r="J610" s="6" t="n">
        <v>1</v>
      </c>
      <c r="K610" s="6" t="n"/>
      <c r="X610" s="6" t="n">
        <v>4775</v>
      </c>
    </row>
    <row r="611">
      <c r="A611" t="inlineStr">
        <is>
          <t>tiberiansun</t>
        </is>
      </c>
      <c r="B611" t="inlineStr">
        <is>
          <t>ts_nod_mobileconstructionvehicle</t>
        </is>
      </c>
      <c r="C611" t="inlineStr">
        <is>
          <t>Nod Mobile Construction Vehicle</t>
        </is>
      </c>
      <c r="D611" s="6" t="inlineStr">
        <is>
          <t>SupportVehicle</t>
        </is>
      </c>
      <c r="E611" s="6" t="n">
        <v>300000</v>
      </c>
      <c r="F611" s="6" t="n">
        <v>75</v>
      </c>
      <c r="G611" t="inlineStr">
        <is>
          <t>Medium</t>
        </is>
      </c>
      <c r="H611" s="6" t="n">
        <v>1</v>
      </c>
      <c r="I611" s="6" t="n">
        <v>1</v>
      </c>
      <c r="J611" s="6" t="n">
        <v>1</v>
      </c>
      <c r="K611" s="6" t="n"/>
      <c r="X611" s="6" t="n">
        <v>5000</v>
      </c>
    </row>
    <row r="612">
      <c r="A612" t="inlineStr">
        <is>
          <t>tiberiansun</t>
        </is>
      </c>
      <c r="B612" t="inlineStr">
        <is>
          <t>ts_nod_subterraneanapc</t>
        </is>
      </c>
      <c r="C612" t="inlineStr">
        <is>
          <t>Subterranean APC</t>
        </is>
      </c>
      <c r="D612" s="6" t="inlineStr">
        <is>
          <t>SupportVehicle</t>
        </is>
      </c>
      <c r="E612" s="6" t="n">
        <v>17500</v>
      </c>
      <c r="F612" s="6" t="n">
        <v>60</v>
      </c>
      <c r="G612" t="inlineStr">
        <is>
          <t>Medium</t>
        </is>
      </c>
      <c r="H612" s="6" t="n">
        <v>1</v>
      </c>
      <c r="I612" s="6" t="n">
        <v>1</v>
      </c>
      <c r="J612" s="6" t="n">
        <v>1</v>
      </c>
      <c r="K612" s="6" t="n"/>
      <c r="P612">
        <f>MAX(P613,P614)</f>
        <v/>
      </c>
      <c r="S612">
        <f>S613+S614</f>
        <v/>
      </c>
      <c r="T612">
        <f>(E612/100000+F612/100+(P612/1000)*J612/5+S612/200)*200*I612*H612</f>
        <v/>
      </c>
      <c r="U612">
        <f>((E612*F612/25000)+((P612/1000)*J612*S612/2.5))*I612*H612</f>
        <v/>
      </c>
      <c r="V612">
        <f>(E612*F612*(P612/1000)*J612*S612*I612*H612)/12500000</f>
        <v/>
      </c>
      <c r="W612">
        <f>(T612+U612+V612)/3</f>
        <v/>
      </c>
      <c r="X612" s="6" t="n">
        <v>1410</v>
      </c>
      <c r="Y612">
        <f>IFERROR(W612-X612,"")</f>
        <v/>
      </c>
      <c r="Z612">
        <f>IFERROR(ABS(Y612)/MAX(X612,1),"")</f>
        <v/>
      </c>
      <c r="AA612">
        <f>IFERROR((X612-(((E612/100000+F612/100+S612/200)*200*I612*H612)+((E612*F612/25000)*I612*H612))/3)/(((J612/5)*200*I612*H612)+((J612*S612/2.5)*I612*H612)+((E612*F612*J612*S612*I612*H612)/12500000))/3*1000,"")</f>
        <v/>
      </c>
    </row>
    <row r="613">
      <c r="B613" s="7" t="inlineStr">
        <is>
          <t xml:space="preserve">  ↳ TSSAPCMissiles</t>
        </is>
      </c>
      <c r="C613" s="7" t="inlineStr">
        <is>
          <t>Armament@PRIMARY</t>
        </is>
      </c>
      <c r="L613" s="6" t="n">
        <v>16000</v>
      </c>
      <c r="M613" s="6" t="n">
        <v>18</v>
      </c>
      <c r="N613" s="6" t="n">
        <v>2</v>
      </c>
      <c r="O613" s="6" t="n">
        <v>2</v>
      </c>
      <c r="P613" s="6" t="n">
        <v>5300</v>
      </c>
      <c r="Q613" s="6" t="n">
        <v>1</v>
      </c>
      <c r="R613">
        <f>M613+IF(N613&gt;1,N(O613)*(N613-1),0)</f>
        <v/>
      </c>
      <c r="S613">
        <f>IFERROR(L613*MAX(N613,1)/R613*IF(ISBLANK(K612),1,K612),0)</f>
        <v/>
      </c>
      <c r="AB613" s="7" t="inlineStr">
        <is>
          <t>^Grenade, ^LightMissile</t>
        </is>
      </c>
    </row>
    <row r="614">
      <c r="B614" s="7" t="inlineStr">
        <is>
          <t xml:space="preserve">  ↳ TSSAPCCoreMissiles</t>
        </is>
      </c>
      <c r="C614" s="7" t="inlineStr">
        <is>
          <t>Armament@UPGRADE</t>
        </is>
      </c>
      <c r="L614" s="6" t="n">
        <v>24000</v>
      </c>
      <c r="M614" s="6" t="n">
        <v>18</v>
      </c>
      <c r="N614" s="6" t="n">
        <v>2</v>
      </c>
      <c r="O614" s="6" t="n">
        <v>2</v>
      </c>
      <c r="P614" s="6" t="n">
        <v>5300</v>
      </c>
      <c r="Q614" s="6" t="n">
        <v>0.75</v>
      </c>
      <c r="R614">
        <f>M614+IF(N614&gt;1,N(O614)*(N614-1),0)</f>
        <v/>
      </c>
      <c r="S614">
        <f>IFERROR(L614*MAX(N614,1)/R614*IF(ISBLANK(K612),1,K612),0)</f>
        <v/>
      </c>
      <c r="AB614" s="7" t="inlineStr">
        <is>
          <t>^Warhead_Chemical_Light</t>
        </is>
      </c>
    </row>
    <row r="615">
      <c r="A615" t="inlineStr">
        <is>
          <t>tiberiansun</t>
        </is>
      </c>
      <c r="B615" t="inlineStr">
        <is>
          <t>ts_gdi_amphibiousapc</t>
        </is>
      </c>
      <c r="C615" t="inlineStr">
        <is>
          <t>Amphibious APC</t>
        </is>
      </c>
      <c r="D615" s="6" t="inlineStr">
        <is>
          <t>SupportVehicle</t>
        </is>
      </c>
      <c r="E615" s="6" t="n">
        <v>80000</v>
      </c>
      <c r="F615" s="6" t="n">
        <v>100</v>
      </c>
      <c r="G615" t="inlineStr">
        <is>
          <t>Heavy</t>
        </is>
      </c>
      <c r="H615" s="6" t="n">
        <v>1</v>
      </c>
      <c r="I615" s="6" t="n">
        <v>1</v>
      </c>
      <c r="J615" s="6" t="n">
        <v>1</v>
      </c>
      <c r="K615" s="6" t="n"/>
      <c r="P615">
        <f>MAX(P616)</f>
        <v/>
      </c>
      <c r="S615">
        <f>S616</f>
        <v/>
      </c>
      <c r="T615">
        <f>(E615/100000+F615/100+(P615/1000)*J615/5+S615/200)*200*I615*H615</f>
        <v/>
      </c>
      <c r="U615">
        <f>((E615*F615/25000)+((P615/1000)*J615*S615/2.5))*I615*H615</f>
        <v/>
      </c>
      <c r="V615">
        <f>(E615*F615*(P615/1000)*J615*S615*I615*H615)/12500000</f>
        <v/>
      </c>
      <c r="W615">
        <f>(T615+U615+V615)/3</f>
        <v/>
      </c>
      <c r="X615" s="6" t="n">
        <v>1640</v>
      </c>
      <c r="Y615">
        <f>IFERROR(W615-X615,"")</f>
        <v/>
      </c>
      <c r="Z615">
        <f>IFERROR(ABS(Y615)/MAX(X615,1),"")</f>
        <v/>
      </c>
      <c r="AA615">
        <f>IFERROR((X615-(((E615/100000+F615/100+S615/200)*200*I615*H615)+((E615*F615/25000)*I615*H615))/3)/(((J615/5)*200*I615*H615)+((J615*S615/2.5)*I615*H615)+((E615*F615*J615*S615*I615*H615)/12500000))/3*1000,"")</f>
        <v/>
      </c>
    </row>
    <row r="616">
      <c r="B616" s="7" t="inlineStr">
        <is>
          <t xml:space="preserve">  ↳ TSAAPCCannon</t>
        </is>
      </c>
      <c r="C616" s="7" t="inlineStr">
        <is>
          <t>Armament</t>
        </is>
      </c>
      <c r="L616" s="6" t="n">
        <v>4000</v>
      </c>
      <c r="M616" s="6" t="n">
        <v>10</v>
      </c>
      <c r="N616" s="6" t="n">
        <v>1</v>
      </c>
      <c r="O616" s="6" t="n"/>
      <c r="P616" s="6" t="n">
        <v>6263</v>
      </c>
      <c r="Q616" s="6" t="n">
        <v>1</v>
      </c>
      <c r="R616">
        <f>M616+IF(N616&gt;1,N(O616)*(N616-1),0)</f>
        <v/>
      </c>
      <c r="S616">
        <f>IFERROR(L616*MAX(N616,1)/R616*IF(ISBLANK(K615),1,K615),0)</f>
        <v/>
      </c>
      <c r="AB616" s="7" t="inlineStr">
        <is>
          <t>^Warhead_Bullet_Medium, ^Warhead_Flak_Medium</t>
        </is>
      </c>
    </row>
    <row r="617">
      <c r="A617" t="inlineStr">
        <is>
          <t>tiberiansun</t>
        </is>
      </c>
      <c r="B617" t="inlineStr">
        <is>
          <t>ts_gdi_mobileconstructionvehicle</t>
        </is>
      </c>
      <c r="C617" t="inlineStr">
        <is>
          <t>Mobile Construction Vehicle</t>
        </is>
      </c>
      <c r="D617" s="6" t="inlineStr">
        <is>
          <t>SupportVehicle</t>
        </is>
      </c>
      <c r="E617" s="6" t="n">
        <v>300000</v>
      </c>
      <c r="F617" s="6" t="n">
        <v>75</v>
      </c>
      <c r="G617" t="inlineStr">
        <is>
          <t>Medium</t>
        </is>
      </c>
      <c r="H617" s="6" t="n">
        <v>1</v>
      </c>
      <c r="I617" s="6" t="n">
        <v>1</v>
      </c>
      <c r="J617" s="6" t="n">
        <v>1</v>
      </c>
      <c r="K617" s="6" t="n"/>
      <c r="X617" s="6" t="n">
        <v>5000</v>
      </c>
    </row>
    <row r="618">
      <c r="A618" t="inlineStr">
        <is>
          <t>tiberiansun</t>
        </is>
      </c>
      <c r="B618" t="inlineStr">
        <is>
          <t>forgotten_apctruck</t>
        </is>
      </c>
      <c r="C618" t="inlineStr">
        <is>
          <t>actor_forgotten_apctruck.name</t>
        </is>
      </c>
      <c r="D618" s="6" t="inlineStr">
        <is>
          <t>SupportVehicle</t>
        </is>
      </c>
      <c r="E618" s="6" t="n">
        <v>80000</v>
      </c>
      <c r="F618" s="6" t="n">
        <v>80</v>
      </c>
      <c r="G618" t="inlineStr">
        <is>
          <t>Light</t>
        </is>
      </c>
      <c r="H618" s="6" t="n">
        <v>1</v>
      </c>
      <c r="I618" s="6" t="n">
        <v>1</v>
      </c>
      <c r="J618" s="6" t="n">
        <v>1</v>
      </c>
      <c r="K618" s="6" t="n"/>
      <c r="P618">
        <f>MAX(P619)</f>
        <v/>
      </c>
      <c r="S618">
        <f>S619</f>
        <v/>
      </c>
      <c r="T618">
        <f>(E618/100000+F618/100+(P618/1000)*J618/5+S618/200)*200*I618*H618</f>
        <v/>
      </c>
      <c r="U618">
        <f>((E618*F618/25000)+((P618/1000)*J618*S618/2.5))*I618*H618</f>
        <v/>
      </c>
      <c r="V618">
        <f>(E618*F618*(P618/1000)*J618*S618*I618*H618)/12500000</f>
        <v/>
      </c>
      <c r="W618">
        <f>(T618+U618+V618)/3</f>
        <v/>
      </c>
      <c r="X618" s="6" t="n">
        <v>1260</v>
      </c>
      <c r="Y618">
        <f>IFERROR(W618-X618,"")</f>
        <v/>
      </c>
      <c r="Z618">
        <f>IFERROR(ABS(Y618)/MAX(X618,1),"")</f>
        <v/>
      </c>
      <c r="AA618">
        <f>IFERROR((X618-(((E618/100000+F618/100+S618/200)*200*I618*H618)+((E618*F618/25000)*I618*H618))/3)/(((J618/5)*200*I618*H618)+((J618*S618/2.5)*I618*H618)+((E618*F618*J618*S618*I618*H618)/12500000))/3*1000,"")</f>
        <v/>
      </c>
    </row>
    <row r="619">
      <c r="B619" s="7" t="inlineStr">
        <is>
          <t xml:space="preserve">  ↳ TSMutApcCannon</t>
        </is>
      </c>
      <c r="C619" s="7" t="inlineStr">
        <is>
          <t>Armament</t>
        </is>
      </c>
      <c r="L619" s="6" t="n">
        <v>4000</v>
      </c>
      <c r="M619" s="6" t="n">
        <v>12</v>
      </c>
      <c r="N619" s="6" t="n">
        <v>1</v>
      </c>
      <c r="O619" s="6" t="n"/>
      <c r="P619" s="6" t="n">
        <v>6147</v>
      </c>
      <c r="Q619" s="6" t="n">
        <v>1</v>
      </c>
      <c r="R619">
        <f>M619+IF(N619&gt;1,N(O619)*(N619-1),0)</f>
        <v/>
      </c>
      <c r="S619">
        <f>IFERROR(L619*MAX(N619,1)/R619*IF(ISBLANK(K618),1,K618),0)</f>
        <v/>
      </c>
      <c r="AB619" s="7" t="inlineStr">
        <is>
          <t>^Warhead_Bullet_Medium, ^Warhead_Flak_Medium</t>
        </is>
      </c>
    </row>
    <row r="620">
      <c r="A620" t="inlineStr">
        <is>
          <t>tiberiansun</t>
        </is>
      </c>
      <c r="B620" t="inlineStr">
        <is>
          <t>forgotten_mobileconstructionvehicle</t>
        </is>
      </c>
      <c r="C620" t="inlineStr">
        <is>
          <t>actor_forgotten_mobileconstructionvehicle.name</t>
        </is>
      </c>
      <c r="D620" s="6" t="inlineStr">
        <is>
          <t>SupportVehicle</t>
        </is>
      </c>
      <c r="E620" s="6" t="n">
        <v>300000</v>
      </c>
      <c r="F620" s="6" t="n">
        <v>75</v>
      </c>
      <c r="G620" t="inlineStr">
        <is>
          <t>Medium</t>
        </is>
      </c>
      <c r="H620" s="6" t="n">
        <v>1</v>
      </c>
      <c r="I620" s="6" t="n">
        <v>1</v>
      </c>
      <c r="J620" s="6" t="n">
        <v>1</v>
      </c>
      <c r="K620" s="6" t="n"/>
      <c r="X620" s="6" t="n">
        <v>5000</v>
      </c>
    </row>
    <row r="621">
      <c r="A621" t="inlineStr">
        <is>
          <t>tiberiansun</t>
        </is>
      </c>
      <c r="B621" t="inlineStr">
        <is>
          <t>forgotten_scarabapc</t>
        </is>
      </c>
      <c r="C621" t="inlineStr">
        <is>
          <t>actor_forgotten_scarabapc.name</t>
        </is>
      </c>
      <c r="D621" s="6" t="inlineStr">
        <is>
          <t>SupportVehicle</t>
        </is>
      </c>
      <c r="E621" s="6" t="n">
        <v>17500</v>
      </c>
      <c r="F621" s="6" t="n">
        <v>60</v>
      </c>
      <c r="G621" t="inlineStr">
        <is>
          <t>Medium</t>
        </is>
      </c>
      <c r="H621" s="6" t="n">
        <v>1</v>
      </c>
      <c r="I621" s="6" t="n">
        <v>1</v>
      </c>
      <c r="J621" s="6" t="n">
        <v>1</v>
      </c>
      <c r="K621" s="6" t="n"/>
      <c r="P621">
        <f>MAX(P622,P623)</f>
        <v/>
      </c>
      <c r="S621">
        <f>S622+S623</f>
        <v/>
      </c>
      <c r="T621">
        <f>(E621/100000+F621/100+(P621/1000)*J621/5+S621/200)*200*I621*H621</f>
        <v/>
      </c>
      <c r="U621">
        <f>((E621*F621/25000)+((P621/1000)*J621*S621/2.5))*I621*H621</f>
        <v/>
      </c>
      <c r="V621">
        <f>(E621*F621*(P621/1000)*J621*S621*I621*H621)/12500000</f>
        <v/>
      </c>
      <c r="W621">
        <f>(T621+U621+V621)/3</f>
        <v/>
      </c>
      <c r="X621" s="6" t="n">
        <v>1410</v>
      </c>
      <c r="Y621">
        <f>IFERROR(W621-X621,"")</f>
        <v/>
      </c>
      <c r="Z621">
        <f>IFERROR(ABS(Y621)/MAX(X621,1),"")</f>
        <v/>
      </c>
      <c r="AA621">
        <f>IFERROR((X621-(((E621/100000+F621/100+S621/200)*200*I621*H621)+((E621*F621/25000)*I621*H621))/3)/(((J621/5)*200*I621*H621)+((J621*S621/2.5)*I621*H621)+((E621*F621*J621*S621*I621*H621)/12500000))/3*1000,"")</f>
        <v/>
      </c>
    </row>
    <row r="622">
      <c r="B622" s="7" t="inlineStr">
        <is>
          <t xml:space="preserve">  ↳ TSSAPCMissiles</t>
        </is>
      </c>
      <c r="C622" s="7" t="inlineStr">
        <is>
          <t>Armament@PRIMARY</t>
        </is>
      </c>
      <c r="L622" s="6" t="n">
        <v>16000</v>
      </c>
      <c r="M622" s="6" t="n">
        <v>18</v>
      </c>
      <c r="N622" s="6" t="n">
        <v>2</v>
      </c>
      <c r="O622" s="6" t="n">
        <v>2</v>
      </c>
      <c r="P622" s="6" t="n">
        <v>5300</v>
      </c>
      <c r="Q622" s="6" t="n">
        <v>1</v>
      </c>
      <c r="R622">
        <f>M622+IF(N622&gt;1,N(O622)*(N622-1),0)</f>
        <v/>
      </c>
      <c r="S622">
        <f>IFERROR(L622*MAX(N622,1)/R622*IF(ISBLANK(K621),1,K621),0)</f>
        <v/>
      </c>
      <c r="AB622" s="7" t="inlineStr">
        <is>
          <t>^Grenade, ^LightMissile</t>
        </is>
      </c>
    </row>
    <row r="623">
      <c r="B623" s="7" t="inlineStr">
        <is>
          <t xml:space="preserve">  ↳ TSSAPCCoreMissiles</t>
        </is>
      </c>
      <c r="C623" s="7" t="inlineStr">
        <is>
          <t>Armament@UPGRADE</t>
        </is>
      </c>
      <c r="L623" s="6" t="n">
        <v>24000</v>
      </c>
      <c r="M623" s="6" t="n">
        <v>18</v>
      </c>
      <c r="N623" s="6" t="n">
        <v>2</v>
      </c>
      <c r="O623" s="6" t="n">
        <v>2</v>
      </c>
      <c r="P623" s="6" t="n">
        <v>5300</v>
      </c>
      <c r="Q623" s="6" t="n">
        <v>0.75</v>
      </c>
      <c r="R623">
        <f>M623+IF(N623&gt;1,N(O623)*(N623-1),0)</f>
        <v/>
      </c>
      <c r="S623">
        <f>IFERROR(L623*MAX(N623,1)/R623*IF(ISBLANK(K621),1,K621),0)</f>
        <v/>
      </c>
      <c r="AB623" s="7" t="inlineStr">
        <is>
          <t>^Warhead_Chemical_Light</t>
        </is>
      </c>
    </row>
    <row r="624">
      <c r="A624" t="inlineStr">
        <is>
          <t>redalert2</t>
        </is>
      </c>
      <c r="B624" t="inlineStr">
        <is>
          <t>ra2_allies_alliedmobileconstructionvehicle</t>
        </is>
      </c>
      <c r="C624" t="inlineStr">
        <is>
          <t>Allied Mobile Construction Vehicle</t>
        </is>
      </c>
      <c r="D624" s="6" t="inlineStr">
        <is>
          <t>SupportVehicle</t>
        </is>
      </c>
      <c r="E624" s="6" t="n">
        <v>300000</v>
      </c>
      <c r="F624" s="6" t="n">
        <v>75</v>
      </c>
      <c r="G624" t="inlineStr">
        <is>
          <t>Medium</t>
        </is>
      </c>
      <c r="H624" s="6" t="n">
        <v>0.782</v>
      </c>
      <c r="I624" s="6" t="n">
        <v>1</v>
      </c>
      <c r="J624" s="6" t="n">
        <v>1</v>
      </c>
      <c r="K624" s="6" t="n"/>
      <c r="X624" s="6" t="n">
        <v>5000</v>
      </c>
    </row>
    <row r="625">
      <c r="A625" t="inlineStr">
        <is>
          <t>redalert2</t>
        </is>
      </c>
      <c r="B625" t="inlineStr">
        <is>
          <t>ra2_soviets_mobileconstructionvehicle</t>
        </is>
      </c>
      <c r="C625" t="inlineStr">
        <is>
          <t>Soviet Mobile Construction Vehicle</t>
        </is>
      </c>
      <c r="D625" s="6" t="inlineStr">
        <is>
          <t>SupportVehicle</t>
        </is>
      </c>
      <c r="E625" s="6" t="n">
        <v>300000</v>
      </c>
      <c r="F625" s="6" t="n">
        <v>75</v>
      </c>
      <c r="G625" t="inlineStr">
        <is>
          <t>Medium</t>
        </is>
      </c>
      <c r="H625" s="6" t="n">
        <v>0.8824</v>
      </c>
      <c r="I625" s="6" t="n">
        <v>1</v>
      </c>
      <c r="J625" s="6" t="n">
        <v>1</v>
      </c>
      <c r="K625" s="6" t="n"/>
      <c r="X625" s="6" t="n">
        <v>5000</v>
      </c>
    </row>
    <row r="626">
      <c r="A626" t="inlineStr">
        <is>
          <t>redalert2</t>
        </is>
      </c>
      <c r="B626" t="inlineStr">
        <is>
          <t>yuri_chaosdrone</t>
        </is>
      </c>
      <c r="C626" t="inlineStr">
        <is>
          <t>Chaos Drone</t>
        </is>
      </c>
      <c r="D626" s="6" t="inlineStr">
        <is>
          <t>SupportVehicle</t>
        </is>
      </c>
      <c r="E626" s="6" t="n">
        <v>12500</v>
      </c>
      <c r="F626" s="6" t="n">
        <v>140</v>
      </c>
      <c r="G626" t="inlineStr">
        <is>
          <t>Scout</t>
        </is>
      </c>
      <c r="H626" s="6" t="n">
        <v>0.8824</v>
      </c>
      <c r="I626" s="6" t="n">
        <v>1</v>
      </c>
      <c r="J626" s="6" t="n">
        <v>1</v>
      </c>
      <c r="K626" s="6" t="n"/>
      <c r="X626" s="6" t="n">
        <v>600</v>
      </c>
    </row>
    <row r="627">
      <c r="B627" s="7" t="inlineStr">
        <is>
          <t xml:space="preserve">  ↳ RA2Dronegas</t>
        </is>
      </c>
      <c r="C627" s="7" t="inlineStr">
        <is>
          <t>Armament</t>
        </is>
      </c>
      <c r="L627" s="6" t="n"/>
      <c r="M627" s="6" t="n">
        <v>125</v>
      </c>
      <c r="N627" s="6" t="n">
        <v>1</v>
      </c>
      <c r="O627" s="6" t="n"/>
      <c r="P627" s="6" t="n">
        <v>5000</v>
      </c>
      <c r="Q627" s="6" t="n">
        <v>1</v>
      </c>
      <c r="R627">
        <f>M627+IF(N627&gt;1,N(O627)*(N627-1),0)</f>
        <v/>
      </c>
      <c r="S627">
        <f>IFERROR(L627*MAX(N627,1)/R627*IF(ISBLANK(K626),1,K626),0)</f>
        <v/>
      </c>
      <c r="AB627" s="7" t="inlineStr"/>
    </row>
    <row r="628">
      <c r="B628" s="7" t="inlineStr">
        <is>
          <t xml:space="preserve">  ↳ RA2Dronegas</t>
        </is>
      </c>
      <c r="C628" s="7" t="inlineStr">
        <is>
          <t>Armament@GARRISONED</t>
        </is>
      </c>
      <c r="L628" s="6" t="n"/>
      <c r="M628" s="6" t="n">
        <v>125</v>
      </c>
      <c r="N628" s="6" t="n">
        <v>1</v>
      </c>
      <c r="O628" s="6" t="n"/>
      <c r="P628" s="6" t="n">
        <v>5000</v>
      </c>
      <c r="Q628" s="6" t="n">
        <v>1</v>
      </c>
      <c r="R628">
        <f>M628+IF(N628&gt;1,N(O628)*(N628-1),0)</f>
        <v/>
      </c>
      <c r="S628">
        <f>IFERROR(L628*MAX(N628,1)/R628*IF(ISBLANK(K626),1,K626),0)</f>
        <v/>
      </c>
      <c r="AB628" s="7" t="inlineStr"/>
    </row>
    <row r="629">
      <c r="A629" t="inlineStr">
        <is>
          <t>redalert2</t>
        </is>
      </c>
      <c r="B629" t="inlineStr">
        <is>
          <t>yuri_mobileconstructionvehicle</t>
        </is>
      </c>
      <c r="C629" t="inlineStr">
        <is>
          <t>Yuri Mobile Construction Vehicle</t>
        </is>
      </c>
      <c r="D629" s="6" t="inlineStr">
        <is>
          <t>SupportVehicle</t>
        </is>
      </c>
      <c r="E629" s="6" t="n">
        <v>300000</v>
      </c>
      <c r="F629" s="6" t="n">
        <v>75</v>
      </c>
      <c r="G629" t="inlineStr">
        <is>
          <t>Medium</t>
        </is>
      </c>
      <c r="H629" s="6" t="n">
        <v>0.8376</v>
      </c>
      <c r="I629" s="6" t="n">
        <v>1</v>
      </c>
      <c r="J629" s="6" t="n">
        <v>1</v>
      </c>
      <c r="K629" s="6" t="n"/>
      <c r="X629" s="6" t="n">
        <v>5000</v>
      </c>
    </row>
    <row r="630">
      <c r="A630" t="inlineStr">
        <is>
          <t>redalert2</t>
        </is>
      </c>
      <c r="B630" t="inlineStr">
        <is>
          <t>yuri_slaveminer</t>
        </is>
      </c>
      <c r="C630" t="inlineStr">
        <is>
          <t>Slave Miner</t>
        </is>
      </c>
      <c r="D630" s="6" t="inlineStr">
        <is>
          <t>SupportVehicle</t>
        </is>
      </c>
      <c r="E630" s="6" t="n">
        <v>200000</v>
      </c>
      <c r="F630" s="6" t="n">
        <v>50</v>
      </c>
      <c r="G630" t="inlineStr">
        <is>
          <t>Heavy</t>
        </is>
      </c>
      <c r="H630" s="6" t="n">
        <v>0.9322</v>
      </c>
      <c r="I630" s="6" t="n">
        <v>1</v>
      </c>
      <c r="J630" s="6" t="n">
        <v>1</v>
      </c>
      <c r="K630" s="6" t="n"/>
      <c r="P630">
        <f>MAX(P631)</f>
        <v/>
      </c>
      <c r="S630">
        <f>S631</f>
        <v/>
      </c>
      <c r="T630">
        <f>(E630/100000+F630/100+(P630/1000)*J630/5+S630/200)*200*I630*H630</f>
        <v/>
      </c>
      <c r="U630">
        <f>((E630*F630/25000)+((P630/1000)*J630*S630/2.5))*I630*H630</f>
        <v/>
      </c>
      <c r="V630">
        <f>(E630*F630*(P630/1000)*J630*S630*I630*H630)/12500000</f>
        <v/>
      </c>
      <c r="W630">
        <f>(T630+U630+V630)/3</f>
        <v/>
      </c>
      <c r="X630" s="6" t="n">
        <v>2500</v>
      </c>
      <c r="Y630">
        <f>IFERROR(W630-X630,"")</f>
        <v/>
      </c>
      <c r="Z630">
        <f>IFERROR(ABS(Y630)/MAX(X630,1),"")</f>
        <v/>
      </c>
      <c r="AA630">
        <f>IFERROR((X630-(((E630/100000+F630/100+S630/200)*200*I630*H630)+((E630*F630/25000)*I630*H630))/3)/(((J630/5)*200*I630*H630)+((J630*S630/2.5)*I630*H630)+((E630*F630*J630*S630*I630*H630)/12500000))/3*1000,"")</f>
        <v/>
      </c>
    </row>
    <row r="631">
      <c r="B631" s="7" t="inlineStr">
        <is>
          <t xml:space="preserve">  ↳ RA220mmrapid</t>
        </is>
      </c>
      <c r="C631" s="7" t="inlineStr">
        <is>
          <t>Armament@primary</t>
        </is>
      </c>
      <c r="L631" s="6" t="n">
        <v>8000</v>
      </c>
      <c r="M631" s="6" t="n">
        <v>15</v>
      </c>
      <c r="N631" s="6" t="n">
        <v>1</v>
      </c>
      <c r="O631" s="6" t="n"/>
      <c r="P631" s="6" t="n">
        <v>5000</v>
      </c>
      <c r="Q631" s="6" t="n">
        <v>0.875</v>
      </c>
      <c r="R631">
        <f>M631+IF(N631&gt;1,N(O631)*(N631-1),0)</f>
        <v/>
      </c>
      <c r="S631">
        <f>IFERROR(L631*MAX(N631,1)/R631*IF(ISBLANK(K630),1,K630),0)</f>
        <v/>
      </c>
      <c r="AB631" s="7" t="inlineStr">
        <is>
          <t>^Warhead_Bullet_Light, ^Warhead_Bullet_Medium</t>
        </is>
      </c>
    </row>
    <row r="632">
      <c r="A632" t="inlineStr">
        <is>
          <t>redalert2mod</t>
        </is>
      </c>
      <c r="B632" t="inlineStr">
        <is>
          <t>asianalliance_asianmobileconstructionvehicle</t>
        </is>
      </c>
      <c r="C632" t="inlineStr">
        <is>
          <t>Asian Mobile Construction Vehicle</t>
        </is>
      </c>
      <c r="D632" s="6" t="inlineStr">
        <is>
          <t>SupportVehicle</t>
        </is>
      </c>
      <c r="E632" s="6" t="n">
        <v>300000</v>
      </c>
      <c r="F632" s="6" t="n">
        <v>75</v>
      </c>
      <c r="G632" t="inlineStr">
        <is>
          <t>Medium</t>
        </is>
      </c>
      <c r="H632" s="6" t="n">
        <v>0.7857</v>
      </c>
      <c r="I632" s="6" t="n">
        <v>1</v>
      </c>
      <c r="J632" s="6" t="n">
        <v>1</v>
      </c>
      <c r="K632" s="6" t="n"/>
      <c r="X632" s="6" t="n">
        <v>5000</v>
      </c>
    </row>
    <row r="633">
      <c r="A633" t="inlineStr">
        <is>
          <t>redalert2mod</t>
        </is>
      </c>
      <c r="B633" t="inlineStr">
        <is>
          <t>asianalliance_dragonfly</t>
        </is>
      </c>
      <c r="C633" t="inlineStr">
        <is>
          <t>Dragonfly</t>
        </is>
      </c>
      <c r="D633" s="6" t="inlineStr">
        <is>
          <t>SupportVehicle</t>
        </is>
      </c>
      <c r="E633" s="6" t="n">
        <v>32500</v>
      </c>
      <c r="F633" s="6" t="n">
        <v>100</v>
      </c>
      <c r="G633" t="inlineStr">
        <is>
          <t>Light</t>
        </is>
      </c>
      <c r="H633" s="6" t="n">
        <v>1</v>
      </c>
      <c r="I633" s="6" t="n">
        <v>1.25</v>
      </c>
      <c r="J633" s="6" t="n">
        <v>1.25</v>
      </c>
      <c r="K633" s="6" t="n"/>
      <c r="X633" s="6" t="n">
        <v>1200</v>
      </c>
    </row>
    <row r="634">
      <c r="A634" t="inlineStr">
        <is>
          <t>redalert2mod</t>
        </is>
      </c>
      <c r="B634" t="inlineStr">
        <is>
          <t>hummer.steel</t>
        </is>
      </c>
      <c r="C634" t="inlineStr">
        <is>
          <t>Federation Hummer</t>
        </is>
      </c>
      <c r="D634" s="6" t="inlineStr">
        <is>
          <t>SupportVehicle</t>
        </is>
      </c>
      <c r="E634" s="6" t="n">
        <v>45000</v>
      </c>
      <c r="F634" s="6" t="n">
        <v>110</v>
      </c>
      <c r="G634" t="inlineStr">
        <is>
          <t>Medium</t>
        </is>
      </c>
      <c r="H634" s="6" t="n">
        <v>1</v>
      </c>
      <c r="I634" s="6" t="n">
        <v>1</v>
      </c>
      <c r="J634" s="6" t="n">
        <v>1</v>
      </c>
      <c r="K634" s="6" t="n"/>
      <c r="P634">
        <f>MAX(P635,P636)</f>
        <v/>
      </c>
      <c r="S634">
        <f>S635+S636</f>
        <v/>
      </c>
      <c r="T634">
        <f>(E634/100000+F634/100+(P634/1000)*J634/5+S634/200)*200*I634*H634</f>
        <v/>
      </c>
      <c r="U634">
        <f>((E634*F634/25000)+((P634/1000)*J634*S634/2.5))*I634*H634</f>
        <v/>
      </c>
      <c r="V634">
        <f>(E634*F634*(P634/1000)*J634*S634*I634*H634)/12500000</f>
        <v/>
      </c>
      <c r="W634">
        <f>(T634+U634+V634)/3</f>
        <v/>
      </c>
      <c r="X634" s="6" t="n">
        <v>2000</v>
      </c>
      <c r="Y634">
        <f>IFERROR(W634-X634,"")</f>
        <v/>
      </c>
      <c r="Z634">
        <f>IFERROR(ABS(Y634)/MAX(X634,1),"")</f>
        <v/>
      </c>
      <c r="AA634">
        <f>IFERROR((X634-(((E634/100000+F634/100+S634/200)*200*I634*H634)+((E634*F634/25000)*I634*H634))/3)/(((J634/5)*200*I634*H634)+((J634*S634/2.5)*I634*H634)+((E634*F634*J634*S634*I634*H634)/12500000))/3*1000,"")</f>
        <v/>
      </c>
    </row>
    <row r="635">
      <c r="B635" s="7" t="inlineStr">
        <is>
          <t xml:space="preserve">  ↳ SteelHoverMissile</t>
        </is>
      </c>
      <c r="C635" s="7" t="inlineStr">
        <is>
          <t>Armament@AG</t>
        </is>
      </c>
      <c r="L635" s="6" t="n">
        <v>8000</v>
      </c>
      <c r="M635" s="6" t="n">
        <v>25</v>
      </c>
      <c r="N635" s="6" t="n">
        <v>4</v>
      </c>
      <c r="O635" s="6" t="n">
        <v>4</v>
      </c>
      <c r="P635" s="6" t="n">
        <v>6666</v>
      </c>
      <c r="Q635" s="6" t="n">
        <v>0.75</v>
      </c>
      <c r="R635">
        <f>M635+IF(N635&gt;1,N(O635)*(N635-1),0)</f>
        <v/>
      </c>
      <c r="S635">
        <f>IFERROR(L635*MAX(N635,1)/R635*IF(ISBLANK(K634),1,K634),0)</f>
        <v/>
      </c>
      <c r="AB635" s="7" t="inlineStr">
        <is>
          <t>^Warhead_MissileAP_Light</t>
        </is>
      </c>
    </row>
    <row r="636">
      <c r="B636" s="7" t="inlineStr">
        <is>
          <t xml:space="preserve">  ↳ SteelHoverMissile_elite</t>
        </is>
      </c>
      <c r="C636" s="7" t="inlineStr">
        <is>
          <t>Armament@AGELITE</t>
        </is>
      </c>
      <c r="L636" s="6" t="n">
        <v>16000</v>
      </c>
      <c r="M636" s="6" t="n">
        <v>25</v>
      </c>
      <c r="N636" s="6" t="n">
        <v>4</v>
      </c>
      <c r="O636" s="6" t="n">
        <v>4</v>
      </c>
      <c r="P636" s="6" t="n">
        <v>7000</v>
      </c>
      <c r="Q636" s="6" t="n">
        <v>0.75</v>
      </c>
      <c r="R636">
        <f>M636+IF(N636&gt;1,N(O636)*(N636-1),0)</f>
        <v/>
      </c>
      <c r="S636">
        <f>IFERROR(L636*MAX(N636,1)/R636*IF(ISBLANK(K634),1,K634),0)</f>
        <v/>
      </c>
      <c r="AB636" s="7" t="inlineStr">
        <is>
          <t>^Warhead_MissileAP_Light</t>
        </is>
      </c>
    </row>
    <row r="637">
      <c r="A637" t="inlineStr">
        <is>
          <t>redalert2mod</t>
        </is>
      </c>
      <c r="B637" t="inlineStr">
        <is>
          <t>steelconsortium_consortiummobileconstructionvehicle</t>
        </is>
      </c>
      <c r="C637" t="inlineStr">
        <is>
          <t>Consortium Mobile Construction Vehicle</t>
        </is>
      </c>
      <c r="D637" s="6" t="inlineStr">
        <is>
          <t>SupportVehicle</t>
        </is>
      </c>
      <c r="E637" s="6" t="n">
        <v>150000</v>
      </c>
      <c r="F637" s="6" t="n">
        <v>60</v>
      </c>
      <c r="G637" t="inlineStr">
        <is>
          <t>Light</t>
        </is>
      </c>
      <c r="H637" s="6" t="n">
        <v>0.6735</v>
      </c>
      <c r="I637" s="6" t="n">
        <v>1</v>
      </c>
      <c r="J637" s="6" t="n">
        <v>1</v>
      </c>
      <c r="K637" s="6" t="n"/>
      <c r="X637" s="6" t="n">
        <v>5000</v>
      </c>
    </row>
    <row r="638">
      <c r="A638" t="inlineStr">
        <is>
          <t>redalert2mod</t>
        </is>
      </c>
      <c r="B638" t="inlineStr">
        <is>
          <t>steelconsortium_defenderbot</t>
        </is>
      </c>
      <c r="C638" t="inlineStr">
        <is>
          <t>Defender Bot</t>
        </is>
      </c>
      <c r="D638" s="6" t="inlineStr">
        <is>
          <t>SupportVehicle</t>
        </is>
      </c>
      <c r="E638" s="6" t="n">
        <v>210000</v>
      </c>
      <c r="F638" s="6" t="n">
        <v>70</v>
      </c>
      <c r="G638" t="inlineStr">
        <is>
          <t>Medium</t>
        </is>
      </c>
      <c r="H638" s="6" t="n">
        <v>0.75</v>
      </c>
      <c r="I638" s="6" t="n">
        <v>1</v>
      </c>
      <c r="J638" s="6" t="n">
        <v>1.25</v>
      </c>
      <c r="K638" s="6" t="n"/>
      <c r="P638">
        <f>MAX(P639,P640,P641,P642)</f>
        <v/>
      </c>
      <c r="S638">
        <f>S639+S640+S641+S642</f>
        <v/>
      </c>
      <c r="T638">
        <f>(E638/100000+F638/100+(P638/1000)*J638/5+S638/200)*200*I638*H638</f>
        <v/>
      </c>
      <c r="U638">
        <f>((E638*F638/25000)+((P638/1000)*J638*S638/2.5))*I638*H638</f>
        <v/>
      </c>
      <c r="V638">
        <f>(E638*F638*(P638/1000)*J638*S638*I638*H638)/12500000</f>
        <v/>
      </c>
      <c r="W638">
        <f>(T638+U638+V638)/3</f>
        <v/>
      </c>
      <c r="X638" s="6" t="n">
        <v>3200</v>
      </c>
      <c r="Y638">
        <f>IFERROR(W638-X638,"")</f>
        <v/>
      </c>
      <c r="Z638">
        <f>IFERROR(ABS(Y638)/MAX(X638,1),"")</f>
        <v/>
      </c>
      <c r="AA638">
        <f>IFERROR((X638-(((E638/100000+F638/100+S638/200)*200*I638*H638)+((E638*F638/25000)*I638*H638))/3)/(((J638/5)*200*I638*H638)+((J638*S638/2.5)*I638*H638)+((E638*F638*J638*S638*I638*H638)/12500000))/3*1000,"")</f>
        <v/>
      </c>
    </row>
    <row r="639">
      <c r="B639" s="7" t="inlineStr">
        <is>
          <t xml:space="preserve">  ↳ SteelInfRailgun</t>
        </is>
      </c>
      <c r="C639" s="7" t="inlineStr">
        <is>
          <t>Armament@PRIMARY</t>
        </is>
      </c>
      <c r="L639" s="6" t="n">
        <v>16000</v>
      </c>
      <c r="M639" s="6" t="n">
        <v>48</v>
      </c>
      <c r="N639" s="6" t="n">
        <v>2</v>
      </c>
      <c r="O639" s="6" t="n">
        <v>0</v>
      </c>
      <c r="P639" s="6" t="n">
        <v>8000</v>
      </c>
      <c r="Q639" s="6" t="n">
        <v>1</v>
      </c>
      <c r="R639">
        <f>M639+IF(N639&gt;1,N(O639)*(N639-1),0)</f>
        <v/>
      </c>
      <c r="S639">
        <f>IFERROR(L639*MAX(N639,1)/R639*IF(ISBLANK(K638),1,K638),0)</f>
        <v/>
      </c>
      <c r="AB639" s="7" t="inlineStr">
        <is>
          <t>^Warhead_Railgun_Heavy, ^Warhead_Flak_Medium, ^Warhead_Bullet_Medium, ^Warhead_MissileAP_Light</t>
        </is>
      </c>
    </row>
    <row r="640">
      <c r="B640" s="7" t="inlineStr">
        <is>
          <t xml:space="preserve">  ↳ SteelInfRailgun_elite</t>
        </is>
      </c>
      <c r="C640" s="7" t="inlineStr">
        <is>
          <t>Armament@PRIMARYELITE</t>
        </is>
      </c>
      <c r="L640" s="6" t="n">
        <v>16000</v>
      </c>
      <c r="M640" s="6" t="n">
        <v>48</v>
      </c>
      <c r="N640" s="6" t="n">
        <v>4</v>
      </c>
      <c r="O640" s="6" t="n">
        <v>0</v>
      </c>
      <c r="P640" s="6" t="n">
        <v>9000</v>
      </c>
      <c r="Q640" s="6" t="n">
        <v>1</v>
      </c>
      <c r="R640">
        <f>M640+IF(N640&gt;1,N(O640)*(N640-1),0)</f>
        <v/>
      </c>
      <c r="S640">
        <f>IFERROR(L640*MAX(N640,1)/R640*IF(ISBLANK(K638),1,K638),0)</f>
        <v/>
      </c>
      <c r="AB640" s="7" t="inlineStr">
        <is>
          <t>^Warhead_Railgun_Heavy, ^Warhead_Flak_Medium, ^Warhead_Bullet_Medium, ^Warhead_MissileAP_Light</t>
        </is>
      </c>
    </row>
    <row r="641">
      <c r="B641" s="7" t="inlineStr">
        <is>
          <t xml:space="preserve">  ↳ SteelInfRailgun_EMP</t>
        </is>
      </c>
      <c r="C641" s="7" t="inlineStr">
        <is>
          <t>Armament@UpgradePRIMARY</t>
        </is>
      </c>
      <c r="L641" s="6" t="n">
        <v>20000</v>
      </c>
      <c r="M641" s="6" t="n">
        <v>50</v>
      </c>
      <c r="N641" s="6" t="n">
        <v>2</v>
      </c>
      <c r="O641" s="6" t="n">
        <v>0</v>
      </c>
      <c r="P641" s="6" t="n">
        <v>8000</v>
      </c>
      <c r="Q641" s="6" t="n">
        <v>1</v>
      </c>
      <c r="R641">
        <f>M641+IF(N641&gt;1,N(O641)*(N641-1),0)</f>
        <v/>
      </c>
      <c r="S641">
        <f>IFERROR(L641*MAX(N641,1)/R641*IF(ISBLANK(K638),1,K638),0)</f>
        <v/>
      </c>
      <c r="AB641" s="7" t="inlineStr">
        <is>
          <t>^Warhead_Railgun_Heavy, ^Warhead_Flak_Medium, ^Warhead_Bullet_Medium, ^Warhead_MissileAP_Light</t>
        </is>
      </c>
    </row>
    <row r="642">
      <c r="B642" s="7" t="inlineStr">
        <is>
          <t xml:space="preserve">  ↳ SteelInfRailgun_EMP_elite</t>
        </is>
      </c>
      <c r="C642" s="7" t="inlineStr">
        <is>
          <t>Armament@UpgradePRIMARYELITE</t>
        </is>
      </c>
      <c r="L642" s="6" t="n">
        <v>20000</v>
      </c>
      <c r="M642" s="6" t="n">
        <v>50</v>
      </c>
      <c r="N642" s="6" t="n">
        <v>4</v>
      </c>
      <c r="O642" s="6" t="n">
        <v>0</v>
      </c>
      <c r="P642" s="6" t="n">
        <v>9000</v>
      </c>
      <c r="Q642" s="6" t="n">
        <v>1</v>
      </c>
      <c r="R642">
        <f>M642+IF(N642&gt;1,N(O642)*(N642-1),0)</f>
        <v/>
      </c>
      <c r="S642">
        <f>IFERROR(L642*MAX(N642,1)/R642*IF(ISBLANK(K638),1,K638),0)</f>
        <v/>
      </c>
      <c r="AB642" s="7" t="inlineStr">
        <is>
          <t>^Warhead_Railgun_Heavy, ^Warhead_Flak_Medium, ^Warhead_Bullet_Medium, ^Warhead_MissileAP_Light</t>
        </is>
      </c>
    </row>
    <row r="643">
      <c r="A643" t="inlineStr">
        <is>
          <t>redalert2mod</t>
        </is>
      </c>
      <c r="B643" t="inlineStr">
        <is>
          <t>steelconsortium_supportshieldgenerator</t>
        </is>
      </c>
      <c r="C643" t="inlineStr">
        <is>
          <t>Support Shield Generator</t>
        </is>
      </c>
      <c r="D643" s="6" t="inlineStr">
        <is>
          <t>SupportVehicle</t>
        </is>
      </c>
      <c r="E643" s="6" t="n">
        <v>100000</v>
      </c>
      <c r="F643" s="6" t="n">
        <v>75</v>
      </c>
      <c r="G643" t="inlineStr">
        <is>
          <t>Medium</t>
        </is>
      </c>
      <c r="H643" s="6" t="n">
        <v>0.4783</v>
      </c>
      <c r="I643" s="6" t="n">
        <v>1</v>
      </c>
      <c r="J643" s="6" t="n">
        <v>1</v>
      </c>
      <c r="K643" s="6" t="n"/>
      <c r="X643" s="6" t="n">
        <v>3000</v>
      </c>
    </row>
    <row r="644">
      <c r="B644" s="7" t="inlineStr">
        <is>
          <t xml:space="preserve">  ↳ GLStingerTargeting</t>
        </is>
      </c>
      <c r="C644" s="7" t="inlineStr">
        <is>
          <t>Armament</t>
        </is>
      </c>
      <c r="L644" s="6" t="n"/>
      <c r="M644" s="6" t="n">
        <v>25</v>
      </c>
      <c r="N644" s="6" t="n">
        <v>1</v>
      </c>
      <c r="O644" s="6" t="n"/>
      <c r="P644" s="6" t="n">
        <v>15000</v>
      </c>
      <c r="Q644" s="6" t="n">
        <v>1</v>
      </c>
      <c r="R644">
        <f>M644+IF(N644&gt;1,N(O644)*(N644-1),0)</f>
        <v/>
      </c>
      <c r="S644">
        <f>IFERROR(L644*MAX(N644,1)/R644*IF(ISBLANK(K643),1,K643),0)</f>
        <v/>
      </c>
      <c r="AB644" s="7" t="inlineStr"/>
    </row>
    <row r="645">
      <c r="A645" t="inlineStr">
        <is>
          <t>redalert2mod</t>
        </is>
      </c>
      <c r="B645" t="inlineStr">
        <is>
          <t>latinsyndicate_latinapc</t>
        </is>
      </c>
      <c r="C645" t="inlineStr">
        <is>
          <t>Latin APC</t>
        </is>
      </c>
      <c r="D645" s="6" t="inlineStr">
        <is>
          <t>SupportVehicle</t>
        </is>
      </c>
      <c r="E645" s="6" t="n">
        <v>180000</v>
      </c>
      <c r="F645" s="6" t="n">
        <v>90</v>
      </c>
      <c r="G645" t="inlineStr">
        <is>
          <t>Medium</t>
        </is>
      </c>
      <c r="H645" s="6" t="n">
        <v>0.4783</v>
      </c>
      <c r="I645" s="6" t="n">
        <v>1</v>
      </c>
      <c r="J645" s="6" t="n">
        <v>1</v>
      </c>
      <c r="K645" s="6" t="n"/>
      <c r="P645">
        <f>MAX(P646,P647,P648,P649,P650,P651,P652,P653,P654,P655,P656,P657)</f>
        <v/>
      </c>
      <c r="S645">
        <f>S646+S647+S648+S649+S650+S651+S652+S653+S654+S655+S656+S657</f>
        <v/>
      </c>
      <c r="T645">
        <f>(E645/100000+F645/100+(P645/1000)*J645/5+S645/200)*200*I645*H645</f>
        <v/>
      </c>
      <c r="U645">
        <f>((E645*F645/25000)+((P645/1000)*J645*S645/2.5))*I645*H645</f>
        <v/>
      </c>
      <c r="V645">
        <f>(E645*F645*(P645/1000)*J645*S645*I645*H645)/12500000</f>
        <v/>
      </c>
      <c r="W645">
        <f>(T645+U645+V645)/3</f>
        <v/>
      </c>
      <c r="X645" s="6" t="n">
        <v>2400</v>
      </c>
      <c r="Y645">
        <f>IFERROR(W645-X645,"")</f>
        <v/>
      </c>
      <c r="Z645">
        <f>IFERROR(ABS(Y645)/MAX(X645,1),"")</f>
        <v/>
      </c>
      <c r="AA645">
        <f>IFERROR((X645-(((E645/100000+F645/100+S645/200)*200*I645*H645)+((E645*F645/25000)*I645*H645))/3)/(((J645/5)*200*I645*H645)+((J645*S645/2.5)*I645*H645)+((E645*F645*J645*S645*I645*H645)/12500000))/3*1000,"")</f>
        <v/>
      </c>
    </row>
    <row r="646">
      <c r="B646" s="7" t="inlineStr">
        <is>
          <t xml:space="preserve">  ↳ RA2APCFlakCannon</t>
        </is>
      </c>
      <c r="C646" s="7" t="inlineStr">
        <is>
          <t>Armament@Flak</t>
        </is>
      </c>
      <c r="L646" s="6" t="n">
        <v>8000</v>
      </c>
      <c r="M646" s="6" t="n">
        <v>12</v>
      </c>
      <c r="N646" s="6" t="n">
        <v>1</v>
      </c>
      <c r="O646" s="6" t="n"/>
      <c r="P646" s="6" t="n">
        <v>5740</v>
      </c>
      <c r="Q646" s="6" t="n">
        <v>1</v>
      </c>
      <c r="R646">
        <f>M646+IF(N646&gt;1,N(O646)*(N646-1),0)</f>
        <v/>
      </c>
      <c r="S646">
        <f>IFERROR(L646*MAX(N646,1)/R646*IF(ISBLANK(K645),1,K645),0)</f>
        <v/>
      </c>
      <c r="AB646" s="7" t="inlineStr">
        <is>
          <t>^Warhead_Flak_Medium</t>
        </is>
      </c>
    </row>
    <row r="647">
      <c r="B647" s="7" t="inlineStr">
        <is>
          <t xml:space="preserve">  ↳ RA2APCFlakCannon_elite</t>
        </is>
      </c>
      <c r="C647" s="7" t="inlineStr">
        <is>
          <t>Armament@FlakELITE</t>
        </is>
      </c>
      <c r="L647" s="6" t="n">
        <v>8000</v>
      </c>
      <c r="M647" s="6" t="n">
        <v>12</v>
      </c>
      <c r="N647" s="6" t="n">
        <v>2</v>
      </c>
      <c r="O647" s="6" t="n">
        <v>3</v>
      </c>
      <c r="P647" s="6" t="n">
        <v>6740</v>
      </c>
      <c r="Q647" s="6" t="n">
        <v>1</v>
      </c>
      <c r="R647">
        <f>M647+IF(N647&gt;1,N(O647)*(N647-1),0)</f>
        <v/>
      </c>
      <c r="S647">
        <f>IFERROR(L647*MAX(N647,1)/R647*IF(ISBLANK(K645),1,K645),0)</f>
        <v/>
      </c>
      <c r="AB647" s="7" t="inlineStr">
        <is>
          <t>^Warhead_Flak_Medium</t>
        </is>
      </c>
    </row>
    <row r="648">
      <c r="B648" s="7" t="inlineStr">
        <is>
          <t xml:space="preserve">  ↳ RA2APCFlakCannonAA</t>
        </is>
      </c>
      <c r="C648" s="7" t="inlineStr">
        <is>
          <t>Armament@FlakAA</t>
        </is>
      </c>
      <c r="L648" s="6" t="n">
        <v>8000</v>
      </c>
      <c r="M648" s="6" t="n">
        <v>12</v>
      </c>
      <c r="N648" s="6" t="n">
        <v>1</v>
      </c>
      <c r="O648" s="6" t="n"/>
      <c r="P648" s="6" t="n">
        <v>8610</v>
      </c>
      <c r="Q648" s="6" t="n">
        <v>1</v>
      </c>
      <c r="R648">
        <f>M648+IF(N648&gt;1,N(O648)*(N648-1),0)</f>
        <v/>
      </c>
      <c r="S648">
        <f>IFERROR(L648*MAX(N648,1)/R648*IF(ISBLANK(K645),1,K645),0)</f>
        <v/>
      </c>
      <c r="AB648" s="7" t="inlineStr">
        <is>
          <t>^Warhead_Flak_Medium</t>
        </is>
      </c>
    </row>
    <row r="649">
      <c r="B649" s="7" t="inlineStr">
        <is>
          <t xml:space="preserve">  ↳ RA2APCFlakCannonAA_elite</t>
        </is>
      </c>
      <c r="C649" s="7" t="inlineStr">
        <is>
          <t>Armament@FlakAAELITE</t>
        </is>
      </c>
      <c r="L649" s="6" t="n">
        <v>8000</v>
      </c>
      <c r="M649" s="6" t="n">
        <v>12</v>
      </c>
      <c r="N649" s="6" t="n">
        <v>2</v>
      </c>
      <c r="O649" s="6" t="n">
        <v>3</v>
      </c>
      <c r="P649" s="6" t="n">
        <v>9610</v>
      </c>
      <c r="Q649" s="6" t="n">
        <v>1</v>
      </c>
      <c r="R649">
        <f>M649+IF(N649&gt;1,N(O649)*(N649-1),0)</f>
        <v/>
      </c>
      <c r="S649">
        <f>IFERROR(L649*MAX(N649,1)/R649*IF(ISBLANK(K645),1,K645),0)</f>
        <v/>
      </c>
      <c r="AB649" s="7" t="inlineStr">
        <is>
          <t>^Warhead_Flak_Medium</t>
        </is>
      </c>
    </row>
    <row r="650">
      <c r="B650" s="7" t="inlineStr">
        <is>
          <t xml:space="preserve">  ↳ RA2APCMachineGun</t>
        </is>
      </c>
      <c r="C650" s="7" t="inlineStr">
        <is>
          <t>Armament@Machinegun</t>
        </is>
      </c>
      <c r="L650" s="6" t="n">
        <v>4000</v>
      </c>
      <c r="M650" s="6" t="n">
        <v>12</v>
      </c>
      <c r="N650" s="6" t="n">
        <v>4</v>
      </c>
      <c r="O650" s="6" t="n">
        <v>4</v>
      </c>
      <c r="P650" s="6" t="n">
        <v>5740</v>
      </c>
      <c r="Q650" s="6" t="n">
        <v>0.875</v>
      </c>
      <c r="R650">
        <f>M650+IF(N650&gt;1,N(O650)*(N650-1),0)</f>
        <v/>
      </c>
      <c r="S650">
        <f>IFERROR(L650*MAX(N650,1)/R650*IF(ISBLANK(K645),1,K645),0)</f>
        <v/>
      </c>
      <c r="AB650" s="7" t="inlineStr">
        <is>
          <t>^Warhead_Bullet_Light, ^Warhead_Bullet_Medium</t>
        </is>
      </c>
    </row>
    <row r="651">
      <c r="B651" s="7" t="inlineStr">
        <is>
          <t xml:space="preserve">  ↳ RA2APCMachineGun_elite</t>
        </is>
      </c>
      <c r="C651" s="7" t="inlineStr">
        <is>
          <t>Armament@MachinegunELITE</t>
        </is>
      </c>
      <c r="L651" s="6" t="n">
        <v>4000</v>
      </c>
      <c r="M651" s="6" t="n">
        <v>12</v>
      </c>
      <c r="N651" s="6" t="n">
        <v>8</v>
      </c>
      <c r="O651" s="6" t="n">
        <v>2</v>
      </c>
      <c r="P651" s="6" t="n">
        <v>6740</v>
      </c>
      <c r="Q651" s="6" t="n">
        <v>0.875</v>
      </c>
      <c r="R651">
        <f>M651+IF(N651&gt;1,N(O651)*(N651-1),0)</f>
        <v/>
      </c>
      <c r="S651">
        <f>IFERROR(L651*MAX(N651,1)/R651*IF(ISBLANK(K645),1,K645),0)</f>
        <v/>
      </c>
      <c r="AB651" s="7" t="inlineStr">
        <is>
          <t>^Warhead_Bullet_Light, ^Warhead_Bullet_Medium</t>
        </is>
      </c>
    </row>
    <row r="652">
      <c r="B652" s="7" t="inlineStr">
        <is>
          <t xml:space="preserve">  ↳ RA2APCMachineGun_AA</t>
        </is>
      </c>
      <c r="C652" s="7" t="inlineStr">
        <is>
          <t>Armament@MachinegunAA</t>
        </is>
      </c>
      <c r="L652" s="6" t="n">
        <v>4000</v>
      </c>
      <c r="M652" s="6" t="n">
        <v>12</v>
      </c>
      <c r="N652" s="6" t="n">
        <v>4</v>
      </c>
      <c r="O652" s="6" t="n">
        <v>4</v>
      </c>
      <c r="P652" s="6" t="n">
        <v>8610</v>
      </c>
      <c r="Q652" s="6" t="n">
        <v>0.875</v>
      </c>
      <c r="R652">
        <f>M652+IF(N652&gt;1,N(O652)*(N652-1),0)</f>
        <v/>
      </c>
      <c r="S652">
        <f>IFERROR(L652*MAX(N652,1)/R652*IF(ISBLANK(K645),1,K645),0)</f>
        <v/>
      </c>
      <c r="AB652" s="7" t="inlineStr">
        <is>
          <t>^Warhead_Bullet_Light, ^Warhead_Bullet_Medium</t>
        </is>
      </c>
    </row>
    <row r="653">
      <c r="B653" s="7" t="inlineStr">
        <is>
          <t xml:space="preserve">  ↳ RA2APCMachineGun_AA_elite</t>
        </is>
      </c>
      <c r="C653" s="7" t="inlineStr">
        <is>
          <t>Armament@MachinegunAAELITE</t>
        </is>
      </c>
      <c r="L653" s="6" t="n">
        <v>4000</v>
      </c>
      <c r="M653" s="6" t="n">
        <v>12</v>
      </c>
      <c r="N653" s="6" t="n">
        <v>8</v>
      </c>
      <c r="O653" s="6" t="n">
        <v>2</v>
      </c>
      <c r="P653" s="6" t="n">
        <v>9610</v>
      </c>
      <c r="Q653" s="6" t="n">
        <v>0.875</v>
      </c>
      <c r="R653">
        <f>M653+IF(N653&gt;1,N(O653)*(N653-1),0)</f>
        <v/>
      </c>
      <c r="S653">
        <f>IFERROR(L653*MAX(N653,1)/R653*IF(ISBLANK(K645),1,K645),0)</f>
        <v/>
      </c>
      <c r="AB653" s="7" t="inlineStr">
        <is>
          <t>^Warhead_Bullet_Light, ^Warhead_Bullet_Medium</t>
        </is>
      </c>
    </row>
    <row r="654">
      <c r="B654" s="7" t="inlineStr">
        <is>
          <t xml:space="preserve">  ↳ RA2APCRocket</t>
        </is>
      </c>
      <c r="C654" s="7" t="inlineStr">
        <is>
          <t>Armament@Rockets</t>
        </is>
      </c>
      <c r="L654" s="6" t="n">
        <v>8000</v>
      </c>
      <c r="M654" s="6" t="n">
        <v>53</v>
      </c>
      <c r="N654" s="6" t="n">
        <v>4</v>
      </c>
      <c r="O654" s="6" t="n">
        <v>3</v>
      </c>
      <c r="P654" s="6" t="n">
        <v>5740</v>
      </c>
      <c r="Q654" s="6" t="n">
        <v>1</v>
      </c>
      <c r="R654">
        <f>M654+IF(N654&gt;1,N(O654)*(N654-1),0)</f>
        <v/>
      </c>
      <c r="S654">
        <f>IFERROR(L654*MAX(N654,1)/R654*IF(ISBLANK(K645),1,K645),0)</f>
        <v/>
      </c>
      <c r="AB654" s="7" t="inlineStr">
        <is>
          <t>^Warhead_MissileAP_Medium</t>
        </is>
      </c>
    </row>
    <row r="655">
      <c r="B655" s="7" t="inlineStr">
        <is>
          <t xml:space="preserve">  ↳ RA2APCRocket_elite</t>
        </is>
      </c>
      <c r="C655" s="7" t="inlineStr">
        <is>
          <t>Armament@RocketsELITE</t>
        </is>
      </c>
      <c r="L655" s="6" t="n">
        <v>8000</v>
      </c>
      <c r="M655" s="6" t="n">
        <v>53</v>
      </c>
      <c r="N655" s="6" t="n">
        <v>8</v>
      </c>
      <c r="O655" s="6" t="n">
        <v>3</v>
      </c>
      <c r="P655" s="6" t="n">
        <v>6740</v>
      </c>
      <c r="Q655" s="6" t="n">
        <v>1</v>
      </c>
      <c r="R655">
        <f>M655+IF(N655&gt;1,N(O655)*(N655-1),0)</f>
        <v/>
      </c>
      <c r="S655">
        <f>IFERROR(L655*MAX(N655,1)/R655*IF(ISBLANK(K645),1,K645),0)</f>
        <v/>
      </c>
      <c r="AB655" s="7" t="inlineStr">
        <is>
          <t>^Warhead_MissileAP_Medium</t>
        </is>
      </c>
    </row>
    <row r="656">
      <c r="B656" s="7" t="inlineStr">
        <is>
          <t xml:space="preserve">  ↳ RA2APCRocket_AA</t>
        </is>
      </c>
      <c r="C656" s="7" t="inlineStr">
        <is>
          <t>Armament@RocketsAA</t>
        </is>
      </c>
      <c r="L656" s="6" t="n">
        <v>8000</v>
      </c>
      <c r="M656" s="6" t="n">
        <v>53</v>
      </c>
      <c r="N656" s="6" t="n">
        <v>4</v>
      </c>
      <c r="O656" s="6" t="n">
        <v>3</v>
      </c>
      <c r="P656" s="6" t="n">
        <v>8610</v>
      </c>
      <c r="Q656" s="6" t="n">
        <v>1</v>
      </c>
      <c r="R656">
        <f>M656+IF(N656&gt;1,N(O656)*(N656-1),0)</f>
        <v/>
      </c>
      <c r="S656">
        <f>IFERROR(L656*MAX(N656,1)/R656*IF(ISBLANK(K645),1,K645),0)</f>
        <v/>
      </c>
      <c r="AB656" s="7" t="inlineStr">
        <is>
          <t>^Warhead_MissileAP_Medium</t>
        </is>
      </c>
    </row>
    <row r="657">
      <c r="B657" s="7" t="inlineStr">
        <is>
          <t xml:space="preserve">  ↳ RA2APCRocket_AA_elite</t>
        </is>
      </c>
      <c r="C657" s="7" t="inlineStr">
        <is>
          <t>Armament@RocketsAAELITE</t>
        </is>
      </c>
      <c r="L657" s="6" t="n">
        <v>8000</v>
      </c>
      <c r="M657" s="6" t="n">
        <v>53</v>
      </c>
      <c r="N657" s="6" t="n">
        <v>8</v>
      </c>
      <c r="O657" s="6" t="n">
        <v>3</v>
      </c>
      <c r="P657" s="6" t="n">
        <v>9610</v>
      </c>
      <c r="Q657" s="6" t="n">
        <v>1</v>
      </c>
      <c r="R657">
        <f>M657+IF(N657&gt;1,N(O657)*(N657-1),0)</f>
        <v/>
      </c>
      <c r="S657">
        <f>IFERROR(L657*MAX(N657,1)/R657*IF(ISBLANK(K645),1,K645),0)</f>
        <v/>
      </c>
      <c r="AB657" s="7" t="inlineStr">
        <is>
          <t>^Warhead_MissileAP_Medium</t>
        </is>
      </c>
    </row>
    <row r="658">
      <c r="A658" t="inlineStr">
        <is>
          <t>redalert2mod</t>
        </is>
      </c>
      <c r="B658" t="inlineStr">
        <is>
          <t>latinsyndicate_narcohummer</t>
        </is>
      </c>
      <c r="C658" t="inlineStr">
        <is>
          <t>Narco Hummer</t>
        </is>
      </c>
      <c r="D658" s="6" t="inlineStr">
        <is>
          <t>SupportVehicle</t>
        </is>
      </c>
      <c r="E658" s="6" t="n">
        <v>97500</v>
      </c>
      <c r="F658" s="6" t="n">
        <v>110</v>
      </c>
      <c r="G658" t="inlineStr">
        <is>
          <t>Medium</t>
        </is>
      </c>
      <c r="H658" s="6" t="n">
        <v>0.75</v>
      </c>
      <c r="I658" s="6" t="n">
        <v>1.25</v>
      </c>
      <c r="J658" s="6" t="n">
        <v>1</v>
      </c>
      <c r="K658" s="6" t="n"/>
      <c r="P658">
        <f>MAX(P659,P660)</f>
        <v/>
      </c>
      <c r="S658">
        <f>S659+S660</f>
        <v/>
      </c>
      <c r="T658">
        <f>(E658/100000+F658/100+(P658/1000)*J658/5+S658/200)*200*I658*H658</f>
        <v/>
      </c>
      <c r="U658">
        <f>((E658*F658/25000)+((P658/1000)*J658*S658/2.5))*I658*H658</f>
        <v/>
      </c>
      <c r="V658">
        <f>(E658*F658*(P658/1000)*J658*S658*I658*H658)/12500000</f>
        <v/>
      </c>
      <c r="W658">
        <f>(T658+U658+V658)/3</f>
        <v/>
      </c>
      <c r="X658" s="6" t="n">
        <v>3000</v>
      </c>
      <c r="Y658">
        <f>IFERROR(W658-X658,"")</f>
        <v/>
      </c>
      <c r="Z658">
        <f>IFERROR(ABS(Y658)/MAX(X658,1),"")</f>
        <v/>
      </c>
      <c r="AA658">
        <f>IFERROR((X658-(((E658/100000+F658/100+S658/200)*200*I658*H658)+((E658*F658/25000)*I658*H658))/3)/(((J658/5)*200*I658*H658)+((J658*S658/2.5)*I658*H658)+((E658*F658*J658*S658*I658*H658)/12500000))/3*1000,"")</f>
        <v/>
      </c>
    </row>
    <row r="659">
      <c r="B659" s="7" t="inlineStr">
        <is>
          <t xml:space="preserve">  ↳ RA2NarcoAKM</t>
        </is>
      </c>
      <c r="C659" s="7" t="inlineStr">
        <is>
          <t>Armament@AG</t>
        </is>
      </c>
      <c r="L659" s="6" t="n">
        <v>4000</v>
      </c>
      <c r="M659" s="6" t="n">
        <v>10</v>
      </c>
      <c r="N659" s="6" t="n">
        <v>1</v>
      </c>
      <c r="O659" s="6" t="n"/>
      <c r="P659" s="6" t="n">
        <v>5800</v>
      </c>
      <c r="Q659" s="6" t="n">
        <v>0.875</v>
      </c>
      <c r="R659">
        <f>M659+IF(N659&gt;1,N(O659)*(N659-1),0)</f>
        <v/>
      </c>
      <c r="S659">
        <f>IFERROR(L659*MAX(N659,1)/R659*IF(ISBLANK(K658),1,K658),0)</f>
        <v/>
      </c>
      <c r="AB659" s="7" t="inlineStr">
        <is>
          <t>^Warhead_Bullet_Light, ^Warhead_Bullet_Medium</t>
        </is>
      </c>
    </row>
    <row r="660">
      <c r="B660" s="7" t="inlineStr">
        <is>
          <t xml:space="preserve">  ↳ RA2NarcoAKM_elite</t>
        </is>
      </c>
      <c r="C660" s="7" t="inlineStr">
        <is>
          <t>Armament@AGE</t>
        </is>
      </c>
      <c r="L660" s="6" t="n">
        <v>4000</v>
      </c>
      <c r="M660" s="6" t="n">
        <v>10</v>
      </c>
      <c r="N660" s="6" t="n">
        <v>2</v>
      </c>
      <c r="O660" s="6" t="n">
        <v>3</v>
      </c>
      <c r="P660" s="6" t="n">
        <v>6800</v>
      </c>
      <c r="Q660" s="6" t="n">
        <v>0.875</v>
      </c>
      <c r="R660">
        <f>M660+IF(N660&gt;1,N(O660)*(N660-1),0)</f>
        <v/>
      </c>
      <c r="S660">
        <f>IFERROR(L660*MAX(N660,1)/R660*IF(ISBLANK(K658),1,K658),0)</f>
        <v/>
      </c>
      <c r="AB660" s="7" t="inlineStr">
        <is>
          <t>^Warhead_Bullet_Light, ^Warhead_Bullet_Medium</t>
        </is>
      </c>
    </row>
    <row r="661">
      <c r="A661" t="inlineStr">
        <is>
          <t>redalert2mod</t>
        </is>
      </c>
      <c r="B661" t="inlineStr">
        <is>
          <t>latinsyndicate_raiderbuggy</t>
        </is>
      </c>
      <c r="C661" t="inlineStr">
        <is>
          <t>Raider Buggy</t>
        </is>
      </c>
      <c r="D661" s="6" t="inlineStr">
        <is>
          <t>SupportVehicle</t>
        </is>
      </c>
      <c r="E661" s="6" t="n">
        <v>37500</v>
      </c>
      <c r="F661" s="6" t="n">
        <v>115</v>
      </c>
      <c r="G661" t="inlineStr">
        <is>
          <t>Light</t>
        </is>
      </c>
      <c r="H661" s="6" t="n">
        <v>0.8462</v>
      </c>
      <c r="I661" s="6" t="n">
        <v>1</v>
      </c>
      <c r="J661" s="6" t="n">
        <v>1</v>
      </c>
      <c r="K661" s="6" t="n">
        <v>0.005</v>
      </c>
      <c r="P661">
        <f>MAX(P662,P663,P664,P665,P666,P667)</f>
        <v/>
      </c>
      <c r="S661">
        <f>S662+S663+S664+S665+S666+S667</f>
        <v/>
      </c>
      <c r="T661">
        <f>(E661/100000+F661/100+(P661/1000)*J661/5+S661/200)*200*I661*H661</f>
        <v/>
      </c>
      <c r="U661">
        <f>((E661*F661/25000)+((P661/1000)*J661*S661/2.5))*I661*H661</f>
        <v/>
      </c>
      <c r="V661">
        <f>(E661*F661*(P661/1000)*J661*S661*I661*H661)/12500000</f>
        <v/>
      </c>
      <c r="W661">
        <f>(T661+U661+V661)/3</f>
        <v/>
      </c>
      <c r="X661" s="6" t="n">
        <v>700</v>
      </c>
      <c r="Y661">
        <f>IFERROR(W661-X661,"")</f>
        <v/>
      </c>
      <c r="Z661">
        <f>IFERROR(ABS(Y661)/MAX(X661,1),"")</f>
        <v/>
      </c>
      <c r="AA661">
        <f>IFERROR((X661-(((E661/100000+F661/100+S661/200)*200*I661*H661)+((E661*F661/25000)*I661*H661))/3)/(((J661/5)*200*I661*H661)+((J661*S661/2.5)*I661*H661)+((E661*F661*J661*S661*I661*H661)/12500000))/3*1000,"")</f>
        <v/>
      </c>
    </row>
    <row r="662">
      <c r="B662" s="7" t="inlineStr">
        <is>
          <t xml:space="preserve">  ↳ LatinBuggyMG</t>
        </is>
      </c>
      <c r="C662" s="7" t="inlineStr">
        <is>
          <t>Armament</t>
        </is>
      </c>
      <c r="L662" s="6" t="n">
        <v>8000</v>
      </c>
      <c r="M662" s="6" t="n">
        <v>35</v>
      </c>
      <c r="N662" s="6" t="n">
        <v>5</v>
      </c>
      <c r="O662" s="6" t="n">
        <v>5</v>
      </c>
      <c r="P662" s="6" t="n">
        <v>6000</v>
      </c>
      <c r="Q662" s="6" t="n">
        <v>0.875</v>
      </c>
      <c r="R662">
        <f>M662+IF(N662&gt;1,N(O662)*(N662-1),0)</f>
        <v/>
      </c>
      <c r="S662">
        <f>IFERROR(L662*MAX(N662,1)/R662*IF(ISBLANK(K661),1,K661),0)</f>
        <v/>
      </c>
      <c r="AB662" s="7" t="inlineStr">
        <is>
          <t>^Warhead_Bullet_Light, ^Warhead_Bullet_Medium</t>
        </is>
      </c>
    </row>
    <row r="663">
      <c r="B663" s="7" t="inlineStr">
        <is>
          <t xml:space="preserve">  ↳ LatinBuggyMG_elite</t>
        </is>
      </c>
      <c r="C663" s="7" t="inlineStr">
        <is>
          <t>Armament@Elite</t>
        </is>
      </c>
      <c r="L663" s="6" t="n">
        <v>8000</v>
      </c>
      <c r="M663" s="6" t="n">
        <v>35</v>
      </c>
      <c r="N663" s="6" t="n">
        <v>10</v>
      </c>
      <c r="O663" s="6" t="n">
        <v>3</v>
      </c>
      <c r="P663" s="6" t="n">
        <v>7000</v>
      </c>
      <c r="Q663" s="6" t="n">
        <v>0.875</v>
      </c>
      <c r="R663">
        <f>M663+IF(N663&gt;1,N(O663)*(N663-1),0)</f>
        <v/>
      </c>
      <c r="S663">
        <f>IFERROR(L663*MAX(N663,1)/R663*IF(ISBLANK(K661),1,K661),0)</f>
        <v/>
      </c>
      <c r="AB663" s="7" t="inlineStr">
        <is>
          <t>^Warhead_Bullet_Light, ^Warhead_Bullet_Medium</t>
        </is>
      </c>
    </row>
    <row r="664">
      <c r="B664" s="7" t="inlineStr">
        <is>
          <t xml:space="preserve">  ↳ LatinBuggyChaingun</t>
        </is>
      </c>
      <c r="C664" s="7" t="inlineStr">
        <is>
          <t>Armament@Gatling</t>
        </is>
      </c>
      <c r="L664" s="6" t="n">
        <v>8000</v>
      </c>
      <c r="M664" s="6" t="n">
        <v>11</v>
      </c>
      <c r="N664" s="6" t="n">
        <v>1</v>
      </c>
      <c r="O664" s="6" t="n"/>
      <c r="P664" s="6" t="n">
        <v>6000</v>
      </c>
      <c r="Q664" s="6" t="n">
        <v>1</v>
      </c>
      <c r="R664">
        <f>M664+IF(N664&gt;1,N(O664)*(N664-1),0)</f>
        <v/>
      </c>
      <c r="S664">
        <f>IFERROR(L664*MAX(N664,1)/R664*IF(ISBLANK(K661),1,K661),0)</f>
        <v/>
      </c>
      <c r="AB664" s="7" t="inlineStr">
        <is>
          <t>^Warhead_CannonAP_Light, ^Warhead_Flak_Medium, ^Warhead_Bullet_Light, ^Warhead_Bullet_Medium</t>
        </is>
      </c>
    </row>
    <row r="665">
      <c r="B665" s="7" t="inlineStr">
        <is>
          <t xml:space="preserve">  ↳ LatinBuggyChaingun_elite</t>
        </is>
      </c>
      <c r="C665" s="7" t="inlineStr">
        <is>
          <t>Armament@GatlingElite</t>
        </is>
      </c>
      <c r="L665" s="6" t="n">
        <v>8000</v>
      </c>
      <c r="M665" s="6" t="n">
        <v>11</v>
      </c>
      <c r="N665" s="6" t="n">
        <v>1</v>
      </c>
      <c r="O665" s="6" t="n"/>
      <c r="P665" s="6" t="n">
        <v>7000</v>
      </c>
      <c r="Q665" s="6" t="n">
        <v>1</v>
      </c>
      <c r="R665">
        <f>M665+IF(N665&gt;1,N(O665)*(N665-1),0)</f>
        <v/>
      </c>
      <c r="S665">
        <f>IFERROR(L665*MAX(N665,1)/R665*IF(ISBLANK(K661),1,K661),0)</f>
        <v/>
      </c>
      <c r="AB665" s="7" t="inlineStr">
        <is>
          <t>^Warhead_CannonAP_Light, ^Warhead_Flak_Medium, ^Warhead_Bullet_Light, ^Warhead_Bullet_Medium</t>
        </is>
      </c>
    </row>
    <row r="666">
      <c r="B666" s="7" t="inlineStr">
        <is>
          <t xml:space="preserve">  ↳ LatinBuggyRocket</t>
        </is>
      </c>
      <c r="C666" s="7" t="inlineStr">
        <is>
          <t>Armament@Rocket</t>
        </is>
      </c>
      <c r="L666" s="6" t="n">
        <v>40000</v>
      </c>
      <c r="M666" s="6" t="n">
        <v>55</v>
      </c>
      <c r="N666" s="6" t="n">
        <v>1</v>
      </c>
      <c r="O666" s="6" t="n"/>
      <c r="P666" s="6" t="n">
        <v>6000</v>
      </c>
      <c r="Q666" s="6" t="n">
        <v>1</v>
      </c>
      <c r="R666">
        <f>M666+IF(N666&gt;1,N(O666)*(N666-1),0)</f>
        <v/>
      </c>
      <c r="S666">
        <f>IFERROR(L666*MAX(N666,1)/R666*IF(ISBLANK(K661),1,K661),0)</f>
        <v/>
      </c>
      <c r="AB666" s="7" t="inlineStr">
        <is>
          <t>^Warhead_Demolition_Light, ^Warhead_Concussion_Medium, ^Warhead_MissileAP_Light, ^Warhead_MissileAP_Medium</t>
        </is>
      </c>
    </row>
    <row r="667">
      <c r="B667" s="7" t="inlineStr">
        <is>
          <t xml:space="preserve">  ↳ LatinBuggyRocket_elite</t>
        </is>
      </c>
      <c r="C667" s="7" t="inlineStr">
        <is>
          <t>Armament@RocketElite</t>
        </is>
      </c>
      <c r="L667" s="6" t="n">
        <v>40000</v>
      </c>
      <c r="M667" s="6" t="n">
        <v>55</v>
      </c>
      <c r="N667" s="6" t="n">
        <v>2</v>
      </c>
      <c r="O667" s="6" t="n">
        <v>3</v>
      </c>
      <c r="P667" s="6" t="n">
        <v>7000</v>
      </c>
      <c r="Q667" s="6" t="n">
        <v>1</v>
      </c>
      <c r="R667">
        <f>M667+IF(N667&gt;1,N(O667)*(N667-1),0)</f>
        <v/>
      </c>
      <c r="S667">
        <f>IFERROR(L667*MAX(N667,1)/R667*IF(ISBLANK(K661),1,K661),0)</f>
        <v/>
      </c>
      <c r="AB667" s="7" t="inlineStr">
        <is>
          <t>^Warhead_Demolition_Light, ^Warhead_Concussion_Medium, ^Warhead_MissileAP_Light, ^Warhead_MissileAP_Medium</t>
        </is>
      </c>
    </row>
    <row r="668">
      <c r="A668" t="inlineStr">
        <is>
          <t>redalert2mod</t>
        </is>
      </c>
      <c r="B668" t="inlineStr">
        <is>
          <t>latinsyndicate_syndicatemobileconstructionvehicle</t>
        </is>
      </c>
      <c r="C668" t="inlineStr">
        <is>
          <t>Syndicate Mobile Construction Vehicle</t>
        </is>
      </c>
      <c r="D668" s="6" t="inlineStr">
        <is>
          <t>SupportVehicle</t>
        </is>
      </c>
      <c r="E668" s="6" t="n">
        <v>300000</v>
      </c>
      <c r="F668" s="6" t="n">
        <v>75</v>
      </c>
      <c r="G668" t="inlineStr">
        <is>
          <t>Medium</t>
        </is>
      </c>
      <c r="H668" s="6" t="n">
        <v>0.7674</v>
      </c>
      <c r="I668" s="6" t="n">
        <v>1</v>
      </c>
      <c r="J668" s="6" t="n">
        <v>1</v>
      </c>
      <c r="K668" s="6" t="n"/>
      <c r="X668" s="6" t="n">
        <v>5000</v>
      </c>
    </row>
    <row r="669">
      <c r="A669" t="inlineStr">
        <is>
          <t>redalert2mod</t>
        </is>
      </c>
      <c r="B669" t="inlineStr">
        <is>
          <t>car.nax</t>
        </is>
      </c>
      <c r="C669" t="inlineStr">
        <is>
          <t>Combat Car</t>
        </is>
      </c>
      <c r="D669" s="6" t="inlineStr">
        <is>
          <t>SupportVehicle</t>
        </is>
      </c>
      <c r="E669" s="6" t="n">
        <v>47500</v>
      </c>
      <c r="F669" s="6" t="n">
        <v>85</v>
      </c>
      <c r="G669" t="inlineStr">
        <is>
          <t>Medium</t>
        </is>
      </c>
      <c r="H669" s="6" t="n">
        <v>1</v>
      </c>
      <c r="I669" s="6" t="n">
        <v>1</v>
      </c>
      <c r="J669" s="6" t="n">
        <v>1</v>
      </c>
      <c r="K669" s="6" t="n"/>
      <c r="P669">
        <f>MAX(P670,P671)</f>
        <v/>
      </c>
      <c r="S669">
        <f>S670+S671</f>
        <v/>
      </c>
      <c r="T669">
        <f>(E669/100000+F669/100+(P669/1000)*J669/5+S669/200)*200*I669*H669</f>
        <v/>
      </c>
      <c r="U669">
        <f>((E669*F669/25000)+((P669/1000)*J669*S669/2.5))*I669*H669</f>
        <v/>
      </c>
      <c r="V669">
        <f>(E669*F669*(P669/1000)*J669*S669*I669*H669)/12500000</f>
        <v/>
      </c>
      <c r="W669">
        <f>(T669+U669+V669)/3</f>
        <v/>
      </c>
      <c r="X669" s="6" t="n">
        <v>800</v>
      </c>
      <c r="Y669">
        <f>IFERROR(W669-X669,"")</f>
        <v/>
      </c>
      <c r="Z669">
        <f>IFERROR(ABS(Y669)/MAX(X669,1),"")</f>
        <v/>
      </c>
      <c r="AA669">
        <f>IFERROR((X669-(((E669/100000+F669/100+S669/200)*200*I669*H669)+((E669*F669/25000)*I669*H669))/3)/(((J669/5)*200*I669*H669)+((J669*S669/2.5)*I669*H669)+((E669*F669*J669*S669*I669*H669)/12500000))/3*1000,"")</f>
        <v/>
      </c>
    </row>
    <row r="670">
      <c r="B670" s="7" t="inlineStr">
        <is>
          <t xml:space="preserve">  ↳ NaxiWW2MachinegunTop</t>
        </is>
      </c>
      <c r="C670" s="7" t="inlineStr">
        <is>
          <t>Armament</t>
        </is>
      </c>
      <c r="L670" s="6" t="n">
        <v>8000</v>
      </c>
      <c r="M670" s="6" t="n">
        <v>60</v>
      </c>
      <c r="N670" s="6" t="n">
        <v>6</v>
      </c>
      <c r="O670" s="6" t="n">
        <v>4</v>
      </c>
      <c r="P670" s="6" t="n">
        <v>7555</v>
      </c>
      <c r="Q670" s="6" t="n">
        <v>0.875</v>
      </c>
      <c r="R670">
        <f>M670+IF(N670&gt;1,N(O670)*(N670-1),0)</f>
        <v/>
      </c>
      <c r="S670">
        <f>IFERROR(L670*MAX(N670,1)/R670*IF(ISBLANK(K669),1,K669),0)</f>
        <v/>
      </c>
      <c r="AB670" s="7" t="inlineStr">
        <is>
          <t>^Warhead_Bullet_Light, ^Warhead_Bullet_Medium</t>
        </is>
      </c>
    </row>
    <row r="671">
      <c r="B671" s="7" t="inlineStr">
        <is>
          <t xml:space="preserve">  ↳ NaxiWW2MachinegunTop_AA</t>
        </is>
      </c>
      <c r="C671" s="7" t="inlineStr">
        <is>
          <t>Armament@AA</t>
        </is>
      </c>
      <c r="L671" s="6" t="n">
        <v>8000</v>
      </c>
      <c r="M671" s="6" t="n">
        <v>60</v>
      </c>
      <c r="N671" s="6" t="n">
        <v>6</v>
      </c>
      <c r="O671" s="6" t="n">
        <v>4</v>
      </c>
      <c r="P671" s="6" t="n">
        <v>7555</v>
      </c>
      <c r="Q671" s="6" t="n">
        <v>0.875</v>
      </c>
      <c r="R671">
        <f>M671+IF(N671&gt;1,N(O671)*(N671-1),0)</f>
        <v/>
      </c>
      <c r="S671">
        <f>IFERROR(L671*MAX(N671,1)/R671*IF(ISBLANK(K669),1,K669),0)</f>
        <v/>
      </c>
      <c r="AB671" s="7" t="inlineStr">
        <is>
          <t>^Warhead_Bullet_Light, ^Warhead_Bullet_Medium</t>
        </is>
      </c>
    </row>
    <row r="672">
      <c r="A672" t="inlineStr">
        <is>
          <t>redalert2mod</t>
        </is>
      </c>
      <c r="B672" t="inlineStr">
        <is>
          <t>naxis_engineeringtruck</t>
        </is>
      </c>
      <c r="C672" t="inlineStr">
        <is>
          <t>Engineering Truck</t>
        </is>
      </c>
      <c r="D672" s="6" t="inlineStr">
        <is>
          <t>SupportVehicle</t>
        </is>
      </c>
      <c r="E672" s="6" t="n">
        <v>50000</v>
      </c>
      <c r="F672" s="6" t="n">
        <v>75</v>
      </c>
      <c r="G672" t="inlineStr">
        <is>
          <t>Light</t>
        </is>
      </c>
      <c r="H672" s="6" t="n">
        <v>1</v>
      </c>
      <c r="I672" s="6" t="n">
        <v>0.5</v>
      </c>
      <c r="J672" s="6" t="n">
        <v>2</v>
      </c>
      <c r="K672" s="6" t="n"/>
      <c r="P672">
        <f>MAX(P673)</f>
        <v/>
      </c>
      <c r="S672">
        <f>S673</f>
        <v/>
      </c>
      <c r="T672">
        <f>(E672/100000+F672/100+(P672/1000)*J672/5+S672/200)*200*I672*H672</f>
        <v/>
      </c>
      <c r="U672">
        <f>((E672*F672/25000)+((P672/1000)*J672*S672/2.5))*I672*H672</f>
        <v/>
      </c>
      <c r="V672">
        <f>(E672*F672*(P672/1000)*J672*S672*I672*H672)/12500000</f>
        <v/>
      </c>
      <c r="W672">
        <f>(T672+U672+V672)/3</f>
        <v/>
      </c>
      <c r="X672" s="6" t="n">
        <v>1000</v>
      </c>
      <c r="Y672">
        <f>IFERROR(W672-X672,"")</f>
        <v/>
      </c>
      <c r="Z672">
        <f>IFERROR(ABS(Y672)/MAX(X672,1),"")</f>
        <v/>
      </c>
      <c r="AA672">
        <f>IFERROR((X672-(((E672/100000+F672/100+S672/200)*200*I672*H672)+((E672*F672/25000)*I672*H672))/3)/(((J672/5)*200*I672*H672)+((J672*S672/2.5)*I672*H672)+((E672*F672*J672*S672*I672*H672)/12500000))/3*1000,"")</f>
        <v/>
      </c>
    </row>
    <row r="673">
      <c r="B673" s="7" t="inlineStr">
        <is>
          <t xml:space="preserve">  ↳ RA2IFVRepair</t>
        </is>
      </c>
      <c r="C673" s="7" t="inlineStr">
        <is>
          <t>Armament</t>
        </is>
      </c>
      <c r="L673" s="6" t="n">
        <v>-3000</v>
      </c>
      <c r="M673" s="6" t="n">
        <v>50</v>
      </c>
      <c r="N673" s="6" t="n">
        <v>10</v>
      </c>
      <c r="O673" s="6" t="n">
        <v>1</v>
      </c>
      <c r="P673" s="6" t="n">
        <v>5000</v>
      </c>
      <c r="Q673" s="6" t="n">
        <v>1</v>
      </c>
      <c r="R673">
        <f>M673+IF(N673&gt;1,N(O673)*(N673-1),0)</f>
        <v/>
      </c>
      <c r="S673">
        <f>IFERROR(L673*MAX(N673,1)/R673*IF(ISBLANK(K672),1,K672),0)</f>
        <v/>
      </c>
      <c r="AB673" s="7" t="inlineStr">
        <is>
          <t>^RepairWeapon</t>
        </is>
      </c>
    </row>
    <row r="674">
      <c r="A674" t="inlineStr">
        <is>
          <t>redalert2mod</t>
        </is>
      </c>
      <c r="B674" t="inlineStr">
        <is>
          <t>naxis_halftrack</t>
        </is>
      </c>
      <c r="C674" t="inlineStr">
        <is>
          <t>Halftrack</t>
        </is>
      </c>
      <c r="D674" s="6" t="inlineStr">
        <is>
          <t>SupportVehicle</t>
        </is>
      </c>
      <c r="E674" s="6" t="n">
        <v>115000</v>
      </c>
      <c r="F674" s="6" t="n">
        <v>115</v>
      </c>
      <c r="G674" t="inlineStr">
        <is>
          <t>Medium</t>
        </is>
      </c>
      <c r="H674" s="6" t="n">
        <v>0.8639</v>
      </c>
      <c r="I674" s="6" t="n">
        <v>1</v>
      </c>
      <c r="J674" s="6" t="n">
        <v>1</v>
      </c>
      <c r="K674" s="6" t="n"/>
      <c r="P674">
        <f>MAX(P675,P676)</f>
        <v/>
      </c>
      <c r="S674">
        <f>S675+S676</f>
        <v/>
      </c>
      <c r="T674">
        <f>(E674/100000+F674/100+(P674/1000)*J674/5+S674/200)*200*I674*H674</f>
        <v/>
      </c>
      <c r="U674">
        <f>((E674*F674/25000)+((P674/1000)*J674*S674/2.5))*I674*H674</f>
        <v/>
      </c>
      <c r="V674">
        <f>(E674*F674*(P674/1000)*J674*S674*I674*H674)/12500000</f>
        <v/>
      </c>
      <c r="W674">
        <f>(T674+U674+V674)/3</f>
        <v/>
      </c>
      <c r="X674" s="6" t="n">
        <v>2500</v>
      </c>
      <c r="Y674">
        <f>IFERROR(W674-X674,"")</f>
        <v/>
      </c>
      <c r="Z674">
        <f>IFERROR(ABS(Y674)/MAX(X674,1),"")</f>
        <v/>
      </c>
      <c r="AA674">
        <f>IFERROR((X674-(((E674/100000+F674/100+S674/200)*200*I674*H674)+((E674*F674/25000)*I674*H674))/3)/(((J674/5)*200*I674*H674)+((J674*S674/2.5)*I674*H674)+((E674*F674*J674*S674*I674*H674)/12500000))/3*1000,"")</f>
        <v/>
      </c>
    </row>
    <row r="675">
      <c r="B675" s="7" t="inlineStr">
        <is>
          <t xml:space="preserve">  ↳ NaxiWW2Machinegun</t>
        </is>
      </c>
      <c r="C675" s="7" t="inlineStr">
        <is>
          <t>Armament@AG</t>
        </is>
      </c>
      <c r="L675" s="6" t="n">
        <v>8000</v>
      </c>
      <c r="M675" s="6" t="n">
        <v>60</v>
      </c>
      <c r="N675" s="6" t="n">
        <v>6</v>
      </c>
      <c r="O675" s="6" t="n">
        <v>4</v>
      </c>
      <c r="P675" s="6" t="n">
        <v>5570</v>
      </c>
      <c r="Q675" s="6" t="n">
        <v>0.875</v>
      </c>
      <c r="R675">
        <f>M675+IF(N675&gt;1,N(O675)*(N675-1),0)</f>
        <v/>
      </c>
      <c r="S675">
        <f>IFERROR(L675*MAX(N675,1)/R675*IF(ISBLANK(K674),1,K674),0)</f>
        <v/>
      </c>
      <c r="AB675" s="7" t="inlineStr">
        <is>
          <t>^Warhead_Bullet_Light, ^Warhead_Bullet_Medium</t>
        </is>
      </c>
    </row>
    <row r="676">
      <c r="B676" s="7" t="inlineStr">
        <is>
          <t xml:space="preserve">  ↳ NaxiWW2Machinegun_AA</t>
        </is>
      </c>
      <c r="C676" s="7" t="inlineStr">
        <is>
          <t>Armament@AA</t>
        </is>
      </c>
      <c r="L676" s="6" t="n">
        <v>8000</v>
      </c>
      <c r="M676" s="6" t="n">
        <v>60</v>
      </c>
      <c r="N676" s="6" t="n">
        <v>6</v>
      </c>
      <c r="O676" s="6" t="n">
        <v>4</v>
      </c>
      <c r="P676" s="6" t="n">
        <v>8355</v>
      </c>
      <c r="Q676" s="6" t="n">
        <v>0.875</v>
      </c>
      <c r="R676">
        <f>M676+IF(N676&gt;1,N(O676)*(N676-1),0)</f>
        <v/>
      </c>
      <c r="S676">
        <f>IFERROR(L676*MAX(N676,1)/R676*IF(ISBLANK(K674),1,K674),0)</f>
        <v/>
      </c>
      <c r="AB676" s="7" t="inlineStr">
        <is>
          <t>^Warhead_Bullet_Light, ^Warhead_Bullet_Medium</t>
        </is>
      </c>
    </row>
    <row r="677">
      <c r="A677" t="inlineStr">
        <is>
          <t>redalert2mod</t>
        </is>
      </c>
      <c r="B677" t="inlineStr">
        <is>
          <t>naxis_naximobileconstructionvehicle</t>
        </is>
      </c>
      <c r="C677" t="inlineStr">
        <is>
          <t>Naxi Mobile Construction Vehicle</t>
        </is>
      </c>
      <c r="D677" s="6" t="inlineStr">
        <is>
          <t>SupportVehicle</t>
        </is>
      </c>
      <c r="E677" s="6" t="n">
        <v>300000</v>
      </c>
      <c r="F677" s="6" t="n">
        <v>75</v>
      </c>
      <c r="G677" t="inlineStr">
        <is>
          <t>Medium</t>
        </is>
      </c>
      <c r="H677" s="6" t="n">
        <v>0.5872000000000001</v>
      </c>
      <c r="I677" s="6" t="n">
        <v>1</v>
      </c>
      <c r="J677" s="6" t="n">
        <v>1</v>
      </c>
      <c r="K677" s="6" t="n"/>
      <c r="X677" s="6" t="n">
        <v>5000</v>
      </c>
    </row>
    <row r="678">
      <c r="A678" t="inlineStr">
        <is>
          <t>redalert2mod</t>
        </is>
      </c>
      <c r="B678" t="inlineStr">
        <is>
          <t>schwarzermond_engineeringarmor</t>
        </is>
      </c>
      <c r="C678" t="inlineStr">
        <is>
          <t>Engineering Armor</t>
        </is>
      </c>
      <c r="D678" s="6" t="inlineStr">
        <is>
          <t>SupportVehicle</t>
        </is>
      </c>
      <c r="E678" s="6" t="n">
        <v>50000</v>
      </c>
      <c r="F678" s="6" t="n">
        <v>40</v>
      </c>
      <c r="G678" t="inlineStr">
        <is>
          <t>Plate</t>
        </is>
      </c>
      <c r="H678" s="6" t="n">
        <v>1</v>
      </c>
      <c r="I678" s="6" t="n">
        <v>0.5</v>
      </c>
      <c r="J678" s="6" t="n">
        <v>2</v>
      </c>
      <c r="K678" s="6" t="n"/>
      <c r="P678">
        <f>MAX(P679)</f>
        <v/>
      </c>
      <c r="S678">
        <f>S679</f>
        <v/>
      </c>
      <c r="T678">
        <f>(E678/100000+F678/100+(P678/1000)*J678/5+S678/200)*200*I678*H678</f>
        <v/>
      </c>
      <c r="U678">
        <f>((E678*F678/25000)+((P678/1000)*J678*S678/2.5))*I678*H678</f>
        <v/>
      </c>
      <c r="V678">
        <f>(E678*F678*(P678/1000)*J678*S678*I678*H678)/12500000</f>
        <v/>
      </c>
      <c r="W678">
        <f>(T678+U678+V678)/3</f>
        <v/>
      </c>
      <c r="X678" s="6" t="n">
        <v>800</v>
      </c>
      <c r="Y678">
        <f>IFERROR(W678-X678,"")</f>
        <v/>
      </c>
      <c r="Z678">
        <f>IFERROR(ABS(Y678)/MAX(X678,1),"")</f>
        <v/>
      </c>
      <c r="AA678">
        <f>IFERROR((X678-(((E678/100000+F678/100+S678/200)*200*I678*H678)+((E678*F678/25000)*I678*H678))/3)/(((J678/5)*200*I678*H678)+((J678*S678/2.5)*I678*H678)+((E678*F678*J678*S678*I678*H678)/12500000))/3*1000,"")</f>
        <v/>
      </c>
    </row>
    <row r="679">
      <c r="B679" s="7" t="inlineStr">
        <is>
          <t xml:space="preserve">  ↳ RA2IFVRepair</t>
        </is>
      </c>
      <c r="C679" s="7" t="inlineStr">
        <is>
          <t>Armament</t>
        </is>
      </c>
      <c r="L679" s="6" t="n">
        <v>-3000</v>
      </c>
      <c r="M679" s="6" t="n">
        <v>50</v>
      </c>
      <c r="N679" s="6" t="n">
        <v>10</v>
      </c>
      <c r="O679" s="6" t="n">
        <v>1</v>
      </c>
      <c r="P679" s="6" t="n">
        <v>5000</v>
      </c>
      <c r="Q679" s="6" t="n">
        <v>1</v>
      </c>
      <c r="R679">
        <f>M679+IF(N679&gt;1,N(O679)*(N679-1),0)</f>
        <v/>
      </c>
      <c r="S679">
        <f>IFERROR(L679*MAX(N679,1)/R679*IF(ISBLANK(K678),1,K678),0)</f>
        <v/>
      </c>
      <c r="AB679" s="7" t="inlineStr">
        <is>
          <t>^RepairWeapon</t>
        </is>
      </c>
    </row>
    <row r="680">
      <c r="A680" t="inlineStr">
        <is>
          <t>redalert2mod</t>
        </is>
      </c>
      <c r="B680" t="inlineStr">
        <is>
          <t>schwarzermond_gravitycoretank</t>
        </is>
      </c>
      <c r="C680" t="inlineStr">
        <is>
          <t>Gravity Core Tank</t>
        </is>
      </c>
      <c r="D680" s="6" t="inlineStr">
        <is>
          <t>SupportVehicle</t>
        </is>
      </c>
      <c r="E680" s="6" t="n">
        <v>300000</v>
      </c>
      <c r="F680" s="6" t="n">
        <v>40</v>
      </c>
      <c r="G680" t="inlineStr">
        <is>
          <t>Medium</t>
        </is>
      </c>
      <c r="H680" s="6" t="n">
        <v>0.4839</v>
      </c>
      <c r="I680" s="6" t="n">
        <v>1</v>
      </c>
      <c r="J680" s="6" t="n">
        <v>1</v>
      </c>
      <c r="K680" s="6" t="n"/>
      <c r="X680" s="6" t="n">
        <v>1500</v>
      </c>
    </row>
    <row r="681">
      <c r="B681" s="7" t="inlineStr">
        <is>
          <t xml:space="preserve">  ↳ GLStingerTargeting</t>
        </is>
      </c>
      <c r="C681" s="7" t="inlineStr">
        <is>
          <t>Armament@AG</t>
        </is>
      </c>
      <c r="L681" s="6" t="n"/>
      <c r="M681" s="6" t="n">
        <v>25</v>
      </c>
      <c r="N681" s="6" t="n">
        <v>1</v>
      </c>
      <c r="O681" s="6" t="n"/>
      <c r="P681" s="6" t="n">
        <v>15000</v>
      </c>
      <c r="Q681" s="6" t="n">
        <v>1</v>
      </c>
      <c r="R681">
        <f>M681+IF(N681&gt;1,N(O681)*(N681-1),0)</f>
        <v/>
      </c>
      <c r="S681">
        <f>IFERROR(L681*MAX(N681,1)/R681*IF(ISBLANK(K680),1,K680),0)</f>
        <v/>
      </c>
      <c r="AB681" s="7" t="inlineStr"/>
    </row>
    <row r="682">
      <c r="A682" t="inlineStr">
        <is>
          <t>redalert2mod</t>
        </is>
      </c>
      <c r="B682" t="inlineStr">
        <is>
          <t>schwarzermond_komet</t>
        </is>
      </c>
      <c r="C682" t="inlineStr">
        <is>
          <t>Komet</t>
        </is>
      </c>
      <c r="D682" s="6" t="inlineStr">
        <is>
          <t>SupportVehicle</t>
        </is>
      </c>
      <c r="E682" s="6" t="n">
        <v>70000</v>
      </c>
      <c r="F682" s="6" t="n">
        <v>60</v>
      </c>
      <c r="G682" t="inlineStr">
        <is>
          <t>Medium</t>
        </is>
      </c>
      <c r="H682" s="6" t="n">
        <v>0.6846</v>
      </c>
      <c r="I682" s="6" t="n">
        <v>1</v>
      </c>
      <c r="J682" s="6" t="n">
        <v>1</v>
      </c>
      <c r="K682" s="6" t="n">
        <v>0.0125</v>
      </c>
      <c r="P682">
        <f>MAX(P683,P684)</f>
        <v/>
      </c>
      <c r="S682">
        <f>S683+S684</f>
        <v/>
      </c>
      <c r="T682">
        <f>(E682/100000+F682/100+(P682/1000)*J682/5+S682/200)*200*I682*H682</f>
        <v/>
      </c>
      <c r="U682">
        <f>((E682*F682/25000)+((P682/1000)*J682*S682/2.5))*I682*H682</f>
        <v/>
      </c>
      <c r="V682">
        <f>(E682*F682*(P682/1000)*J682*S682*I682*H682)/12500000</f>
        <v/>
      </c>
      <c r="W682">
        <f>(T682+U682+V682)/3</f>
        <v/>
      </c>
      <c r="X682" s="6" t="n">
        <v>2500</v>
      </c>
      <c r="Y682">
        <f>IFERROR(W682-X682,"")</f>
        <v/>
      </c>
      <c r="Z682">
        <f>IFERROR(ABS(Y682)/MAX(X682,1),"")</f>
        <v/>
      </c>
      <c r="AA682">
        <f>IFERROR((X682-(((E682/100000+F682/100+S682/200)*200*I682*H682)+((E682*F682/25000)*I682*H682))/3)/(((J682/5)*200*I682*H682)+((J682*S682/2.5)*I682*H682)+((E682*F682*J682*S682*I682*H682)/12500000))/3*1000,"")</f>
        <v/>
      </c>
    </row>
    <row r="683">
      <c r="B683" s="7" t="inlineStr">
        <is>
          <t xml:space="preserve">  ↳ Naxis_Komet</t>
        </is>
      </c>
      <c r="C683" s="7" t="inlineStr">
        <is>
          <t>Armament</t>
        </is>
      </c>
      <c r="L683" s="6" t="n">
        <v>32000</v>
      </c>
      <c r="M683" s="6" t="n">
        <v>60</v>
      </c>
      <c r="N683" s="6" t="n">
        <v>2</v>
      </c>
      <c r="O683" s="6" t="n">
        <v>4</v>
      </c>
      <c r="P683" s="6" t="n">
        <v>7825</v>
      </c>
      <c r="Q683" s="6" t="n">
        <v>1</v>
      </c>
      <c r="R683">
        <f>M683+IF(N683&gt;1,N(O683)*(N683-1),0)</f>
        <v/>
      </c>
      <c r="S683">
        <f>IFERROR(L683*MAX(N683,1)/R683*IF(ISBLANK(K682),1,K682),0)</f>
        <v/>
      </c>
      <c r="AB683" s="7" t="inlineStr">
        <is>
          <t>^FlakWeapon, ^Grenade, ^HeavyAAWeapon, ^MediumMissile</t>
        </is>
      </c>
    </row>
    <row r="684">
      <c r="B684" s="7" t="inlineStr">
        <is>
          <t xml:space="preserve">  ↳ Naxis_Komet_AA</t>
        </is>
      </c>
      <c r="C684" s="7" t="inlineStr">
        <is>
          <t>Armament@AA</t>
        </is>
      </c>
      <c r="L684" s="6" t="n">
        <v>32000</v>
      </c>
      <c r="M684" s="6" t="n">
        <v>60</v>
      </c>
      <c r="N684" s="6" t="n">
        <v>2</v>
      </c>
      <c r="O684" s="6" t="n">
        <v>4</v>
      </c>
      <c r="P684" s="6" t="n">
        <v>11740</v>
      </c>
      <c r="Q684" s="6" t="n">
        <v>1</v>
      </c>
      <c r="R684">
        <f>M684+IF(N684&gt;1,N(O684)*(N684-1),0)</f>
        <v/>
      </c>
      <c r="S684">
        <f>IFERROR(L684*MAX(N684,1)/R684*IF(ISBLANK(K682),1,K682),0)</f>
        <v/>
      </c>
      <c r="AB684" s="7" t="inlineStr">
        <is>
          <t>Naxis_Komet</t>
        </is>
      </c>
    </row>
    <row r="685">
      <c r="A685" t="inlineStr">
        <is>
          <t>redalert2mod</t>
        </is>
      </c>
      <c r="B685" t="inlineStr">
        <is>
          <t>schwarzermond_laserbeetle</t>
        </is>
      </c>
      <c r="C685" t="inlineStr">
        <is>
          <t>Laser Beetle</t>
        </is>
      </c>
      <c r="D685" s="6" t="inlineStr">
        <is>
          <t>SupportVehicle</t>
        </is>
      </c>
      <c r="E685" s="6" t="n">
        <v>47500</v>
      </c>
      <c r="F685" s="6" t="n">
        <v>85</v>
      </c>
      <c r="G685" t="inlineStr">
        <is>
          <t>Medium</t>
        </is>
      </c>
      <c r="H685" s="6" t="n">
        <v>1</v>
      </c>
      <c r="I685" s="6" t="n">
        <v>1</v>
      </c>
      <c r="J685" s="6" t="n">
        <v>1</v>
      </c>
      <c r="K685" s="6" t="n"/>
      <c r="P685">
        <f>MAX(P686,P687,P688,P689,P690,P691)</f>
        <v/>
      </c>
      <c r="S685">
        <f>S686+S687+S688+S689+S690+S691</f>
        <v/>
      </c>
      <c r="T685">
        <f>(E685/100000+F685/100+(P685/1000)*J685/5+S685/200)*200*I685*H685</f>
        <v/>
      </c>
      <c r="U685">
        <f>((E685*F685/25000)+((P685/1000)*J685*S685/2.5))*I685*H685</f>
        <v/>
      </c>
      <c r="V685">
        <f>(E685*F685*(P685/1000)*J685*S685*I685*H685)/12500000</f>
        <v/>
      </c>
      <c r="W685">
        <f>(T685+U685+V685)/3</f>
        <v/>
      </c>
      <c r="X685" s="6" t="n">
        <v>700</v>
      </c>
      <c r="Y685">
        <f>IFERROR(W685-X685,"")</f>
        <v/>
      </c>
      <c r="Z685">
        <f>IFERROR(ABS(Y685)/MAX(X685,1),"")</f>
        <v/>
      </c>
      <c r="AA685">
        <f>IFERROR((X685-(((E685/100000+F685/100+S685/200)*200*I685*H685)+((E685*F685/25000)*I685*H685))/3)/(((J685/5)*200*I685*H685)+((J685*S685/2.5)*I685*H685)+((E685*F685*J685*S685*I685*H685)/12500000))/3*1000,"")</f>
        <v/>
      </c>
    </row>
    <row r="686">
      <c r="B686" s="7" t="inlineStr">
        <is>
          <t xml:space="preserve">  ↳ NaxiBeetleLaser_elite</t>
        </is>
      </c>
      <c r="C686" s="7" t="inlineStr">
        <is>
          <t>Armament</t>
        </is>
      </c>
      <c r="L686" s="6" t="n">
        <v>8000</v>
      </c>
      <c r="M686" s="6" t="n">
        <v>60</v>
      </c>
      <c r="N686" s="6" t="n">
        <v>2</v>
      </c>
      <c r="O686" s="6" t="n">
        <v>4</v>
      </c>
      <c r="P686" s="6" t="n">
        <v>6448</v>
      </c>
      <c r="Q686" s="6" t="n">
        <v>1</v>
      </c>
      <c r="R686">
        <f>M686+IF(N686&gt;1,N(O686)*(N686-1),0)</f>
        <v/>
      </c>
      <c r="S686">
        <f>IFERROR(L686*MAX(N686,1)/R686*IF(ISBLANK(K685),1,K685),0)</f>
        <v/>
      </c>
      <c r="AB686" s="7" t="inlineStr">
        <is>
          <t>^SmallArms, ^Chaingun, ^MediumMissile, ^LaserWeapon</t>
        </is>
      </c>
    </row>
    <row r="687">
      <c r="B687" s="7" t="inlineStr">
        <is>
          <t xml:space="preserve">  ↳ NaxiBeetleLaser_AA_elite</t>
        </is>
      </c>
      <c r="C687" s="7" t="inlineStr">
        <is>
          <t>Armament@AA</t>
        </is>
      </c>
      <c r="L687" s="6" t="n">
        <v>8000</v>
      </c>
      <c r="M687" s="6" t="n">
        <v>60</v>
      </c>
      <c r="N687" s="6" t="n">
        <v>2</v>
      </c>
      <c r="O687" s="6" t="n">
        <v>4</v>
      </c>
      <c r="P687" s="6" t="n">
        <v>9672</v>
      </c>
      <c r="Q687" s="6" t="n">
        <v>1</v>
      </c>
      <c r="R687">
        <f>M687+IF(N687&gt;1,N(O687)*(N687-1),0)</f>
        <v/>
      </c>
      <c r="S687">
        <f>IFERROR(L687*MAX(N687,1)/R687*IF(ISBLANK(K685),1,K685),0)</f>
        <v/>
      </c>
      <c r="AB687" s="7" t="inlineStr">
        <is>
          <t>NaxiBeetleLaser_elite</t>
        </is>
      </c>
    </row>
    <row r="688">
      <c r="B688" s="7" t="inlineStr">
        <is>
          <t xml:space="preserve">  ↳ Lunar_YellowBeetleLaser</t>
        </is>
      </c>
      <c r="C688" s="7" t="inlineStr">
        <is>
          <t>Armament@UP</t>
        </is>
      </c>
      <c r="L688" s="6" t="n">
        <v>8000</v>
      </c>
      <c r="M688" s="6" t="n">
        <v>60</v>
      </c>
      <c r="N688" s="6" t="n">
        <v>3</v>
      </c>
      <c r="O688" s="6" t="n">
        <v>4</v>
      </c>
      <c r="P688" s="6" t="n">
        <v>6448</v>
      </c>
      <c r="Q688" s="6" t="n">
        <v>1</v>
      </c>
      <c r="R688">
        <f>M688+IF(N688&gt;1,N(O688)*(N688-1),0)</f>
        <v/>
      </c>
      <c r="S688">
        <f>IFERROR(L688*MAX(N688,1)/R688*IF(ISBLANK(K685),1,K685),0)</f>
        <v/>
      </c>
      <c r="AB688" s="7" t="inlineStr">
        <is>
          <t>NaxiBeetleLaser_elite</t>
        </is>
      </c>
    </row>
    <row r="689">
      <c r="B689" s="7" t="inlineStr">
        <is>
          <t xml:space="preserve">  ↳ Lunar_YellowBeetleLaser_AA</t>
        </is>
      </c>
      <c r="C689" s="7" t="inlineStr">
        <is>
          <t>Armament@AA_UP</t>
        </is>
      </c>
      <c r="L689" s="6" t="n">
        <v>8000</v>
      </c>
      <c r="M689" s="6" t="n">
        <v>60</v>
      </c>
      <c r="N689" s="6" t="n">
        <v>3</v>
      </c>
      <c r="O689" s="6" t="n">
        <v>4</v>
      </c>
      <c r="P689" s="6" t="n">
        <v>9672</v>
      </c>
      <c r="Q689" s="6" t="n">
        <v>1</v>
      </c>
      <c r="R689">
        <f>M689+IF(N689&gt;1,N(O689)*(N689-1),0)</f>
        <v/>
      </c>
      <c r="S689">
        <f>IFERROR(L689*MAX(N689,1)/R689*IF(ISBLANK(K685),1,K685),0)</f>
        <v/>
      </c>
      <c r="AB689" s="7" t="inlineStr">
        <is>
          <t>NaxiBeetleLaser_AA_elite</t>
        </is>
      </c>
    </row>
    <row r="690">
      <c r="B690" s="7" t="inlineStr">
        <is>
          <t xml:space="preserve">  ↳ Lunar_AmplifiedBeetleLaser</t>
        </is>
      </c>
      <c r="C690" s="7" t="inlineStr">
        <is>
          <t>Armament@AMP</t>
        </is>
      </c>
      <c r="L690" s="6" t="n">
        <v>8000</v>
      </c>
      <c r="M690" s="6" t="n">
        <v>60</v>
      </c>
      <c r="N690" s="6" t="n">
        <v>4</v>
      </c>
      <c r="O690" s="6" t="n">
        <v>4</v>
      </c>
      <c r="P690" s="6" t="n">
        <v>6448</v>
      </c>
      <c r="Q690" s="6" t="n">
        <v>1</v>
      </c>
      <c r="R690">
        <f>M690+IF(N690&gt;1,N(O690)*(N690-1),0)</f>
        <v/>
      </c>
      <c r="S690">
        <f>IFERROR(L690*MAX(N690,1)/R690*IF(ISBLANK(K685),1,K685),0)</f>
        <v/>
      </c>
      <c r="AB690" s="7" t="inlineStr">
        <is>
          <t>NaxiBeetleLaser_elite</t>
        </is>
      </c>
    </row>
    <row r="691">
      <c r="B691" s="7" t="inlineStr">
        <is>
          <t xml:space="preserve">  ↳ Lunar_AmplifiedBeetleLaser_AA</t>
        </is>
      </c>
      <c r="C691" s="7" t="inlineStr">
        <is>
          <t>Armament@AA_AMP</t>
        </is>
      </c>
      <c r="L691" s="6" t="n">
        <v>8000</v>
      </c>
      <c r="M691" s="6" t="n">
        <v>60</v>
      </c>
      <c r="N691" s="6" t="n">
        <v>4</v>
      </c>
      <c r="O691" s="6" t="n">
        <v>4</v>
      </c>
      <c r="P691" s="6" t="n">
        <v>9672</v>
      </c>
      <c r="Q691" s="6" t="n">
        <v>1</v>
      </c>
      <c r="R691">
        <f>M691+IF(N691&gt;1,N(O691)*(N691-1),0)</f>
        <v/>
      </c>
      <c r="S691">
        <f>IFERROR(L691*MAX(N691,1)/R691*IF(ISBLANK(K685),1,K685),0)</f>
        <v/>
      </c>
      <c r="AB691" s="7" t="inlineStr">
        <is>
          <t>NaxiBeetleLaser_AA_elite</t>
        </is>
      </c>
    </row>
    <row r="692">
      <c r="A692" t="inlineStr">
        <is>
          <t>redalert2mod</t>
        </is>
      </c>
      <c r="B692" t="inlineStr">
        <is>
          <t>schwarzermond_lasertank</t>
        </is>
      </c>
      <c r="C692" t="inlineStr">
        <is>
          <t>Laser Tank</t>
        </is>
      </c>
      <c r="D692" s="6" t="inlineStr">
        <is>
          <t>SupportVehicle</t>
        </is>
      </c>
      <c r="E692" s="6" t="n">
        <v>100000</v>
      </c>
      <c r="F692" s="6" t="n">
        <v>70</v>
      </c>
      <c r="G692" t="inlineStr">
        <is>
          <t>Medium</t>
        </is>
      </c>
      <c r="H692" s="6" t="n">
        <v>0.8639</v>
      </c>
      <c r="I692" s="6" t="n">
        <v>1</v>
      </c>
      <c r="J692" s="6" t="n">
        <v>1</v>
      </c>
      <c r="K692" s="6" t="n"/>
      <c r="P692">
        <f>MAX(P693,P694,P695,P696,P697,P698)</f>
        <v/>
      </c>
      <c r="S692">
        <f>S693+S694+S695+S696+S697+S698</f>
        <v/>
      </c>
      <c r="T692">
        <f>(E692/100000+F692/100+(P692/1000)*J692/5+S692/200)*200*I692*H692</f>
        <v/>
      </c>
      <c r="U692">
        <f>((E692*F692/25000)+((P692/1000)*J692*S692/2.5))*I692*H692</f>
        <v/>
      </c>
      <c r="V692">
        <f>(E692*F692*(P692/1000)*J692*S692*I692*H692)/12500000</f>
        <v/>
      </c>
      <c r="W692">
        <f>(T692+U692+V692)/3</f>
        <v/>
      </c>
      <c r="X692" s="6" t="n">
        <v>1500</v>
      </c>
      <c r="Y692">
        <f>IFERROR(W692-X692,"")</f>
        <v/>
      </c>
      <c r="Z692">
        <f>IFERROR(ABS(Y692)/MAX(X692,1),"")</f>
        <v/>
      </c>
      <c r="AA692">
        <f>IFERROR((X692-(((E692/100000+F692/100+S692/200)*200*I692*H692)+((E692*F692/25000)*I692*H692))/3)/(((J692/5)*200*I692*H692)+((J692*S692/2.5)*I692*H692)+((E692*F692*J692*S692*I692*H692)/12500000))/3*1000,"")</f>
        <v/>
      </c>
    </row>
    <row r="693">
      <c r="B693" s="7" t="inlineStr">
        <is>
          <t xml:space="preserve">  ↳ NaxiTank2Laser</t>
        </is>
      </c>
      <c r="C693" s="7" t="inlineStr">
        <is>
          <t>Armament</t>
        </is>
      </c>
      <c r="L693" s="6" t="n">
        <v>8000</v>
      </c>
      <c r="M693" s="6" t="n">
        <v>52</v>
      </c>
      <c r="N693" s="6" t="n">
        <v>4</v>
      </c>
      <c r="O693" s="6" t="n">
        <v>4</v>
      </c>
      <c r="P693" s="6" t="n">
        <v>6500</v>
      </c>
      <c r="Q693" s="6" t="n">
        <v>1</v>
      </c>
      <c r="R693">
        <f>M693+IF(N693&gt;1,N(O693)*(N693-1),0)</f>
        <v/>
      </c>
      <c r="S693">
        <f>IFERROR(L693*MAX(N693,1)/R693*IF(ISBLANK(K692),1,K692),0)</f>
        <v/>
      </c>
      <c r="AB693" s="7" t="inlineStr">
        <is>
          <t>^SmallArms, ^Chaingun, ^MediumMissile, ^LaserWeapon</t>
        </is>
      </c>
    </row>
    <row r="694">
      <c r="B694" s="7" t="inlineStr">
        <is>
          <t xml:space="preserve">  ↳ NaxiTank2Laser_AA</t>
        </is>
      </c>
      <c r="C694" s="7" t="inlineStr">
        <is>
          <t>Armament@AA</t>
        </is>
      </c>
      <c r="L694" s="6" t="n">
        <v>8000</v>
      </c>
      <c r="M694" s="6" t="n">
        <v>52</v>
      </c>
      <c r="N694" s="6" t="n">
        <v>4</v>
      </c>
      <c r="O694" s="6" t="n">
        <v>4</v>
      </c>
      <c r="P694" s="6" t="n">
        <v>9750</v>
      </c>
      <c r="Q694" s="6" t="n">
        <v>1</v>
      </c>
      <c r="R694">
        <f>M694+IF(N694&gt;1,N(O694)*(N694-1),0)</f>
        <v/>
      </c>
      <c r="S694">
        <f>IFERROR(L694*MAX(N694,1)/R694*IF(ISBLANK(K692),1,K692),0)</f>
        <v/>
      </c>
      <c r="AB694" s="7" t="inlineStr">
        <is>
          <t>NaxiTank2Laser</t>
        </is>
      </c>
    </row>
    <row r="695">
      <c r="B695" s="7" t="inlineStr">
        <is>
          <t xml:space="preserve">  ↳ Lunar_YellowTank2Laser</t>
        </is>
      </c>
      <c r="C695" s="7" t="inlineStr">
        <is>
          <t>Armament@UP</t>
        </is>
      </c>
      <c r="L695" s="6" t="n">
        <v>8000</v>
      </c>
      <c r="M695" s="6" t="n">
        <v>52</v>
      </c>
      <c r="N695" s="6" t="n">
        <v>5</v>
      </c>
      <c r="O695" s="6" t="n">
        <v>4</v>
      </c>
      <c r="P695" s="6" t="n">
        <v>6500</v>
      </c>
      <c r="Q695" s="6" t="n">
        <v>1</v>
      </c>
      <c r="R695">
        <f>M695+IF(N695&gt;1,N(O695)*(N695-1),0)</f>
        <v/>
      </c>
      <c r="S695">
        <f>IFERROR(L695*MAX(N695,1)/R695*IF(ISBLANK(K692),1,K692),0)</f>
        <v/>
      </c>
      <c r="AB695" s="7" t="inlineStr">
        <is>
          <t>NaxiTank2Laser</t>
        </is>
      </c>
    </row>
    <row r="696">
      <c r="B696" s="7" t="inlineStr">
        <is>
          <t xml:space="preserve">  ↳ Lunar_YellowTank2Laser_AA</t>
        </is>
      </c>
      <c r="C696" s="7" t="inlineStr">
        <is>
          <t>Armament@AA_UP</t>
        </is>
      </c>
      <c r="L696" s="6" t="n">
        <v>8000</v>
      </c>
      <c r="M696" s="6" t="n">
        <v>52</v>
      </c>
      <c r="N696" s="6" t="n">
        <v>5</v>
      </c>
      <c r="O696" s="6" t="n">
        <v>4</v>
      </c>
      <c r="P696" s="6" t="n">
        <v>9750</v>
      </c>
      <c r="Q696" s="6" t="n">
        <v>1</v>
      </c>
      <c r="R696">
        <f>M696+IF(N696&gt;1,N(O696)*(N696-1),0)</f>
        <v/>
      </c>
      <c r="S696">
        <f>IFERROR(L696*MAX(N696,1)/R696*IF(ISBLANK(K692),1,K692),0)</f>
        <v/>
      </c>
      <c r="AB696" s="7" t="inlineStr">
        <is>
          <t>NaxiTank2Laser_AA</t>
        </is>
      </c>
    </row>
    <row r="697">
      <c r="B697" s="7" t="inlineStr">
        <is>
          <t xml:space="preserve">  ↳ Lunar_AmplifiedTank2Laser</t>
        </is>
      </c>
      <c r="C697" s="7" t="inlineStr">
        <is>
          <t>Armament@AMP</t>
        </is>
      </c>
      <c r="L697" s="6" t="n">
        <v>8000</v>
      </c>
      <c r="M697" s="6" t="n">
        <v>52</v>
      </c>
      <c r="N697" s="6" t="n">
        <v>6</v>
      </c>
      <c r="O697" s="6" t="n">
        <v>4</v>
      </c>
      <c r="P697" s="6" t="n">
        <v>6500</v>
      </c>
      <c r="Q697" s="6" t="n">
        <v>1</v>
      </c>
      <c r="R697">
        <f>M697+IF(N697&gt;1,N(O697)*(N697-1),0)</f>
        <v/>
      </c>
      <c r="S697">
        <f>IFERROR(L697*MAX(N697,1)/R697*IF(ISBLANK(K692),1,K692),0)</f>
        <v/>
      </c>
      <c r="AB697" s="7" t="inlineStr">
        <is>
          <t>NaxiTank2Laser</t>
        </is>
      </c>
    </row>
    <row r="698">
      <c r="B698" s="7" t="inlineStr">
        <is>
          <t xml:space="preserve">  ↳ Lunar_AmplifiedTank2Laser_AA</t>
        </is>
      </c>
      <c r="C698" s="7" t="inlineStr">
        <is>
          <t>Armament@AA_AMP</t>
        </is>
      </c>
      <c r="L698" s="6" t="n">
        <v>8000</v>
      </c>
      <c r="M698" s="6" t="n">
        <v>52</v>
      </c>
      <c r="N698" s="6" t="n">
        <v>6</v>
      </c>
      <c r="O698" s="6" t="n">
        <v>4</v>
      </c>
      <c r="P698" s="6" t="n">
        <v>9750</v>
      </c>
      <c r="Q698" s="6" t="n">
        <v>1</v>
      </c>
      <c r="R698">
        <f>M698+IF(N698&gt;1,N(O698)*(N698-1),0)</f>
        <v/>
      </c>
      <c r="S698">
        <f>IFERROR(L698*MAX(N698,1)/R698*IF(ISBLANK(K692),1,K692),0)</f>
        <v/>
      </c>
      <c r="AB698" s="7" t="inlineStr">
        <is>
          <t>NaxiTank2Laser_AA</t>
        </is>
      </c>
    </row>
    <row r="699">
      <c r="A699" t="inlineStr">
        <is>
          <t>redalert2mod</t>
        </is>
      </c>
      <c r="B699" t="inlineStr">
        <is>
          <t>schwarzermond_naxismobileconstructionvehicle</t>
        </is>
      </c>
      <c r="C699" t="inlineStr">
        <is>
          <t>Naxis Mobile Construction Vehicle</t>
        </is>
      </c>
      <c r="D699" s="6" t="inlineStr">
        <is>
          <t>SupportVehicle</t>
        </is>
      </c>
      <c r="E699" s="6" t="n">
        <v>300000</v>
      </c>
      <c r="F699" s="6" t="n">
        <v>75</v>
      </c>
      <c r="G699" t="inlineStr">
        <is>
          <t>Medium</t>
        </is>
      </c>
      <c r="H699" s="6" t="n">
        <v>0.6846</v>
      </c>
      <c r="I699" s="6" t="n">
        <v>1</v>
      </c>
      <c r="J699" s="6" t="n">
        <v>1</v>
      </c>
      <c r="K699" s="6" t="n"/>
      <c r="X699" s="6" t="n">
        <v>5000</v>
      </c>
    </row>
    <row r="700">
      <c r="A700" t="inlineStr">
        <is>
          <t>redalert2mod</t>
        </is>
      </c>
      <c r="B700" t="inlineStr">
        <is>
          <t>futuretech_mobileconstructionvehicle</t>
        </is>
      </c>
      <c r="C700" t="inlineStr">
        <is>
          <t>FutureTech Mobile Construction Vehicle</t>
        </is>
      </c>
      <c r="D700" s="6" t="inlineStr">
        <is>
          <t>SupportVehicle</t>
        </is>
      </c>
      <c r="E700" s="6" t="n">
        <v>300000</v>
      </c>
      <c r="F700" s="6" t="n">
        <v>75</v>
      </c>
      <c r="G700" t="inlineStr">
        <is>
          <t>Medium</t>
        </is>
      </c>
      <c r="H700" s="6" t="n">
        <v>0.5669999999999999</v>
      </c>
      <c r="I700" s="6" t="n">
        <v>1</v>
      </c>
      <c r="J700" s="6" t="n">
        <v>1</v>
      </c>
      <c r="K700" s="6" t="n"/>
      <c r="X700" s="6" t="n">
        <v>5000</v>
      </c>
    </row>
    <row r="701">
      <c r="A701" t="inlineStr">
        <is>
          <t>redalert2mod</t>
        </is>
      </c>
      <c r="B701" t="inlineStr">
        <is>
          <t>futuretech_phalanxwip</t>
        </is>
      </c>
      <c r="C701" t="inlineStr">
        <is>
          <t>Phalanx (WIP)</t>
        </is>
      </c>
      <c r="D701" s="6" t="inlineStr">
        <is>
          <t>SupportVehicle</t>
        </is>
      </c>
      <c r="E701" s="6" t="n">
        <v>75000</v>
      </c>
      <c r="F701" s="6" t="n">
        <v>90</v>
      </c>
      <c r="G701" t="inlineStr">
        <is>
          <t>Medium</t>
        </is>
      </c>
      <c r="H701" s="6" t="n">
        <v>0.422</v>
      </c>
      <c r="I701" s="6" t="n">
        <v>1</v>
      </c>
      <c r="J701" s="6" t="n">
        <v>1</v>
      </c>
      <c r="K701" s="6" t="n"/>
      <c r="P701">
        <f>MAX(P702,P703,P704)</f>
        <v/>
      </c>
      <c r="S701">
        <f>S702+S703+S704</f>
        <v/>
      </c>
      <c r="T701">
        <f>(E701/100000+F701/100+(P701/1000)*J701/5+S701/200)*200*I701*H701</f>
        <v/>
      </c>
      <c r="U701">
        <f>((E701*F701/25000)+((P701/1000)*J701*S701/2.5))*I701*H701</f>
        <v/>
      </c>
      <c r="V701">
        <f>(E701*F701*(P701/1000)*J701*S701*I701*H701)/12500000</f>
        <v/>
      </c>
      <c r="W701">
        <f>(T701+U701+V701)/3</f>
        <v/>
      </c>
      <c r="X701" s="6" t="n">
        <v>2500</v>
      </c>
      <c r="Y701">
        <f>IFERROR(W701-X701,"")</f>
        <v/>
      </c>
      <c r="Z701">
        <f>IFERROR(ABS(Y701)/MAX(X701,1),"")</f>
        <v/>
      </c>
      <c r="AA701">
        <f>IFERROR((X701-(((E701/100000+F701/100+S701/200)*200*I701*H701)+((E701*F701/25000)*I701*H701))/3)/(((J701/5)*200*I701*H701)+((J701*S701/2.5)*I701*H701)+((E701*F701*J701*S701*I701*H701)/12500000))/3*1000,"")</f>
        <v/>
      </c>
    </row>
    <row r="702">
      <c r="B702" s="7" t="inlineStr">
        <is>
          <t xml:space="preserve">  ↳ RA2RTruckRocket</t>
        </is>
      </c>
      <c r="C702" s="7" t="inlineStr">
        <is>
          <t>Armament</t>
        </is>
      </c>
      <c r="L702" s="6" t="n">
        <v>8000</v>
      </c>
      <c r="M702" s="6" t="n">
        <v>108</v>
      </c>
      <c r="N702" s="6" t="n">
        <v>8</v>
      </c>
      <c r="O702" s="6" t="n">
        <v>3</v>
      </c>
      <c r="P702" s="6" t="n">
        <v>7777</v>
      </c>
      <c r="Q702" s="6" t="n">
        <v>1</v>
      </c>
      <c r="R702">
        <f>M702+IF(N702&gt;1,N(O702)*(N702-1),0)</f>
        <v/>
      </c>
      <c r="S702">
        <f>IFERROR(L702*MAX(N702,1)/R702*IF(ISBLANK(K701),1,K701),0)</f>
        <v/>
      </c>
      <c r="AB702" s="7" t="inlineStr">
        <is>
          <t>^Warhead_MissileHE_Medium</t>
        </is>
      </c>
    </row>
    <row r="703">
      <c r="B703" s="7" t="inlineStr">
        <is>
          <t xml:space="preserve">  ↳ RA2RTruckRocket</t>
        </is>
      </c>
      <c r="C703" s="7" t="inlineStr">
        <is>
          <t>Armament@PRIMARYELITE</t>
        </is>
      </c>
      <c r="L703" s="6" t="n">
        <v>8000</v>
      </c>
      <c r="M703" s="6" t="n">
        <v>108</v>
      </c>
      <c r="N703" s="6" t="n">
        <v>8</v>
      </c>
      <c r="O703" s="6" t="n">
        <v>3</v>
      </c>
      <c r="P703" s="6" t="n">
        <v>7777</v>
      </c>
      <c r="Q703" s="6" t="n">
        <v>1</v>
      </c>
      <c r="R703">
        <f>M703+IF(N703&gt;1,N(O703)*(N703-1),0)</f>
        <v/>
      </c>
      <c r="S703">
        <f>IFERROR(L703*MAX(N703,1)/R703*IF(ISBLANK(K701),1,K701),0)</f>
        <v/>
      </c>
      <c r="AB703" s="7" t="inlineStr">
        <is>
          <t>^Warhead_MissileHE_Medium</t>
        </is>
      </c>
    </row>
    <row r="704">
      <c r="B704" s="7" t="inlineStr">
        <is>
          <t xml:space="preserve">  ↳ FutureMicrotorpedos</t>
        </is>
      </c>
      <c r="C704" s="7" t="inlineStr">
        <is>
          <t>Armament@WATER</t>
        </is>
      </c>
      <c r="L704" s="6" t="n">
        <v>12000</v>
      </c>
      <c r="M704" s="6" t="n">
        <v>240</v>
      </c>
      <c r="N704" s="6" t="n">
        <v>4</v>
      </c>
      <c r="O704" s="6" t="n">
        <v>8</v>
      </c>
      <c r="P704" s="6" t="n">
        <v>12000</v>
      </c>
      <c r="Q704" s="6" t="n">
        <v>1</v>
      </c>
      <c r="R704">
        <f>M704+IF(N704&gt;1,N(O704)*(N704-1),0)</f>
        <v/>
      </c>
      <c r="S704">
        <f>IFERROR(L704*MAX(N704,1)/R704*IF(ISBLANK(K701),1,K701),0)</f>
        <v/>
      </c>
      <c r="AB704" s="7" t="inlineStr">
        <is>
          <t>^Warhead_Demolition_Light, ^Warhead_MissileAP_Heavy</t>
        </is>
      </c>
    </row>
    <row r="705">
      <c r="A705" t="inlineStr">
        <is>
          <t>redalert2mod</t>
        </is>
      </c>
      <c r="B705" t="inlineStr">
        <is>
          <t>futuretech_repairdroid</t>
        </is>
      </c>
      <c r="C705" t="inlineStr">
        <is>
          <t>Repair Droid</t>
        </is>
      </c>
      <c r="D705" s="6" t="inlineStr">
        <is>
          <t>SupportVehicle</t>
        </is>
      </c>
      <c r="E705" s="6" t="n">
        <v>50000</v>
      </c>
      <c r="F705" s="6" t="n">
        <v>40</v>
      </c>
      <c r="G705" t="inlineStr">
        <is>
          <t>Plate</t>
        </is>
      </c>
      <c r="H705" s="6" t="n">
        <v>0.6322</v>
      </c>
      <c r="I705" s="6" t="n">
        <v>1</v>
      </c>
      <c r="J705" s="6" t="n">
        <v>1</v>
      </c>
      <c r="K705" s="6" t="n"/>
      <c r="P705">
        <f>MAX(P706)</f>
        <v/>
      </c>
      <c r="S705">
        <f>S706</f>
        <v/>
      </c>
      <c r="T705">
        <f>(E705/100000+F705/100+(P705/1000)*J705/5+S705/200)*200*I705*H705</f>
        <v/>
      </c>
      <c r="U705">
        <f>((E705*F705/25000)+((P705/1000)*J705*S705/2.5))*I705*H705</f>
        <v/>
      </c>
      <c r="V705">
        <f>(E705*F705*(P705/1000)*J705*S705*I705*H705)/12500000</f>
        <v/>
      </c>
      <c r="W705">
        <f>(((E705/5000)+(F705/50)+(S705/0)+((P705/0)*J705))*500/4+(((E705/5000)*(F705/50))+(((P705/0)*J705)*(S705/0)))*500/2+((E705/5000)*(F705/50)*((P705/0)*J705)*(S705/0))*500)*(H705/1.0)/3</f>
        <v/>
      </c>
      <c r="X705" s="6" t="n">
        <v>800</v>
      </c>
      <c r="Y705">
        <f>IFERROR(W705-X705,"")</f>
        <v/>
      </c>
      <c r="Z705">
        <f>IFERROR(ABS(Y705)/MAX(X705,1),"")</f>
        <v/>
      </c>
      <c r="AA705">
        <f>IFERROR(ROUND(((3*X705-(((E705/5000)+(F705/50)+(S705/0))*500/4+((E705/5000)*(F705/50))*500/2)*(H705/1.0))/(500/4+((S705/0))*500/2+((E705/5000)*(F705/50)*(S705/0))*500)*(H705/1.0)*0)/J705,-1),"")</f>
        <v/>
      </c>
    </row>
    <row r="706">
      <c r="B706" s="7" t="inlineStr">
        <is>
          <t xml:space="preserve">  ↳ RA2IFVRepair</t>
        </is>
      </c>
      <c r="C706" s="7" t="inlineStr">
        <is>
          <t>Armament</t>
        </is>
      </c>
      <c r="L706" s="6" t="n">
        <v>-3000</v>
      </c>
      <c r="M706" s="6" t="n">
        <v>50</v>
      </c>
      <c r="N706" s="6" t="n">
        <v>10</v>
      </c>
      <c r="O706" s="6" t="n">
        <v>1</v>
      </c>
      <c r="P706" s="6" t="n">
        <v>5000</v>
      </c>
      <c r="Q706" s="6" t="n">
        <v>1</v>
      </c>
      <c r="R706">
        <f>M706+IF(N706&gt;1,N(O706)*(N706-1),0)</f>
        <v/>
      </c>
      <c r="S706">
        <f>IFERROR(L706*MAX(N706,1)/R706*IF(ISBLANK(K705),1,K705),0)</f>
        <v/>
      </c>
      <c r="AB706" s="7" t="inlineStr">
        <is>
          <t>^RepairWeapon</t>
        </is>
      </c>
    </row>
    <row r="707">
      <c r="A707" t="inlineStr">
        <is>
          <t>redalert2mod</t>
        </is>
      </c>
      <c r="B707" t="inlineStr">
        <is>
          <t>futuretech_riptideacv</t>
        </is>
      </c>
      <c r="C707" t="inlineStr">
        <is>
          <t>Riptide ACV</t>
        </is>
      </c>
      <c r="D707" s="6" t="inlineStr">
        <is>
          <t>SupportVehicle</t>
        </is>
      </c>
      <c r="E707" s="6" t="n">
        <v>65000</v>
      </c>
      <c r="F707" s="6" t="n">
        <v>105</v>
      </c>
      <c r="G707" t="inlineStr">
        <is>
          <t>Light</t>
        </is>
      </c>
      <c r="H707" s="6" t="n">
        <v>1</v>
      </c>
      <c r="I707" s="6" t="n">
        <v>1.25</v>
      </c>
      <c r="J707" s="6" t="n">
        <v>1</v>
      </c>
      <c r="K707" s="6" t="n"/>
      <c r="P707">
        <f>MAX(P708,P709)</f>
        <v/>
      </c>
      <c r="S707">
        <f>S708+S709</f>
        <v/>
      </c>
      <c r="T707">
        <f>(E707/100000+F707/100+(P707/1000)*J707/5+S707/200)*200*I707*H707</f>
        <v/>
      </c>
      <c r="U707">
        <f>((E707*F707/25000)+((P707/1000)*J707*S707/2.5))*I707*H707</f>
        <v/>
      </c>
      <c r="V707">
        <f>(E707*F707*(P707/1000)*J707*S707*I707*H707)/12500000</f>
        <v/>
      </c>
      <c r="W707">
        <f>(T707+U707+V707)/3</f>
        <v/>
      </c>
      <c r="X707" s="6" t="n">
        <v>1700</v>
      </c>
      <c r="Y707">
        <f>IFERROR(W707-X707,"")</f>
        <v/>
      </c>
      <c r="Z707">
        <f>IFERROR(ABS(Y707)/MAX(X707,1),"")</f>
        <v/>
      </c>
      <c r="AA707">
        <f>IFERROR((X707-(((E707/100000+F707/100+S707/200)*200*I707*H707)+((E707*F707/25000)*I707*H707))/3)/(((J707/5)*200*I707*H707)+((J707*S707/2.5)*I707*H707)+((E707*F707*J707*S707*I707*H707)/12500000))/3*1000,"")</f>
        <v/>
      </c>
    </row>
    <row r="708">
      <c r="B708" s="7" t="inlineStr">
        <is>
          <t xml:space="preserve">  ↳ ACV_Machinegun</t>
        </is>
      </c>
      <c r="C708" s="7" t="inlineStr">
        <is>
          <t>Armament@AG</t>
        </is>
      </c>
      <c r="L708" s="6" t="n">
        <v>4000</v>
      </c>
      <c r="M708" s="6" t="n">
        <v>21</v>
      </c>
      <c r="N708" s="6" t="n">
        <v>4</v>
      </c>
      <c r="O708" s="6" t="n">
        <v>2</v>
      </c>
      <c r="P708" s="6" t="n">
        <v>5555</v>
      </c>
      <c r="Q708" s="6" t="n">
        <v>0.875</v>
      </c>
      <c r="R708">
        <f>M708+IF(N708&gt;1,N(O708)*(N708-1),0)</f>
        <v/>
      </c>
      <c r="S708">
        <f>IFERROR(L708*MAX(N708,1)/R708*IF(ISBLANK(K707),1,K707),0)</f>
        <v/>
      </c>
      <c r="AB708" s="7" t="inlineStr">
        <is>
          <t>^Warhead_Bullet_Light, ^Warhead_Bullet_Medium</t>
        </is>
      </c>
    </row>
    <row r="709">
      <c r="B709" s="7" t="inlineStr">
        <is>
          <t xml:space="preserve">  ↳ FutureMicrotorpedos</t>
        </is>
      </c>
      <c r="C709" s="7" t="inlineStr">
        <is>
          <t>Armament@WATER</t>
        </is>
      </c>
      <c r="L709" s="6" t="n">
        <v>12000</v>
      </c>
      <c r="M709" s="6" t="n">
        <v>240</v>
      </c>
      <c r="N709" s="6" t="n">
        <v>4</v>
      </c>
      <c r="O709" s="6" t="n">
        <v>8</v>
      </c>
      <c r="P709" s="6" t="n">
        <v>12000</v>
      </c>
      <c r="Q709" s="6" t="n">
        <v>1</v>
      </c>
      <c r="R709">
        <f>M709+IF(N709&gt;1,N(O709)*(N709-1),0)</f>
        <v/>
      </c>
      <c r="S709">
        <f>IFERROR(L709*MAX(N709,1)/R709*IF(ISBLANK(K707),1,K707),0)</f>
        <v/>
      </c>
      <c r="AB709" s="7" t="inlineStr">
        <is>
          <t>^Warhead_Demolition_Light, ^Warhead_MissileAP_Heavy</t>
        </is>
      </c>
    </row>
    <row r="710">
      <c r="A710" t="inlineStr">
        <is>
          <t>redalert2mod</t>
        </is>
      </c>
      <c r="B710" t="inlineStr">
        <is>
          <t>tkm_medictruck</t>
        </is>
      </c>
      <c r="C710" t="inlineStr">
        <is>
          <t>Medic Truck</t>
        </is>
      </c>
      <c r="D710" s="6" t="inlineStr">
        <is>
          <t>SupportVehicle</t>
        </is>
      </c>
      <c r="E710" s="6" t="n">
        <v>50000</v>
      </c>
      <c r="F710" s="6" t="n">
        <v>75</v>
      </c>
      <c r="G710" t="inlineStr">
        <is>
          <t>Light</t>
        </is>
      </c>
      <c r="H710" s="6" t="n">
        <v>0.9016</v>
      </c>
      <c r="I710" s="6" t="n">
        <v>1</v>
      </c>
      <c r="J710" s="6" t="n">
        <v>1</v>
      </c>
      <c r="K710" s="6" t="n"/>
      <c r="P710">
        <f>MAX(P711)</f>
        <v/>
      </c>
      <c r="S710">
        <f>S711</f>
        <v/>
      </c>
      <c r="T710">
        <f>(E710/100000+F710/100+(P710/1000)*J710/5+S710/200)*200*I710*H710</f>
        <v/>
      </c>
      <c r="U710">
        <f>((E710*F710/25000)+((P710/1000)*J710*S710/2.5))*I710*H710</f>
        <v/>
      </c>
      <c r="V710">
        <f>(E710*F710*(P710/1000)*J710*S710*I710*H710)/12500000</f>
        <v/>
      </c>
      <c r="W710">
        <f>(T710+U710+V710)/3</f>
        <v/>
      </c>
      <c r="X710" s="6" t="n">
        <v>1000</v>
      </c>
      <c r="Y710">
        <f>IFERROR(W710-X710,"")</f>
        <v/>
      </c>
      <c r="Z710">
        <f>IFERROR(ABS(Y710)/MAX(X710,1),"")</f>
        <v/>
      </c>
      <c r="AA710">
        <f>IFERROR((X710-(((E710/100000+F710/100+S710/200)*200*I710*H710)+((E710*F710/25000)*I710*H710))/3)/(((J710/5)*200*I710*H710)+((J710*S710/2.5)*I710*H710)+((E710*F710*J710*S710*I710*H710)/12500000))/3*1000,"")</f>
        <v/>
      </c>
    </row>
    <row r="711">
      <c r="B711" s="7" t="inlineStr">
        <is>
          <t xml:space="preserve">  ↳ TKMMedicHeal</t>
        </is>
      </c>
      <c r="C711" s="7" t="inlineStr">
        <is>
          <t>Armament@Heal</t>
        </is>
      </c>
      <c r="L711" s="6" t="n">
        <v>-3000</v>
      </c>
      <c r="M711" s="6" t="n">
        <v>5</v>
      </c>
      <c r="N711" s="6" t="n">
        <v>1</v>
      </c>
      <c r="O711" s="6" t="n"/>
      <c r="P711" s="6" t="n">
        <v>4831</v>
      </c>
      <c r="Q711" s="6" t="n">
        <v>1</v>
      </c>
      <c r="R711">
        <f>M711+IF(N711&gt;1,N(O711)*(N711-1),0)</f>
        <v/>
      </c>
      <c r="S711">
        <f>IFERROR(L711*MAX(N711,1)/R711*IF(ISBLANK(K710),1,K710),0)</f>
        <v/>
      </c>
      <c r="AB711" s="7" t="inlineStr">
        <is>
          <t>^HealingWeapon</t>
        </is>
      </c>
    </row>
    <row r="712">
      <c r="A712" t="inlineStr">
        <is>
          <t>redalert2mod</t>
        </is>
      </c>
      <c r="B712" t="inlineStr">
        <is>
          <t>tkm_mobileconstructionvehicletkm</t>
        </is>
      </c>
      <c r="C712" t="inlineStr">
        <is>
          <t>Mobile Construction Vehicle (TKM)</t>
        </is>
      </c>
      <c r="D712" s="6" t="inlineStr">
        <is>
          <t>SupportVehicle</t>
        </is>
      </c>
      <c r="E712" s="6" t="n">
        <v>300000</v>
      </c>
      <c r="F712" s="6" t="n">
        <v>75</v>
      </c>
      <c r="G712" t="inlineStr">
        <is>
          <t>Medium</t>
        </is>
      </c>
      <c r="H712" s="6" t="n">
        <v>0.9016</v>
      </c>
      <c r="I712" s="6" t="n">
        <v>1</v>
      </c>
      <c r="J712" s="6" t="n">
        <v>1</v>
      </c>
      <c r="K712" s="6" t="n"/>
      <c r="X712" s="6" t="n">
        <v>5000</v>
      </c>
    </row>
    <row r="713">
      <c r="A713" t="inlineStr">
        <is>
          <t>redalert2mod</t>
        </is>
      </c>
      <c r="B713" t="inlineStr">
        <is>
          <t>tkm_quadtruck</t>
        </is>
      </c>
      <c r="C713" t="inlineStr">
        <is>
          <t>TKM Quad Truck</t>
        </is>
      </c>
      <c r="D713" s="6" t="inlineStr">
        <is>
          <t>SupportVehicle</t>
        </is>
      </c>
      <c r="E713" s="6" t="n">
        <v>65000</v>
      </c>
      <c r="F713" s="6" t="n">
        <v>90</v>
      </c>
      <c r="G713" t="inlineStr">
        <is>
          <t>Light</t>
        </is>
      </c>
      <c r="H713" s="6" t="n">
        <v>0.7082000000000001</v>
      </c>
      <c r="I713" s="6" t="n">
        <v>1</v>
      </c>
      <c r="J713" s="6" t="n">
        <v>1</v>
      </c>
      <c r="K713" s="6" t="n"/>
      <c r="P713">
        <f>MAX(P714,P715)</f>
        <v/>
      </c>
      <c r="S713">
        <f>S714+S715</f>
        <v/>
      </c>
      <c r="T713">
        <f>(E713/100000+F713/100+(P713/1000)*J713/5+S713/200)*200*I713*H713</f>
        <v/>
      </c>
      <c r="U713">
        <f>((E713*F713/25000)+((P713/1000)*J713*S713/2.5))*I713*H713</f>
        <v/>
      </c>
      <c r="V713">
        <f>(E713*F713*(P713/1000)*J713*S713*I713*H713)/12500000</f>
        <v/>
      </c>
      <c r="W713">
        <f>(T713+U713+V713)/3</f>
        <v/>
      </c>
      <c r="X713" s="6" t="n">
        <v>900</v>
      </c>
      <c r="Y713">
        <f>IFERROR(W713-X713,"")</f>
        <v/>
      </c>
      <c r="Z713">
        <f>IFERROR(ABS(Y713)/MAX(X713,1),"")</f>
        <v/>
      </c>
      <c r="AA713">
        <f>IFERROR((X713-(((E713/100000+F713/100+S713/200)*200*I713*H713)+((E713*F713/25000)*I713*H713))/3)/(((J713/5)*200*I713*H713)+((J713*S713/2.5)*I713*H713)+((E713*F713*J713*S713*I713*H713)/12500000))/3*1000,"")</f>
        <v/>
      </c>
    </row>
    <row r="714">
      <c r="B714" s="7" t="inlineStr">
        <is>
          <t xml:space="preserve">  ↳ TKMQuadCannonAG</t>
        </is>
      </c>
      <c r="C714" s="7" t="inlineStr">
        <is>
          <t>Armament@AG</t>
        </is>
      </c>
      <c r="L714" s="6" t="n">
        <v>4000</v>
      </c>
      <c r="M714" s="6" t="n">
        <v>10</v>
      </c>
      <c r="N714" s="6" t="n">
        <v>1</v>
      </c>
      <c r="O714" s="6" t="n"/>
      <c r="P714" s="6" t="n">
        <v>5253</v>
      </c>
      <c r="Q714" s="6" t="n">
        <v>0.875</v>
      </c>
      <c r="R714">
        <f>M714+IF(N714&gt;1,N(O714)*(N714-1),0)</f>
        <v/>
      </c>
      <c r="S714">
        <f>IFERROR(L714*MAX(N714,1)/R714*IF(ISBLANK(K713),1,K713),0)</f>
        <v/>
      </c>
      <c r="AB714" s="7" t="inlineStr">
        <is>
          <t>^Warhead_Bullet_Light, ^Warhead_Flak_Medium</t>
        </is>
      </c>
    </row>
    <row r="715">
      <c r="B715" s="7" t="inlineStr">
        <is>
          <t xml:space="preserve">  ↳ TKMQuadCannonAA</t>
        </is>
      </c>
      <c r="C715" s="7" t="inlineStr">
        <is>
          <t>Armament@AA</t>
        </is>
      </c>
      <c r="L715" s="6" t="n">
        <v>4000</v>
      </c>
      <c r="M715" s="6" t="n">
        <v>10</v>
      </c>
      <c r="N715" s="6" t="n">
        <v>1</v>
      </c>
      <c r="O715" s="6" t="n"/>
      <c r="P715" s="6" t="n">
        <v>7880</v>
      </c>
      <c r="Q715" s="6" t="n">
        <v>0.875</v>
      </c>
      <c r="R715">
        <f>M715+IF(N715&gt;1,N(O715)*(N715-1),0)</f>
        <v/>
      </c>
      <c r="S715">
        <f>IFERROR(L715*MAX(N715,1)/R715*IF(ISBLANK(K713),1,K713),0)</f>
        <v/>
      </c>
      <c r="AB715" s="7" t="inlineStr">
        <is>
          <t>^Warhead_Bullet_Light, ^Warhead_Flak_Medium</t>
        </is>
      </c>
    </row>
    <row r="716">
      <c r="A716" t="inlineStr">
        <is>
          <t>redalert2mod</t>
        </is>
      </c>
      <c r="B716" t="inlineStr">
        <is>
          <t>tkm_radartruck</t>
        </is>
      </c>
      <c r="C716" t="inlineStr">
        <is>
          <t>Radar Truck</t>
        </is>
      </c>
      <c r="D716" s="6" t="inlineStr">
        <is>
          <t>SupportVehicle</t>
        </is>
      </c>
      <c r="E716" s="6" t="n">
        <v>75000</v>
      </c>
      <c r="F716" s="6" t="n">
        <v>75</v>
      </c>
      <c r="G716" t="inlineStr">
        <is>
          <t>Light</t>
        </is>
      </c>
      <c r="H716" s="6" t="n">
        <v>0.9016</v>
      </c>
      <c r="I716" s="6" t="n">
        <v>1</v>
      </c>
      <c r="J716" s="6" t="n">
        <v>1</v>
      </c>
      <c r="K716" s="6" t="n"/>
      <c r="X716" s="6" t="n">
        <v>1000</v>
      </c>
    </row>
    <row r="717">
      <c r="B717" s="7" t="inlineStr">
        <is>
          <t xml:space="preserve">  ↳ TKMLockOn</t>
        </is>
      </c>
      <c r="C717" s="7" t="inlineStr">
        <is>
          <t>Armament</t>
        </is>
      </c>
      <c r="L717" s="6" t="n"/>
      <c r="M717" s="6" t="n">
        <v>20</v>
      </c>
      <c r="N717" s="6" t="n">
        <v>1</v>
      </c>
      <c r="O717" s="6" t="n"/>
      <c r="P717" s="6" t="n">
        <v>10000</v>
      </c>
      <c r="Q717" s="6" t="n">
        <v>1</v>
      </c>
      <c r="R717">
        <f>M717+IF(N717&gt;1,N(O717)*(N717-1),0)</f>
        <v/>
      </c>
      <c r="S717">
        <f>IFERROR(L717*MAX(N717,1)/R717*IF(ISBLANK(K716),1,K716),0)</f>
        <v/>
      </c>
      <c r="AB717" s="7" t="inlineStr"/>
    </row>
    <row r="718">
      <c r="A718" t="inlineStr">
        <is>
          <t>redalert2mod</t>
        </is>
      </c>
      <c r="B718" t="inlineStr">
        <is>
          <t>tkm_repairtruck</t>
        </is>
      </c>
      <c r="C718" t="inlineStr">
        <is>
          <t>Repair Truck</t>
        </is>
      </c>
      <c r="D718" s="6" t="inlineStr">
        <is>
          <t>SupportVehicle</t>
        </is>
      </c>
      <c r="E718" s="6" t="n">
        <v>50000</v>
      </c>
      <c r="F718" s="6" t="n">
        <v>75</v>
      </c>
      <c r="G718" t="inlineStr">
        <is>
          <t>Light</t>
        </is>
      </c>
      <c r="H718" s="6" t="n">
        <v>0.9016</v>
      </c>
      <c r="I718" s="6" t="n">
        <v>1</v>
      </c>
      <c r="J718" s="6" t="n">
        <v>1</v>
      </c>
      <c r="K718" s="6" t="n"/>
      <c r="P718">
        <f>MAX(P719)</f>
        <v/>
      </c>
      <c r="S718">
        <f>S719</f>
        <v/>
      </c>
      <c r="T718">
        <f>(E718/100000+F718/100+(P718/1000)*J718/5+S718/200)*200*I718*H718</f>
        <v/>
      </c>
      <c r="U718">
        <f>((E718*F718/25000)+((P718/1000)*J718*S718/2.5))*I718*H718</f>
        <v/>
      </c>
      <c r="V718">
        <f>(E718*F718*(P718/1000)*J718*S718*I718*H718)/12500000</f>
        <v/>
      </c>
      <c r="W718">
        <f>(T718+U718+V718)/3</f>
        <v/>
      </c>
      <c r="X718" s="6" t="n">
        <v>1000</v>
      </c>
      <c r="Y718">
        <f>IFERROR(W718-X718,"")</f>
        <v/>
      </c>
      <c r="Z718">
        <f>IFERROR(ABS(Y718)/MAX(X718,1),"")</f>
        <v/>
      </c>
      <c r="AA718">
        <f>IFERROR((X718-(((E718/100000+F718/100+S718/200)*200*I718*H718)+((E718*F718/25000)*I718*H718))/3)/(((J718/5)*200*I718*H718)+((J718*S718/2.5)*I718*H718)+((E718*F718*J718*S718*I718*H718)/12500000))/3*1000,"")</f>
        <v/>
      </c>
    </row>
    <row r="719">
      <c r="B719" s="7" t="inlineStr">
        <is>
          <t xml:space="preserve">  ↳ RA2IFVRepair</t>
        </is>
      </c>
      <c r="C719" s="7" t="inlineStr">
        <is>
          <t>Armament@repair</t>
        </is>
      </c>
      <c r="L719" s="6" t="n">
        <v>-3000</v>
      </c>
      <c r="M719" s="6" t="n">
        <v>50</v>
      </c>
      <c r="N719" s="6" t="n">
        <v>10</v>
      </c>
      <c r="O719" s="6" t="n">
        <v>1</v>
      </c>
      <c r="P719" s="6" t="n">
        <v>5000</v>
      </c>
      <c r="Q719" s="6" t="n">
        <v>1</v>
      </c>
      <c r="R719">
        <f>M719+IF(N719&gt;1,N(O719)*(N719-1),0)</f>
        <v/>
      </c>
      <c r="S719">
        <f>IFERROR(L719*MAX(N719,1)/R719*IF(ISBLANK(K718),1,K718),0)</f>
        <v/>
      </c>
      <c r="AB719" s="7" t="inlineStr">
        <is>
          <t>^RepairWeapon</t>
        </is>
      </c>
    </row>
    <row r="720">
      <c r="A720" t="inlineStr">
        <is>
          <t>redalert2mod</t>
        </is>
      </c>
      <c r="B720" t="inlineStr">
        <is>
          <t>tkm_trenchtruck</t>
        </is>
      </c>
      <c r="C720" t="inlineStr">
        <is>
          <t>Trench Truck</t>
        </is>
      </c>
      <c r="D720" s="6" t="inlineStr">
        <is>
          <t>SupportVehicle</t>
        </is>
      </c>
      <c r="E720" s="6" t="n">
        <v>100000</v>
      </c>
      <c r="F720" s="6" t="n">
        <v>60</v>
      </c>
      <c r="G720" t="inlineStr">
        <is>
          <t>Heavy</t>
        </is>
      </c>
      <c r="H720" s="6" t="n">
        <v>0.4955</v>
      </c>
      <c r="I720" s="6" t="n">
        <v>1</v>
      </c>
      <c r="J720" s="6" t="n">
        <v>1</v>
      </c>
      <c r="K720" s="6" t="n"/>
      <c r="X720" s="6" t="n">
        <v>2500</v>
      </c>
    </row>
    <row r="721">
      <c r="A721" t="inlineStr">
        <is>
          <t>redalert2mod</t>
        </is>
      </c>
      <c r="B721" t="inlineStr">
        <is>
          <t>tkm_zaza</t>
        </is>
      </c>
      <c r="C721" t="inlineStr">
        <is>
          <t>TKM Zaza</t>
        </is>
      </c>
      <c r="D721" s="6" t="inlineStr">
        <is>
          <t>SupportVehicle</t>
        </is>
      </c>
      <c r="E721" s="6" t="n">
        <v>125000</v>
      </c>
      <c r="F721" s="6" t="n">
        <v>75</v>
      </c>
      <c r="G721" t="inlineStr">
        <is>
          <t>Light</t>
        </is>
      </c>
      <c r="H721" s="6" t="n">
        <v>0.4955</v>
      </c>
      <c r="I721" s="6" t="n">
        <v>1</v>
      </c>
      <c r="J721" s="6" t="n">
        <v>1</v>
      </c>
      <c r="K721" s="6" t="n"/>
      <c r="P721">
        <f>MAX(P722,P723)</f>
        <v/>
      </c>
      <c r="S721">
        <f>S722+S723</f>
        <v/>
      </c>
      <c r="T721">
        <f>(E721/100000+F721/100+(P721/1000)*J721/5+S721/200)*200*I721*H721</f>
        <v/>
      </c>
      <c r="U721">
        <f>((E721*F721/25000)+((P721/1000)*J721*S721/2.5))*I721*H721</f>
        <v/>
      </c>
      <c r="V721">
        <f>(E721*F721*(P721/1000)*J721*S721*I721*H721)/12500000</f>
        <v/>
      </c>
      <c r="W721">
        <f>(T721+U721+V721)/3</f>
        <v/>
      </c>
      <c r="X721" s="6" t="n">
        <v>1600</v>
      </c>
      <c r="Y721">
        <f>IFERROR(W721-X721,"")</f>
        <v/>
      </c>
      <c r="Z721">
        <f>IFERROR(ABS(Y721)/MAX(X721,1),"")</f>
        <v/>
      </c>
      <c r="AA721">
        <f>IFERROR((X721-(((E721/100000+F721/100+S721/200)*200*I721*H721)+((E721*F721/25000)*I721*H721))/3)/(((J721/5)*200*I721*H721)+((J721*S721/2.5)*I721*H721)+((E721*F721*J721*S721*I721*H721)/12500000))/3*1000,"")</f>
        <v/>
      </c>
    </row>
    <row r="722">
      <c r="B722" s="7" t="inlineStr">
        <is>
          <t xml:space="preserve">  ↳ TKMZazaCannonAG</t>
        </is>
      </c>
      <c r="C722" s="7" t="inlineStr">
        <is>
          <t>Armament@AG</t>
        </is>
      </c>
      <c r="L722" s="6" t="n">
        <v>4000</v>
      </c>
      <c r="M722" s="6" t="n">
        <v>8</v>
      </c>
      <c r="N722" s="6" t="n">
        <v>1</v>
      </c>
      <c r="O722" s="6" t="n"/>
      <c r="P722" s="6" t="n">
        <v>5284</v>
      </c>
      <c r="Q722" s="6" t="n">
        <v>0.875</v>
      </c>
      <c r="R722">
        <f>M722+IF(N722&gt;1,N(O722)*(N722-1),0)</f>
        <v/>
      </c>
      <c r="S722">
        <f>IFERROR(L722*MAX(N722,1)/R722*IF(ISBLANK(K721),1,K721),0)</f>
        <v/>
      </c>
      <c r="AB722" s="7" t="inlineStr">
        <is>
          <t>^Warhead_Bullet_Light, ^Warhead_Flak_Medium</t>
        </is>
      </c>
    </row>
    <row r="723">
      <c r="B723" s="7" t="inlineStr">
        <is>
          <t xml:space="preserve">  ↳ TKMZazaCannonAA</t>
        </is>
      </c>
      <c r="C723" s="7" t="inlineStr">
        <is>
          <t>Armament@AA</t>
        </is>
      </c>
      <c r="L723" s="6" t="n">
        <v>4000</v>
      </c>
      <c r="M723" s="6" t="n">
        <v>8</v>
      </c>
      <c r="N723" s="6" t="n">
        <v>1</v>
      </c>
      <c r="O723" s="6" t="n"/>
      <c r="P723" s="6" t="n">
        <v>7926</v>
      </c>
      <c r="Q723" s="6" t="n">
        <v>0.875</v>
      </c>
      <c r="R723">
        <f>M723+IF(N723&gt;1,N(O723)*(N723-1),0)</f>
        <v/>
      </c>
      <c r="S723">
        <f>IFERROR(L723*MAX(N723,1)/R723*IF(ISBLANK(K721),1,K721),0)</f>
        <v/>
      </c>
      <c r="AB723" s="7" t="inlineStr">
        <is>
          <t>^Warhead_Bullet_Light, ^Warhead_Flak_Medium</t>
        </is>
      </c>
    </row>
    <row r="724">
      <c r="A724" t="inlineStr">
        <is>
          <t>d2k</t>
        </is>
      </c>
      <c r="B724" t="inlineStr">
        <is>
          <t>ordos_apc</t>
        </is>
      </c>
      <c r="C724" t="inlineStr">
        <is>
          <t>Ordos APC</t>
        </is>
      </c>
      <c r="D724" s="6" t="inlineStr">
        <is>
          <t>SupportVehicle</t>
        </is>
      </c>
      <c r="E724" s="6" t="n">
        <v>67500</v>
      </c>
      <c r="F724" s="6" t="n">
        <v>105</v>
      </c>
      <c r="G724" t="inlineStr">
        <is>
          <t>Medium</t>
        </is>
      </c>
      <c r="H724" s="6" t="n">
        <v>1</v>
      </c>
      <c r="I724" s="6" t="n">
        <v>1.25</v>
      </c>
      <c r="J724" s="6" t="n">
        <v>1</v>
      </c>
      <c r="K724" s="6" t="n"/>
      <c r="P724">
        <f>MAX(P725)</f>
        <v/>
      </c>
      <c r="S724">
        <f>S725</f>
        <v/>
      </c>
      <c r="T724">
        <f>(E724/100000+F724/100+(P724/1000)*J724/5+S724/200)*200*I724*H724</f>
        <v/>
      </c>
      <c r="U724">
        <f>((E724*F724/25000)+((P724/1000)*J724*S724/2.5))*I724*H724</f>
        <v/>
      </c>
      <c r="V724">
        <f>(E724*F724*(P724/1000)*J724*S724*I724*H724)/12500000</f>
        <v/>
      </c>
      <c r="W724">
        <f>(T724+U724+V724)/3</f>
        <v/>
      </c>
      <c r="X724" s="6" t="n">
        <v>2100</v>
      </c>
      <c r="Y724">
        <f>IFERROR(W724-X724,"")</f>
        <v/>
      </c>
      <c r="Z724">
        <f>IFERROR(ABS(Y724)/MAX(X724,1),"")</f>
        <v/>
      </c>
      <c r="AA724">
        <f>IFERROR((X724-(((E724/100000+F724/100+S724/200)*200*I724*H724)+((E724*F724/25000)*I724*H724))/3)/(((J724/5)*200*I724*H724)+((J724*S724/2.5)*I724*H724)+((E724*F724*J724*S724*I724*H724)/12500000))/3*1000,"")</f>
        <v/>
      </c>
    </row>
    <row r="725">
      <c r="B725" s="7" t="inlineStr">
        <is>
          <t xml:space="preserve">  ↳ D2K_APC_Rocket</t>
        </is>
      </c>
      <c r="C725" s="7" t="inlineStr">
        <is>
          <t>Armament</t>
        </is>
      </c>
      <c r="L725" s="6" t="n">
        <v>24000</v>
      </c>
      <c r="M725" s="6" t="n">
        <v>42</v>
      </c>
      <c r="N725" s="6" t="n">
        <v>1</v>
      </c>
      <c r="O725" s="6" t="n"/>
      <c r="P725" s="6" t="n">
        <v>6500</v>
      </c>
      <c r="Q725" s="6" t="n">
        <v>1</v>
      </c>
      <c r="R725">
        <f>M725+IF(N725&gt;1,N(O725)*(N725-1),0)</f>
        <v/>
      </c>
      <c r="S725">
        <f>IFERROR(L725*MAX(N725,1)/R725*IF(ISBLANK(K724),1,K724),0)</f>
        <v/>
      </c>
      <c r="AB725" s="7" t="inlineStr">
        <is>
          <t>^Warhead_MissileAP_Light, ^Warhead_MissileAP_Medium, ^Warhead_MissileAP_Heavy</t>
        </is>
      </c>
    </row>
    <row r="726">
      <c r="A726" t="inlineStr">
        <is>
          <t>d2k</t>
        </is>
      </c>
      <c r="B726" t="inlineStr">
        <is>
          <t>ordos_laboratorycrawler</t>
        </is>
      </c>
      <c r="C726" t="inlineStr">
        <is>
          <t>Laboratory Crawler</t>
        </is>
      </c>
      <c r="D726" s="6" t="inlineStr">
        <is>
          <t>SupportVehicle</t>
        </is>
      </c>
      <c r="E726" s="6" t="n">
        <v>137500</v>
      </c>
      <c r="F726" s="6" t="n">
        <v>105</v>
      </c>
      <c r="G726" t="inlineStr">
        <is>
          <t>Medium</t>
        </is>
      </c>
      <c r="H726" s="6" t="n">
        <v>0.75</v>
      </c>
      <c r="I726" s="6" t="n">
        <v>1.25</v>
      </c>
      <c r="J726" s="6" t="n">
        <v>1</v>
      </c>
      <c r="K726" s="6" t="n"/>
      <c r="P726">
        <f>MAX(P727,P728,P729)</f>
        <v/>
      </c>
      <c r="S726">
        <f>S727+S728+S729</f>
        <v/>
      </c>
      <c r="T726">
        <f>(E726/100000+F726/100+(P726/1000)*J726/5+S726/200)*200*I726*H726</f>
        <v/>
      </c>
      <c r="U726">
        <f>((E726*F726/25000)+((P726/1000)*J726*S726/2.5))*I726*H726</f>
        <v/>
      </c>
      <c r="V726">
        <f>(E726*F726*(P726/1000)*J726*S726*I726*H726)/12500000</f>
        <v/>
      </c>
      <c r="W726">
        <f>(T726+U726+V726)/3</f>
        <v/>
      </c>
      <c r="X726" s="6" t="n">
        <v>4500</v>
      </c>
      <c r="Y726">
        <f>IFERROR(W726-X726,"")</f>
        <v/>
      </c>
      <c r="Z726">
        <f>IFERROR(ABS(Y726)/MAX(X726,1),"")</f>
        <v/>
      </c>
      <c r="AA726">
        <f>IFERROR((X726-(((E726/100000+F726/100+S726/200)*200*I726*H726)+((E726*F726/25000)*I726*H726))/3)/(((J726/5)*200*I726*H726)+((J726*S726/2.5)*I726*H726)+((E726*F726*J726*S726*I726*H726)/12500000))/3*1000,"")</f>
        <v/>
      </c>
    </row>
    <row r="727">
      <c r="B727" s="7" t="inlineStr">
        <is>
          <t xml:space="preserve">  ↳ Laboratory_Bioball</t>
        </is>
      </c>
      <c r="C727" s="7" t="inlineStr">
        <is>
          <t>Armament</t>
        </is>
      </c>
      <c r="L727" s="6" t="n">
        <v>50000</v>
      </c>
      <c r="M727" s="6" t="n">
        <v>42</v>
      </c>
      <c r="N727" s="6" t="n">
        <v>1</v>
      </c>
      <c r="O727" s="6" t="n"/>
      <c r="P727" s="6" t="n">
        <v>6500</v>
      </c>
      <c r="Q727" s="6" t="n">
        <v>1</v>
      </c>
      <c r="R727">
        <f>M727+IF(N727&gt;1,N(O727)*(N727-1),0)</f>
        <v/>
      </c>
      <c r="S727">
        <f>IFERROR(L727*MAX(N727,1)/R727*IF(ISBLANK(K726),1,K726),0)</f>
        <v/>
      </c>
      <c r="AB727" s="7" t="inlineStr">
        <is>
          <t>^Warhead_Demolition_Light, ^Warhead_Concussion_Medium, ^Warhead_CannonHE_Heavy</t>
        </is>
      </c>
    </row>
    <row r="728">
      <c r="B728" s="7" t="inlineStr">
        <is>
          <t xml:space="preserve">  ↳ D2K_APC_Rocket_AA</t>
        </is>
      </c>
      <c r="C728" s="7" t="inlineStr">
        <is>
          <t>Armament@aa1</t>
        </is>
      </c>
      <c r="L728" s="6" t="n">
        <v>24000</v>
      </c>
      <c r="M728" s="6" t="n">
        <v>42</v>
      </c>
      <c r="N728" s="6" t="n">
        <v>1</v>
      </c>
      <c r="O728" s="6" t="n"/>
      <c r="P728" s="6" t="n">
        <v>6500</v>
      </c>
      <c r="Q728" s="6" t="n">
        <v>1</v>
      </c>
      <c r="R728">
        <f>M728+IF(N728&gt;1,N(O728)*(N728-1),0)</f>
        <v/>
      </c>
      <c r="S728">
        <f>IFERROR(L728*MAX(N728,1)/R728*IF(ISBLANK(K726),1,K726),0)</f>
        <v/>
      </c>
      <c r="AB728" s="7" t="inlineStr">
        <is>
          <t>^Warhead_MissileAP_Light, ^Warhead_MissileAP_Medium, ^Warhead_MissileAP_Heavy</t>
        </is>
      </c>
    </row>
    <row r="729">
      <c r="B729" s="7" t="inlineStr">
        <is>
          <t xml:space="preserve">  ↳ D2K_APC_Rocket_AA</t>
        </is>
      </c>
      <c r="C729" s="7" t="inlineStr">
        <is>
          <t>Armament@aa2</t>
        </is>
      </c>
      <c r="L729" s="6" t="n">
        <v>24000</v>
      </c>
      <c r="M729" s="6" t="n">
        <v>42</v>
      </c>
      <c r="N729" s="6" t="n">
        <v>1</v>
      </c>
      <c r="O729" s="6" t="n"/>
      <c r="P729" s="6" t="n">
        <v>6500</v>
      </c>
      <c r="Q729" s="6" t="n">
        <v>1</v>
      </c>
      <c r="R729">
        <f>M729+IF(N729&gt;1,N(O729)*(N729-1),0)</f>
        <v/>
      </c>
      <c r="S729">
        <f>IFERROR(L729*MAX(N729,1)/R729*IF(ISBLANK(K726),1,K726),0)</f>
        <v/>
      </c>
      <c r="AB729" s="7" t="inlineStr">
        <is>
          <t>^Warhead_MissileAP_Light, ^Warhead_MissileAP_Medium, ^Warhead_MissileAP_Heavy</t>
        </is>
      </c>
    </row>
    <row r="730">
      <c r="A730" t="inlineStr">
        <is>
          <t>d2k</t>
        </is>
      </c>
      <c r="B730" t="inlineStr">
        <is>
          <t>ordos_mobileconstructionvehicle</t>
        </is>
      </c>
      <c r="C730" t="inlineStr">
        <is>
          <t>Ordos Mobile Construction Vehicle</t>
        </is>
      </c>
      <c r="D730" s="6" t="inlineStr">
        <is>
          <t>SupportVehicle</t>
        </is>
      </c>
      <c r="E730" s="6" t="n">
        <v>300000</v>
      </c>
      <c r="F730" s="6" t="n">
        <v>75</v>
      </c>
      <c r="G730" t="inlineStr">
        <is>
          <t>Medium</t>
        </is>
      </c>
      <c r="H730" s="6" t="n">
        <v>0.8048999999999999</v>
      </c>
      <c r="I730" s="6" t="n">
        <v>1</v>
      </c>
      <c r="J730" s="6" t="n">
        <v>1</v>
      </c>
      <c r="K730" s="6" t="n"/>
      <c r="X730" s="6" t="n">
        <v>5000</v>
      </c>
    </row>
    <row r="731">
      <c r="A731" t="inlineStr">
        <is>
          <t>d2k</t>
        </is>
      </c>
      <c r="B731" t="inlineStr">
        <is>
          <t>heavy_rocket_raider.ixian</t>
        </is>
      </c>
      <c r="C731" t="inlineStr">
        <is>
          <t>Heavy Ix Raider</t>
        </is>
      </c>
      <c r="D731" s="6" t="inlineStr">
        <is>
          <t>SupportVehicle</t>
        </is>
      </c>
      <c r="E731" s="6" t="n">
        <v>85000</v>
      </c>
      <c r="F731" s="6" t="n">
        <v>140</v>
      </c>
      <c r="G731" t="inlineStr">
        <is>
          <t>Heavy</t>
        </is>
      </c>
      <c r="H731" s="6" t="n">
        <v>1</v>
      </c>
      <c r="I731" s="6" t="n">
        <v>1.25</v>
      </c>
      <c r="J731" s="6" t="n">
        <v>1.25</v>
      </c>
      <c r="K731" s="6" t="n">
        <v>0.005</v>
      </c>
      <c r="P731">
        <f>MAX(P732,P733,P734)</f>
        <v/>
      </c>
      <c r="S731">
        <f>S732+S733+S734</f>
        <v/>
      </c>
      <c r="T731">
        <f>(E731/100000+F731/100+(P731/1000)*J731/5+S731/200)*200*I731*H731</f>
        <v/>
      </c>
      <c r="U731">
        <f>((E731*F731/25000)+((P731/1000)*J731*S731/2.5))*I731*H731</f>
        <v/>
      </c>
      <c r="V731">
        <f>(E731*F731*(P731/1000)*J731*S731*I731*H731)/12500000</f>
        <v/>
      </c>
      <c r="W731">
        <f>(T731+U731+V731)/3</f>
        <v/>
      </c>
      <c r="X731" s="6" t="n">
        <v>2000</v>
      </c>
      <c r="Y731">
        <f>IFERROR(W731-X731,"")</f>
        <v/>
      </c>
      <c r="Z731">
        <f>IFERROR(ABS(Y731)/MAX(X731,1),"")</f>
        <v/>
      </c>
      <c r="AA731">
        <f>IFERROR((X731-(((E731/100000+F731/100+S731/200)*200*I731*H731)+((E731*F731/25000)*I731*H731))/3)/(((J731/5)*200*I731*H731)+((J731*S731/2.5)*I731*H731)+((E731*F731*J731*S731*I731*H731)/12500000))/3*1000,"")</f>
        <v/>
      </c>
    </row>
    <row r="732">
      <c r="B732" s="7" t="inlineStr">
        <is>
          <t xml:space="preserve">  ↳ D2K_Bazooka2</t>
        </is>
      </c>
      <c r="C732" s="7" t="inlineStr">
        <is>
          <t>Armament@damage</t>
        </is>
      </c>
      <c r="L732" s="6" t="n">
        <v>6000</v>
      </c>
      <c r="M732" s="6" t="n">
        <v>5</v>
      </c>
      <c r="N732" s="6" t="n">
        <v>1</v>
      </c>
      <c r="O732" s="6" t="n"/>
      <c r="P732" s="6" t="n">
        <v>6400</v>
      </c>
      <c r="Q732" s="6" t="n">
        <v>1.25</v>
      </c>
      <c r="R732">
        <f>M732+IF(N732&gt;1,N(O732)*(N732-1),0)</f>
        <v/>
      </c>
      <c r="S732">
        <f>IFERROR(L732*MAX(N732,1)/R732*IF(ISBLANK(K731),1,K731),0)</f>
        <v/>
      </c>
      <c r="AB732" s="7" t="inlineStr">
        <is>
          <t>^Warhead_MissileAP_Heavy</t>
        </is>
      </c>
    </row>
    <row r="733">
      <c r="B733" s="7" t="inlineStr">
        <is>
          <t xml:space="preserve">  ↳ RaiderGuns</t>
        </is>
      </c>
      <c r="C733" s="7" t="inlineStr">
        <is>
          <t>Armament@Guns</t>
        </is>
      </c>
      <c r="L733" s="6" t="n">
        <v>4000</v>
      </c>
      <c r="M733" s="6" t="n">
        <v>40</v>
      </c>
      <c r="N733" s="6" t="n">
        <v>4</v>
      </c>
      <c r="O733" s="6" t="n">
        <v>2</v>
      </c>
      <c r="P733" s="6" t="n">
        <v>6400</v>
      </c>
      <c r="Q733" s="6" t="n">
        <v>0.875</v>
      </c>
      <c r="R733">
        <f>M733+IF(N733&gt;1,N(O733)*(N733-1),0)</f>
        <v/>
      </c>
      <c r="S733">
        <f>IFERROR(L733*MAX(N733,1)/R733*IF(ISBLANK(K731),1,K731),0)</f>
        <v/>
      </c>
      <c r="AB733" s="7" t="inlineStr">
        <is>
          <t>^Warhead_Bullet_Light, ^Warhead_Bullet_Medium</t>
        </is>
      </c>
    </row>
    <row r="734">
      <c r="B734" s="7" t="inlineStr">
        <is>
          <t xml:space="preserve">  ↳ RaiderGuns_upgrade</t>
        </is>
      </c>
      <c r="C734" s="7" t="inlineStr">
        <is>
          <t>Armament@Upgrade</t>
        </is>
      </c>
      <c r="L734" s="6" t="n">
        <v>6000</v>
      </c>
      <c r="M734" s="6" t="n">
        <v>40</v>
      </c>
      <c r="N734" s="6" t="n">
        <v>4</v>
      </c>
      <c r="O734" s="6" t="n">
        <v>2</v>
      </c>
      <c r="P734" s="6" t="n">
        <v>6400</v>
      </c>
      <c r="Q734" s="6" t="n">
        <v>1</v>
      </c>
      <c r="R734">
        <f>M734+IF(N734&gt;1,N(O734)*(N734-1),0)</f>
        <v/>
      </c>
      <c r="S734">
        <f>IFERROR(L734*MAX(N734,1)/R734*IF(ISBLANK(K731),1,K731),0)</f>
        <v/>
      </c>
      <c r="AB734" s="7" t="inlineStr">
        <is>
          <t>^Warhead_CannonHE_Heavy, ^Warhead_Bullet_Light, ^Warhead_Bullet_Medium</t>
        </is>
      </c>
    </row>
    <row r="735">
      <c r="A735" t="inlineStr">
        <is>
          <t>d2k</t>
        </is>
      </c>
      <c r="B735" t="inlineStr">
        <is>
          <t>ixian_mobileconstructionvehicle</t>
        </is>
      </c>
      <c r="C735" t="inlineStr">
        <is>
          <t>Ixian Mobile Construction Vehicle</t>
        </is>
      </c>
      <c r="D735" s="6" t="inlineStr">
        <is>
          <t>SupportVehicle</t>
        </is>
      </c>
      <c r="E735" s="6" t="n">
        <v>300000</v>
      </c>
      <c r="F735" s="6" t="n">
        <v>75</v>
      </c>
      <c r="G735" t="inlineStr">
        <is>
          <t>Medium</t>
        </is>
      </c>
      <c r="H735" s="6" t="n">
        <v>0.8048999999999999</v>
      </c>
      <c r="I735" s="6" t="n">
        <v>1</v>
      </c>
      <c r="J735" s="6" t="n">
        <v>1</v>
      </c>
      <c r="K735" s="6" t="n"/>
      <c r="X735" s="6" t="n">
        <v>5000</v>
      </c>
    </row>
    <row r="736">
      <c r="A736" t="inlineStr">
        <is>
          <t>d2k</t>
        </is>
      </c>
      <c r="B736" t="inlineStr">
        <is>
          <t>rocket_raider.ixian</t>
        </is>
      </c>
      <c r="C736" t="inlineStr">
        <is>
          <t>Ix Raider</t>
        </is>
      </c>
      <c r="D736" s="6" t="inlineStr">
        <is>
          <t>SupportVehicle</t>
        </is>
      </c>
      <c r="E736" s="6" t="n">
        <v>25000</v>
      </c>
      <c r="F736" s="6" t="n">
        <v>160</v>
      </c>
      <c r="G736" t="inlineStr">
        <is>
          <t>Medium</t>
        </is>
      </c>
      <c r="H736" s="6" t="n">
        <v>1</v>
      </c>
      <c r="I736" s="6" t="n">
        <v>1.25</v>
      </c>
      <c r="J736" s="6" t="n">
        <v>1.25</v>
      </c>
      <c r="K736" s="6" t="n"/>
      <c r="P736">
        <f>MAX(P737)</f>
        <v/>
      </c>
      <c r="S736">
        <f>S737</f>
        <v/>
      </c>
      <c r="T736">
        <f>(E736/100000+F736/100+(P736/1000)*J736/5+S736/200)*200*I736*H736</f>
        <v/>
      </c>
      <c r="U736">
        <f>((E736*F736/25000)+((P736/1000)*J736*S736/2.5))*I736*H736</f>
        <v/>
      </c>
      <c r="V736">
        <f>(E736*F736*(P736/1000)*J736*S736*I736*H736)/12500000</f>
        <v/>
      </c>
      <c r="W736">
        <f>(T736+U736+V736)/3</f>
        <v/>
      </c>
      <c r="X736" s="6" t="n">
        <v>1200</v>
      </c>
      <c r="Y736">
        <f>IFERROR(W736-X736,"")</f>
        <v/>
      </c>
      <c r="Z736">
        <f>IFERROR(ABS(Y736)/MAX(X736,1),"")</f>
        <v/>
      </c>
      <c r="AA736">
        <f>IFERROR((X736-(((E736/100000+F736/100+S736/200)*200*I736*H736)+((E736*F736/25000)*I736*H736))/3)/(((J736/5)*200*I736*H736)+((J736*S736/2.5)*I736*H736)+((E736*F736*J736*S736*I736*H736)/12500000))/3*1000,"")</f>
        <v/>
      </c>
    </row>
    <row r="737">
      <c r="B737" s="7" t="inlineStr">
        <is>
          <t xml:space="preserve">  ↳ D2K_Bazooka2</t>
        </is>
      </c>
      <c r="C737" s="7" t="inlineStr">
        <is>
          <t>Armament@damage</t>
        </is>
      </c>
      <c r="L737" s="6" t="n">
        <v>6000</v>
      </c>
      <c r="M737" s="6" t="n">
        <v>5</v>
      </c>
      <c r="N737" s="6" t="n">
        <v>1</v>
      </c>
      <c r="O737" s="6" t="n"/>
      <c r="P737" s="6" t="n">
        <v>6400</v>
      </c>
      <c r="Q737" s="6" t="n">
        <v>1.25</v>
      </c>
      <c r="R737">
        <f>M737+IF(N737&gt;1,N(O737)*(N737-1),0)</f>
        <v/>
      </c>
      <c r="S737">
        <f>IFERROR(L737*MAX(N737,1)/R737*IF(ISBLANK(K736),1,K736),0)</f>
        <v/>
      </c>
      <c r="AB737" s="7" t="inlineStr">
        <is>
          <t>^Warhead_MissileAP_Heavy</t>
        </is>
      </c>
    </row>
    <row r="738">
      <c r="A738" t="inlineStr">
        <is>
          <t>d2k</t>
        </is>
      </c>
      <c r="B738" t="inlineStr">
        <is>
          <t>atreides_mobileconstructionvehicle</t>
        </is>
      </c>
      <c r="C738" t="inlineStr">
        <is>
          <t>Atreides Mobile Construction Vehicle</t>
        </is>
      </c>
      <c r="D738" s="6" t="inlineStr">
        <is>
          <t>SupportVehicle</t>
        </is>
      </c>
      <c r="E738" s="6" t="n">
        <v>300000</v>
      </c>
      <c r="F738" s="6" t="n">
        <v>75</v>
      </c>
      <c r="G738" t="inlineStr">
        <is>
          <t>Medium</t>
        </is>
      </c>
      <c r="H738" s="6" t="n">
        <v>0.8919</v>
      </c>
      <c r="I738" s="6" t="n">
        <v>1</v>
      </c>
      <c r="J738" s="6" t="n">
        <v>1</v>
      </c>
      <c r="K738" s="6" t="n"/>
      <c r="X738" s="6" t="n">
        <v>5000</v>
      </c>
    </row>
    <row r="739">
      <c r="A739" t="inlineStr">
        <is>
          <t>d2k</t>
        </is>
      </c>
      <c r="B739" t="inlineStr">
        <is>
          <t>harkonnen_mobileconstructionvehicle</t>
        </is>
      </c>
      <c r="C739" t="inlineStr">
        <is>
          <t>Harkonnen Mobile Construction Vehicle</t>
        </is>
      </c>
      <c r="D739" s="6" t="inlineStr">
        <is>
          <t>SupportVehicle</t>
        </is>
      </c>
      <c r="E739" s="6" t="n">
        <v>300000</v>
      </c>
      <c r="F739" s="6" t="n">
        <v>75</v>
      </c>
      <c r="G739" t="inlineStr">
        <is>
          <t>Medium</t>
        </is>
      </c>
      <c r="H739" s="6" t="n">
        <v>0.8048999999999999</v>
      </c>
      <c r="I739" s="6" t="n">
        <v>1</v>
      </c>
      <c r="J739" s="6" t="n">
        <v>1</v>
      </c>
      <c r="K739" s="6" t="n"/>
      <c r="X739" s="6" t="n">
        <v>5000</v>
      </c>
    </row>
    <row r="740">
      <c r="A740" t="inlineStr">
        <is>
          <t>starcraft</t>
        </is>
      </c>
      <c r="B740" t="inlineStr">
        <is>
          <t>protoss_analogue</t>
        </is>
      </c>
      <c r="C740" t="inlineStr">
        <is>
          <t>Analogue</t>
        </is>
      </c>
      <c r="D740" s="6" t="inlineStr">
        <is>
          <t>SupportVehicle</t>
        </is>
      </c>
      <c r="E740" s="6" t="n">
        <v>60000</v>
      </c>
      <c r="F740" s="6" t="n">
        <v>60</v>
      </c>
      <c r="G740" t="inlineStr">
        <is>
          <t>Light</t>
        </is>
      </c>
      <c r="H740" s="6" t="n">
        <v>1</v>
      </c>
      <c r="I740" s="6" t="n">
        <v>1</v>
      </c>
      <c r="J740" s="6" t="n">
        <v>1</v>
      </c>
      <c r="K740" s="6" t="n"/>
      <c r="P740">
        <f>MAX(P741,P742)</f>
        <v/>
      </c>
      <c r="S740">
        <f>S741+S742</f>
        <v/>
      </c>
      <c r="T740">
        <f>(E740/100000+F740/100+(P740/1000)*J740/5+S740/200)*200*I740*H740</f>
        <v/>
      </c>
      <c r="U740">
        <f>((E740*F740/25000)+((P740/1000)*J740*S740/2.5))*I740*H740</f>
        <v/>
      </c>
      <c r="V740">
        <f>(E740*F740*(P740/1000)*J740*S740*I740*H740)/12500000</f>
        <v/>
      </c>
      <c r="W740">
        <f>(T740+U740+V740)/3</f>
        <v/>
      </c>
      <c r="X740" s="6" t="n">
        <v>1200</v>
      </c>
      <c r="Y740">
        <f>IFERROR(W740-X740,"")</f>
        <v/>
      </c>
      <c r="Z740">
        <f>IFERROR(ABS(Y740)/MAX(X740,1),"")</f>
        <v/>
      </c>
      <c r="AA740">
        <f>IFERROR((X740-(((E740/100000+F740/100+S740/200)*200*I740*H740)+((E740*F740/25000)*I740*H740))/3)/(((J740/5)*200*I740*H740)+((J740*S740/2.5)*I740*H740)+((E740*F740*J740*S740*I740*H740)/12500000))/3*1000,"")</f>
        <v/>
      </c>
    </row>
    <row r="741">
      <c r="B741" s="7" t="inlineStr">
        <is>
          <t xml:space="preserve">  ↳ SCVAttack</t>
        </is>
      </c>
      <c r="C741" s="7" t="inlineStr">
        <is>
          <t>Armament</t>
        </is>
      </c>
      <c r="L741" s="6" t="n">
        <v>10000</v>
      </c>
      <c r="M741" s="6" t="n">
        <v>25</v>
      </c>
      <c r="N741" s="6" t="n">
        <v>1</v>
      </c>
      <c r="O741" s="6" t="n"/>
      <c r="P741" s="6" t="n">
        <v>1500</v>
      </c>
      <c r="Q741" s="6" t="n">
        <v>1</v>
      </c>
      <c r="R741">
        <f>M741+IF(N741&gt;1,N(O741)*(N741-1),0)</f>
        <v/>
      </c>
      <c r="S741">
        <f>IFERROR(L741*MAX(N741,1)/R741*IF(ISBLANK(K740),1,K740),0)</f>
        <v/>
      </c>
      <c r="AB741" s="7" t="inlineStr">
        <is>
          <t>^Warhead_Melee_Medium</t>
        </is>
      </c>
    </row>
    <row r="742">
      <c r="B742" s="7" t="inlineStr">
        <is>
          <t xml:space="preserve">  ↳ SCVRepair</t>
        </is>
      </c>
      <c r="C742" s="7" t="inlineStr">
        <is>
          <t>Armament@repair</t>
        </is>
      </c>
      <c r="L742" s="6" t="n">
        <v>-3000</v>
      </c>
      <c r="M742" s="6" t="n">
        <v>5</v>
      </c>
      <c r="N742" s="6" t="n">
        <v>10</v>
      </c>
      <c r="O742" s="6" t="n">
        <v>1</v>
      </c>
      <c r="P742" s="6" t="n">
        <v>2000</v>
      </c>
      <c r="Q742" s="6" t="n">
        <v>1</v>
      </c>
      <c r="R742">
        <f>M742+IF(N742&gt;1,N(O742)*(N742-1),0)</f>
        <v/>
      </c>
      <c r="S742">
        <f>IFERROR(L742*MAX(N742,1)/R742*IF(ISBLANK(K740),1,K740),0)</f>
        <v/>
      </c>
      <c r="AB742" s="7" t="inlineStr">
        <is>
          <t>^RepairWeapon</t>
        </is>
      </c>
    </row>
    <row r="743">
      <c r="A743" t="inlineStr">
        <is>
          <t>starcraft</t>
        </is>
      </c>
      <c r="B743" t="inlineStr">
        <is>
          <t>protoss_manifold</t>
        </is>
      </c>
      <c r="C743" t="inlineStr">
        <is>
          <t>Manifold</t>
        </is>
      </c>
      <c r="D743" s="6" t="inlineStr">
        <is>
          <t>SupportVehicle</t>
        </is>
      </c>
      <c r="E743" s="6" t="n">
        <v>25000</v>
      </c>
      <c r="F743" s="6" t="n">
        <v>75</v>
      </c>
      <c r="G743" t="inlineStr">
        <is>
          <t>Light</t>
        </is>
      </c>
      <c r="H743" s="6" t="n">
        <v>1</v>
      </c>
      <c r="I743" s="6" t="n">
        <v>1</v>
      </c>
      <c r="J743" s="6" t="n">
        <v>1.25</v>
      </c>
      <c r="K743" s="6" t="n"/>
      <c r="P743">
        <f>MAX(P744,P745)</f>
        <v/>
      </c>
      <c r="S743">
        <f>S744+S745</f>
        <v/>
      </c>
      <c r="T743">
        <f>(E743/100000+F743/100+(P743/1000)*J743/5+S743/200)*200*I743*H743</f>
        <v/>
      </c>
      <c r="U743">
        <f>((E743*F743/25000)+((P743/1000)*J743*S743/2.5))*I743*H743</f>
        <v/>
      </c>
      <c r="V743">
        <f>(E743*F743*(P743/1000)*J743*S743*I743*H743)/12500000</f>
        <v/>
      </c>
      <c r="W743">
        <f>(T743+U743+V743)/3</f>
        <v/>
      </c>
      <c r="X743" s="6" t="n">
        <v>600</v>
      </c>
      <c r="Y743">
        <f>IFERROR(W743-X743,"")</f>
        <v/>
      </c>
      <c r="Z743">
        <f>IFERROR(ABS(Y743)/MAX(X743,1),"")</f>
        <v/>
      </c>
      <c r="AA743">
        <f>IFERROR((X743-(((E743/100000+F743/100+S743/200)*200*I743*H743)+((E743*F743/25000)*I743*H743))/3)/(((J743/5)*200*I743*H743)+((J743*S743/2.5)*I743*H743)+((E743*F743*J743*S743*I743*H743)/12500000))/3*1000,"")</f>
        <v/>
      </c>
    </row>
    <row r="744">
      <c r="B744" s="7" t="inlineStr">
        <is>
          <t xml:space="preserve">  ↳ ManifoldMG</t>
        </is>
      </c>
      <c r="C744" s="7" t="inlineStr">
        <is>
          <t>Armament</t>
        </is>
      </c>
      <c r="L744" s="6" t="n">
        <v>6000</v>
      </c>
      <c r="M744" s="6" t="n">
        <v>20</v>
      </c>
      <c r="N744" s="6" t="n">
        <v>1</v>
      </c>
      <c r="O744" s="6" t="n"/>
      <c r="P744" s="6" t="n">
        <v>4780</v>
      </c>
      <c r="Q744" s="6" t="n">
        <v>1</v>
      </c>
      <c r="R744">
        <f>M744+IF(N744&gt;1,N(O744)*(N744-1),0)</f>
        <v/>
      </c>
      <c r="S744">
        <f>IFERROR(L744*MAX(N744,1)/R744*IF(ISBLANK(K743),1,K743),0)</f>
        <v/>
      </c>
      <c r="AB744" s="7" t="inlineStr">
        <is>
          <t>^Warhead_Concussion_Light, ^Warhead_CannonHE_Heavy, ^Warhead_Bullet_Medium</t>
        </is>
      </c>
    </row>
    <row r="745">
      <c r="B745" s="7" t="inlineStr">
        <is>
          <t xml:space="preserve">  ↳ ManifoldMG_AA</t>
        </is>
      </c>
      <c r="C745" s="7" t="inlineStr">
        <is>
          <t>Armament@AA</t>
        </is>
      </c>
      <c r="L745" s="6" t="n">
        <v>6000</v>
      </c>
      <c r="M745" s="6" t="n">
        <v>20</v>
      </c>
      <c r="N745" s="6" t="n">
        <v>1</v>
      </c>
      <c r="O745" s="6" t="n"/>
      <c r="P745" s="6" t="n">
        <v>7170</v>
      </c>
      <c r="Q745" s="6" t="n">
        <v>1</v>
      </c>
      <c r="R745">
        <f>M745+IF(N745&gt;1,N(O745)*(N745-1),0)</f>
        <v/>
      </c>
      <c r="S745">
        <f>IFERROR(L745*MAX(N745,1)/R745*IF(ISBLANK(K743),1,K743),0)</f>
        <v/>
      </c>
      <c r="AB745" s="7" t="inlineStr">
        <is>
          <t>^Warhead_Concussion_Light, ^Warhead_CannonHE_Heavy, ^Warhead_Bullet_Medium</t>
        </is>
      </c>
    </row>
    <row r="746">
      <c r="A746" t="inlineStr">
        <is>
          <t>starcraft</t>
        </is>
      </c>
      <c r="B746" t="inlineStr">
        <is>
          <t>protoss_mobilenexus</t>
        </is>
      </c>
      <c r="C746" t="inlineStr">
        <is>
          <t>Protoss Mobile Nexus</t>
        </is>
      </c>
      <c r="D746" s="6" t="inlineStr">
        <is>
          <t>SupportVehicle</t>
        </is>
      </c>
      <c r="E746" s="6" t="n">
        <v>300000</v>
      </c>
      <c r="F746" s="6" t="n">
        <v>75</v>
      </c>
      <c r="G746" t="inlineStr">
        <is>
          <t>Medium</t>
        </is>
      </c>
      <c r="H746" s="6" t="n">
        <v>1</v>
      </c>
      <c r="I746" s="6" t="n">
        <v>1</v>
      </c>
      <c r="J746" s="6" t="n">
        <v>1</v>
      </c>
      <c r="K746" s="6" t="n"/>
      <c r="X746" s="6" t="n">
        <v>5000</v>
      </c>
    </row>
    <row r="747">
      <c r="A747" t="inlineStr">
        <is>
          <t>starcraft</t>
        </is>
      </c>
      <c r="B747" t="inlineStr">
        <is>
          <t>zerg_hatcherydrone</t>
        </is>
      </c>
      <c r="C747" t="inlineStr">
        <is>
          <t>Zerg Hatchery Drone</t>
        </is>
      </c>
      <c r="D747" s="6" t="inlineStr">
        <is>
          <t>SupportVehicle</t>
        </is>
      </c>
      <c r="E747" s="6" t="n">
        <v>300000</v>
      </c>
      <c r="F747" s="6" t="n">
        <v>75</v>
      </c>
      <c r="G747" t="inlineStr">
        <is>
          <t>Medium</t>
        </is>
      </c>
      <c r="H747" s="6" t="n">
        <v>1</v>
      </c>
      <c r="I747" s="6" t="n">
        <v>1</v>
      </c>
      <c r="J747" s="6" t="n">
        <v>1</v>
      </c>
      <c r="K747" s="6" t="n"/>
      <c r="X747" s="6" t="n">
        <v>5000</v>
      </c>
    </row>
    <row r="748">
      <c r="A748" t="inlineStr">
        <is>
          <t>starcraft</t>
        </is>
      </c>
      <c r="B748" t="inlineStr">
        <is>
          <t>terran_mobilecommandcenter</t>
        </is>
      </c>
      <c r="C748" t="inlineStr">
        <is>
          <t>Terran Mobile Command Center</t>
        </is>
      </c>
      <c r="D748" s="6" t="inlineStr">
        <is>
          <t>SupportVehicle</t>
        </is>
      </c>
      <c r="E748" s="6" t="n">
        <v>300000</v>
      </c>
      <c r="F748" s="6" t="n">
        <v>75</v>
      </c>
      <c r="G748" t="inlineStr">
        <is>
          <t>Medium</t>
        </is>
      </c>
      <c r="H748" s="6" t="n">
        <v>1</v>
      </c>
      <c r="I748" s="6" t="n">
        <v>1</v>
      </c>
      <c r="J748" s="6" t="n">
        <v>1</v>
      </c>
      <c r="K748" s="6" t="n"/>
      <c r="X748" s="6" t="n">
        <v>5000</v>
      </c>
    </row>
    <row r="749">
      <c r="A749" t="inlineStr">
        <is>
          <t>warcraft2</t>
        </is>
      </c>
      <c r="B749" t="inlineStr">
        <is>
          <t>wc2_orcs_mobileconstructionvehicleorc</t>
        </is>
      </c>
      <c r="C749" t="inlineStr">
        <is>
          <t>Mobile Construction Vehicle (Orc)</t>
        </is>
      </c>
      <c r="D749" s="6" t="inlineStr">
        <is>
          <t>SupportVehicle</t>
        </is>
      </c>
      <c r="E749" s="6" t="n">
        <v>300000</v>
      </c>
      <c r="F749" s="6" t="n">
        <v>75</v>
      </c>
      <c r="G749" t="inlineStr">
        <is>
          <t>Plate</t>
        </is>
      </c>
      <c r="H749" s="6" t="n">
        <v>1</v>
      </c>
      <c r="I749" s="6" t="n">
        <v>1</v>
      </c>
      <c r="J749" s="6" t="n">
        <v>1</v>
      </c>
      <c r="K749" s="6" t="n"/>
      <c r="X749" s="6" t="n">
        <v>5000</v>
      </c>
    </row>
    <row r="750">
      <c r="A750" t="inlineStr">
        <is>
          <t>warcraft2</t>
        </is>
      </c>
      <c r="B750" t="inlineStr">
        <is>
          <t>wc2_humans_mobileconstructionvehiclehuman</t>
        </is>
      </c>
      <c r="C750" t="inlineStr">
        <is>
          <t>Mobile Construction Vehicle (Human)</t>
        </is>
      </c>
      <c r="D750" s="6" t="inlineStr">
        <is>
          <t>SupportVehicle</t>
        </is>
      </c>
      <c r="E750" s="6" t="n">
        <v>300000</v>
      </c>
      <c r="F750" s="6" t="n">
        <v>75</v>
      </c>
      <c r="G750" t="inlineStr">
        <is>
          <t>Plate</t>
        </is>
      </c>
      <c r="H750" s="6" t="n">
        <v>0.9762999999999999</v>
      </c>
      <c r="I750" s="6" t="n">
        <v>1</v>
      </c>
      <c r="J750" s="6" t="n">
        <v>1</v>
      </c>
      <c r="K750" s="6" t="n"/>
      <c r="X750" s="6" t="n">
        <v>5000</v>
      </c>
    </row>
    <row r="751">
      <c r="A751" s="4" t="inlineStr">
        <is>
          <t>Harvester</t>
        </is>
      </c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</row>
    <row r="752">
      <c r="A752" t="inlineStr">
        <is>
          <t>tiberiandawn</t>
        </is>
      </c>
      <c r="B752" t="inlineStr">
        <is>
          <t>td_gdi_tiberiumharvester</t>
        </is>
      </c>
      <c r="C752" t="inlineStr">
        <is>
          <t>GDI Tiberium Harvester</t>
        </is>
      </c>
      <c r="D752" s="6" t="inlineStr">
        <is>
          <t>Harvester</t>
        </is>
      </c>
      <c r="E752" s="6" t="n">
        <v>150000</v>
      </c>
      <c r="F752" s="6" t="n">
        <v>60</v>
      </c>
      <c r="G752" t="inlineStr">
        <is>
          <t>Heavy</t>
        </is>
      </c>
      <c r="H752" s="6" t="n">
        <v>0.8919</v>
      </c>
      <c r="I752" s="6" t="n">
        <v>1</v>
      </c>
      <c r="J752" s="6" t="n">
        <v>1</v>
      </c>
      <c r="K752" s="6" t="n"/>
      <c r="X752" s="6" t="n">
        <v>1000</v>
      </c>
    </row>
    <row r="753">
      <c r="A753" t="inlineStr">
        <is>
          <t>tiberiandawn</t>
        </is>
      </c>
      <c r="B753" t="inlineStr">
        <is>
          <t>td_nod_stealthharvester</t>
        </is>
      </c>
      <c r="C753" t="inlineStr">
        <is>
          <t>Stealth Harvester</t>
        </is>
      </c>
      <c r="D753" s="6" t="inlineStr">
        <is>
          <t>Harvester</t>
        </is>
      </c>
      <c r="E753" s="6" t="n">
        <v>125000</v>
      </c>
      <c r="F753" s="6" t="n">
        <v>75</v>
      </c>
      <c r="G753" t="inlineStr">
        <is>
          <t>Heavy</t>
        </is>
      </c>
      <c r="H753" s="6" t="n">
        <v>0.9429</v>
      </c>
      <c r="I753" s="6" t="n">
        <v>1</v>
      </c>
      <c r="J753" s="6" t="n">
        <v>1</v>
      </c>
      <c r="K753" s="6" t="n"/>
      <c r="X753" s="6" t="n">
        <v>1000</v>
      </c>
    </row>
    <row r="754">
      <c r="A754" t="inlineStr">
        <is>
          <t>tiberiandawn</t>
        </is>
      </c>
      <c r="B754" t="inlineStr">
        <is>
          <t>td_nod_tiberiumharvester</t>
        </is>
      </c>
      <c r="C754" t="inlineStr">
        <is>
          <t>Nod Tiberium Harvester</t>
        </is>
      </c>
      <c r="D754" s="6" t="inlineStr">
        <is>
          <t>Harvester</t>
        </is>
      </c>
      <c r="E754" s="6" t="n">
        <v>150000</v>
      </c>
      <c r="F754" s="6" t="n">
        <v>60</v>
      </c>
      <c r="G754" t="inlineStr">
        <is>
          <t>Heavy</t>
        </is>
      </c>
      <c r="H754" s="6" t="n">
        <v>0.9429</v>
      </c>
      <c r="I754" s="6" t="n">
        <v>1</v>
      </c>
      <c r="J754" s="6" t="n">
        <v>1</v>
      </c>
      <c r="K754" s="6" t="n"/>
      <c r="X754" s="6" t="n">
        <v>1000</v>
      </c>
    </row>
    <row r="755">
      <c r="A755" t="inlineStr">
        <is>
          <t>redalert</t>
        </is>
      </c>
      <c r="B755" t="inlineStr">
        <is>
          <t>japan_japaneseoretruck</t>
        </is>
      </c>
      <c r="C755" t="inlineStr">
        <is>
          <t>Japanese Ore Truck</t>
        </is>
      </c>
      <c r="D755" s="6" t="inlineStr">
        <is>
          <t>Harvester</t>
        </is>
      </c>
      <c r="E755" s="6" t="n">
        <v>75000</v>
      </c>
      <c r="F755" s="6" t="n">
        <v>120</v>
      </c>
      <c r="G755" t="inlineStr">
        <is>
          <t>Light</t>
        </is>
      </c>
      <c r="H755" s="6" t="n">
        <v>1</v>
      </c>
      <c r="I755" s="6" t="n">
        <v>1</v>
      </c>
      <c r="J755" s="6" t="n">
        <v>1</v>
      </c>
      <c r="K755" s="6" t="n"/>
      <c r="X755" s="6" t="n">
        <v>1000</v>
      </c>
    </row>
    <row r="756">
      <c r="A756" t="inlineStr">
        <is>
          <t>redalert</t>
        </is>
      </c>
      <c r="B756" t="inlineStr">
        <is>
          <t>ra1_soviets_heavyindustrialminer</t>
        </is>
      </c>
      <c r="C756" t="inlineStr">
        <is>
          <t>Soviet Heavy Industrial Miner</t>
        </is>
      </c>
      <c r="D756" s="6" t="inlineStr">
        <is>
          <t>Harvester</t>
        </is>
      </c>
      <c r="E756" s="6" t="n">
        <v>135000</v>
      </c>
      <c r="F756" s="6" t="n">
        <v>80</v>
      </c>
      <c r="G756" t="inlineStr">
        <is>
          <t>Medium</t>
        </is>
      </c>
      <c r="H756" s="6" t="n">
        <v>0.8919</v>
      </c>
      <c r="I756" s="6" t="n">
        <v>1</v>
      </c>
      <c r="J756" s="6" t="n">
        <v>1</v>
      </c>
      <c r="K756" s="6" t="n"/>
      <c r="X756" s="6" t="n">
        <v>1200</v>
      </c>
    </row>
    <row r="757">
      <c r="A757" t="inlineStr">
        <is>
          <t>redalert</t>
        </is>
      </c>
      <c r="B757" t="inlineStr">
        <is>
          <t>ra1_soviets_oretruck</t>
        </is>
      </c>
      <c r="C757" t="inlineStr">
        <is>
          <t>Soviet Ore Truck</t>
        </is>
      </c>
      <c r="D757" s="6" t="inlineStr">
        <is>
          <t>Harvester</t>
        </is>
      </c>
      <c r="E757" s="6" t="n">
        <v>100000</v>
      </c>
      <c r="F757" s="6" t="n">
        <v>90</v>
      </c>
      <c r="G757" t="inlineStr">
        <is>
          <t>Medium</t>
        </is>
      </c>
      <c r="H757" s="6" t="n">
        <v>1</v>
      </c>
      <c r="I757" s="6" t="n">
        <v>1</v>
      </c>
      <c r="J757" s="6" t="n">
        <v>1</v>
      </c>
      <c r="K757" s="6" t="n"/>
      <c r="X757" s="6" t="n">
        <v>1000</v>
      </c>
    </row>
    <row r="758">
      <c r="A758" t="inlineStr">
        <is>
          <t>redalert</t>
        </is>
      </c>
      <c r="B758" t="inlineStr">
        <is>
          <t>ra1_allies_alliedoretruck</t>
        </is>
      </c>
      <c r="C758" t="inlineStr">
        <is>
          <t>Allied Ore Truck</t>
        </is>
      </c>
      <c r="D758" s="6" t="inlineStr">
        <is>
          <t>Harvester</t>
        </is>
      </c>
      <c r="E758" s="6" t="n">
        <v>100000</v>
      </c>
      <c r="F758" s="6" t="n">
        <v>90</v>
      </c>
      <c r="G758" t="inlineStr">
        <is>
          <t>Medium</t>
        </is>
      </c>
      <c r="H758" s="6" t="n">
        <v>1</v>
      </c>
      <c r="I758" s="6" t="n">
        <v>1</v>
      </c>
      <c r="J758" s="6" t="n">
        <v>1</v>
      </c>
      <c r="K758" s="6" t="n"/>
      <c r="X758" s="6" t="n">
        <v>1000</v>
      </c>
    </row>
    <row r="759">
      <c r="A759" t="inlineStr">
        <is>
          <t>tiberiansun</t>
        </is>
      </c>
      <c r="B759" t="inlineStr">
        <is>
          <t>cabal_tiberiumharvester</t>
        </is>
      </c>
      <c r="C759" t="inlineStr">
        <is>
          <t>Tiberium Harvester</t>
        </is>
      </c>
      <c r="D759" s="6" t="inlineStr">
        <is>
          <t>Harvester</t>
        </is>
      </c>
      <c r="E759" s="6" t="n">
        <v>150000</v>
      </c>
      <c r="F759" s="6" t="n">
        <v>60</v>
      </c>
      <c r="G759" t="inlineStr">
        <is>
          <t>Heavy</t>
        </is>
      </c>
      <c r="H759" s="6" t="n">
        <v>1</v>
      </c>
      <c r="I759" s="6" t="n">
        <v>1</v>
      </c>
      <c r="J759" s="6" t="n">
        <v>1</v>
      </c>
      <c r="K759" s="6" t="n"/>
      <c r="X759" s="6" t="n">
        <v>1000</v>
      </c>
    </row>
    <row r="760">
      <c r="A760" t="inlineStr">
        <is>
          <t>tiberiansun</t>
        </is>
      </c>
      <c r="B760" t="inlineStr">
        <is>
          <t>ts_nod_tiberiumharvester</t>
        </is>
      </c>
      <c r="C760" t="inlineStr">
        <is>
          <t>Tiberium Harvester</t>
        </is>
      </c>
      <c r="D760" s="6" t="inlineStr">
        <is>
          <t>Harvester</t>
        </is>
      </c>
      <c r="E760" s="6" t="n">
        <v>150000</v>
      </c>
      <c r="F760" s="6" t="n">
        <v>60</v>
      </c>
      <c r="G760" t="inlineStr">
        <is>
          <t>Heavy</t>
        </is>
      </c>
      <c r="H760" s="6" t="n">
        <v>1</v>
      </c>
      <c r="I760" s="6" t="n">
        <v>1</v>
      </c>
      <c r="J760" s="6" t="n">
        <v>1</v>
      </c>
      <c r="K760" s="6" t="n"/>
      <c r="X760" s="6" t="n">
        <v>1000</v>
      </c>
    </row>
    <row r="761">
      <c r="A761" t="inlineStr">
        <is>
          <t>tiberiansun</t>
        </is>
      </c>
      <c r="B761" t="inlineStr">
        <is>
          <t>ts_gdi_tiberiumharvester</t>
        </is>
      </c>
      <c r="C761" t="inlineStr">
        <is>
          <t>Tiberium Harvester</t>
        </is>
      </c>
      <c r="D761" s="6" t="inlineStr">
        <is>
          <t>Harvester</t>
        </is>
      </c>
      <c r="E761" s="6" t="n">
        <v>150000</v>
      </c>
      <c r="F761" s="6" t="n">
        <v>60</v>
      </c>
      <c r="G761" t="inlineStr">
        <is>
          <t>Heavy</t>
        </is>
      </c>
      <c r="H761" s="6" t="n">
        <v>1</v>
      </c>
      <c r="I761" s="6" t="n">
        <v>1</v>
      </c>
      <c r="J761" s="6" t="n">
        <v>1</v>
      </c>
      <c r="K761" s="6" t="n"/>
      <c r="X761" s="6" t="n">
        <v>1000</v>
      </c>
    </row>
    <row r="762">
      <c r="A762" t="inlineStr">
        <is>
          <t>tiberiansun</t>
        </is>
      </c>
      <c r="B762" t="inlineStr">
        <is>
          <t>forgotten_tiberiumharvester</t>
        </is>
      </c>
      <c r="C762" t="inlineStr">
        <is>
          <t>actor_forgotten_tiberiumharvester.name</t>
        </is>
      </c>
      <c r="D762" s="6" t="inlineStr">
        <is>
          <t>Harvester</t>
        </is>
      </c>
      <c r="E762" s="6" t="n">
        <v>150000</v>
      </c>
      <c r="F762" s="6" t="n">
        <v>60</v>
      </c>
      <c r="G762" t="inlineStr">
        <is>
          <t>Heavy</t>
        </is>
      </c>
      <c r="H762" s="6" t="n">
        <v>1</v>
      </c>
      <c r="I762" s="6" t="n">
        <v>1</v>
      </c>
      <c r="J762" s="6" t="n">
        <v>1</v>
      </c>
      <c r="K762" s="6" t="n"/>
      <c r="X762" s="6" t="n">
        <v>1000</v>
      </c>
    </row>
    <row r="763">
      <c r="A763" t="inlineStr">
        <is>
          <t>redalert2</t>
        </is>
      </c>
      <c r="B763" t="inlineStr">
        <is>
          <t>ra2_allies_chronominer</t>
        </is>
      </c>
      <c r="C763" t="inlineStr">
        <is>
          <t>Chrono Miner</t>
        </is>
      </c>
      <c r="D763" s="6" t="inlineStr">
        <is>
          <t>Harvester</t>
        </is>
      </c>
      <c r="E763" s="6" t="n">
        <v>100000</v>
      </c>
      <c r="F763" s="6" t="n">
        <v>100</v>
      </c>
      <c r="G763" t="inlineStr">
        <is>
          <t>Medium</t>
        </is>
      </c>
      <c r="H763" s="6" t="n">
        <v>1</v>
      </c>
      <c r="I763" s="6" t="n">
        <v>1</v>
      </c>
      <c r="J763" s="6" t="n">
        <v>1</v>
      </c>
      <c r="K763" s="6" t="n"/>
      <c r="X763" s="6" t="n">
        <v>1000</v>
      </c>
    </row>
    <row r="764">
      <c r="A764" t="inlineStr">
        <is>
          <t>redalert2</t>
        </is>
      </c>
      <c r="B764" t="inlineStr">
        <is>
          <t>ra2_soviets_warminer</t>
        </is>
      </c>
      <c r="C764" t="inlineStr">
        <is>
          <t>War Miner</t>
        </is>
      </c>
      <c r="D764" s="6" t="inlineStr">
        <is>
          <t>Harvester</t>
        </is>
      </c>
      <c r="E764" s="6" t="n">
        <v>125000</v>
      </c>
      <c r="F764" s="6" t="n">
        <v>75</v>
      </c>
      <c r="G764" t="inlineStr">
        <is>
          <t>Medium</t>
        </is>
      </c>
      <c r="H764" s="6" t="n">
        <v>0.988</v>
      </c>
      <c r="I764" s="6" t="n">
        <v>1</v>
      </c>
      <c r="J764" s="6" t="n">
        <v>1</v>
      </c>
      <c r="K764" s="6" t="n"/>
      <c r="P764">
        <f>MAX(P765)</f>
        <v/>
      </c>
      <c r="S764">
        <f>S765</f>
        <v/>
      </c>
      <c r="T764">
        <f>(E764/100000+F764/100+(P764/1000)*J764/5+S764/200)*200*I764*H764</f>
        <v/>
      </c>
      <c r="U764">
        <f>((E764*F764/25000)+((P764/1000)*J764*S764/2.5))*I764*H764</f>
        <v/>
      </c>
      <c r="V764">
        <f>(E764*F764*(P764/1000)*J764*S764*I764*H764)/12500000</f>
        <v/>
      </c>
      <c r="W764">
        <f>(T764+U764+V764)/3</f>
        <v/>
      </c>
      <c r="X764" s="6" t="n">
        <v>1200</v>
      </c>
      <c r="Y764">
        <f>IFERROR(W764-X764,"")</f>
        <v/>
      </c>
      <c r="Z764">
        <f>IFERROR(ABS(Y764)/MAX(X764,1),"")</f>
        <v/>
      </c>
      <c r="AA764">
        <f>IFERROR((X764-(((E764/100000+F764/100+S764/200)*200*I764*H764)+((E764*F764/25000)*I764*H764))/3)/(((J764/5)*200*I764*H764)+((J764*S764/2.5)*I764*H764)+((E764*F764*J764*S764*I764*H764)/12500000))/3*1000,"")</f>
        <v/>
      </c>
    </row>
    <row r="765">
      <c r="B765" s="7" t="inlineStr">
        <is>
          <t xml:space="preserve">  ↳ RA220mmrapid</t>
        </is>
      </c>
      <c r="C765" s="7" t="inlineStr">
        <is>
          <t>Armament@PRIMARY</t>
        </is>
      </c>
      <c r="L765" s="6" t="n">
        <v>8000</v>
      </c>
      <c r="M765" s="6" t="n">
        <v>15</v>
      </c>
      <c r="N765" s="6" t="n">
        <v>1</v>
      </c>
      <c r="O765" s="6" t="n"/>
      <c r="P765" s="6" t="n">
        <v>5000</v>
      </c>
      <c r="Q765" s="6" t="n">
        <v>0.875</v>
      </c>
      <c r="R765">
        <f>M765+IF(N765&gt;1,N(O765)*(N765-1),0)</f>
        <v/>
      </c>
      <c r="S765">
        <f>IFERROR(L765*MAX(N765,1)/R765*IF(ISBLANK(K764),1,K764),0)</f>
        <v/>
      </c>
      <c r="AB765" s="7" t="inlineStr">
        <is>
          <t>^Warhead_Bullet_Light, ^Warhead_Bullet_Medium</t>
        </is>
      </c>
    </row>
    <row r="766">
      <c r="A766" t="inlineStr">
        <is>
          <t>redalert2mod</t>
        </is>
      </c>
      <c r="B766" t="inlineStr">
        <is>
          <t>asianalliance_droneminer</t>
        </is>
      </c>
      <c r="C766" t="inlineStr">
        <is>
          <t>Drone Miner</t>
        </is>
      </c>
      <c r="D766" s="6" t="inlineStr">
        <is>
          <t>Harvester</t>
        </is>
      </c>
      <c r="E766" s="6" t="n">
        <v>25000</v>
      </c>
      <c r="F766" s="6" t="n">
        <v>125</v>
      </c>
      <c r="G766" t="inlineStr">
        <is>
          <t>Plate</t>
        </is>
      </c>
      <c r="H766" s="6" t="n">
        <v>1</v>
      </c>
      <c r="I766" s="6" t="n">
        <v>1</v>
      </c>
      <c r="J766" s="6" t="n">
        <v>1</v>
      </c>
      <c r="K766" s="6" t="n"/>
      <c r="X766" s="6" t="n">
        <v>250</v>
      </c>
    </row>
    <row r="767">
      <c r="A767" t="inlineStr">
        <is>
          <t>redalert2mod</t>
        </is>
      </c>
      <c r="B767" t="inlineStr">
        <is>
          <t>steelconsortium_consortiumminer</t>
        </is>
      </c>
      <c r="C767" t="inlineStr">
        <is>
          <t>Consortium Miner</t>
        </is>
      </c>
      <c r="D767" s="6" t="inlineStr">
        <is>
          <t>Harvester</t>
        </is>
      </c>
      <c r="E767" s="6" t="n">
        <v>100000</v>
      </c>
      <c r="F767" s="6" t="n">
        <v>100</v>
      </c>
      <c r="G767" t="inlineStr">
        <is>
          <t>Medium</t>
        </is>
      </c>
      <c r="H767" s="6" t="n">
        <v>1</v>
      </c>
      <c r="I767" s="6" t="n">
        <v>1</v>
      </c>
      <c r="J767" s="6" t="n">
        <v>1</v>
      </c>
      <c r="K767" s="6" t="n"/>
      <c r="X767" s="6" t="n">
        <v>1000</v>
      </c>
    </row>
    <row r="768">
      <c r="A768" t="inlineStr">
        <is>
          <t>redalert2mod</t>
        </is>
      </c>
      <c r="B768" t="inlineStr">
        <is>
          <t>latinsyndicate_collectiontruck</t>
        </is>
      </c>
      <c r="C768" t="inlineStr">
        <is>
          <t>Collection Truck</t>
        </is>
      </c>
      <c r="D768" s="6" t="inlineStr">
        <is>
          <t>Harvester</t>
        </is>
      </c>
      <c r="E768" s="6" t="n">
        <v>85000</v>
      </c>
      <c r="F768" s="6" t="n">
        <v>115</v>
      </c>
      <c r="G768" t="inlineStr">
        <is>
          <t>Medium</t>
        </is>
      </c>
      <c r="H768" s="6" t="n">
        <v>1</v>
      </c>
      <c r="I768" s="6" t="n">
        <v>1</v>
      </c>
      <c r="J768" s="6" t="n">
        <v>1</v>
      </c>
      <c r="K768" s="6" t="n"/>
      <c r="X768" s="6" t="n">
        <v>1000</v>
      </c>
    </row>
    <row r="769">
      <c r="A769" t="inlineStr">
        <is>
          <t>redalert2mod</t>
        </is>
      </c>
      <c r="B769" t="inlineStr">
        <is>
          <t>schwarzermond_noidharvester</t>
        </is>
      </c>
      <c r="C769" t="inlineStr">
        <is>
          <t>Noid Harvester</t>
        </is>
      </c>
      <c r="D769" s="6" t="inlineStr">
        <is>
          <t>Harvester</t>
        </is>
      </c>
      <c r="E769" s="6" t="n">
        <v>75000</v>
      </c>
      <c r="F769" s="6" t="n">
        <v>50</v>
      </c>
      <c r="G769" t="inlineStr">
        <is>
          <t>Plate</t>
        </is>
      </c>
      <c r="H769" s="6" t="n">
        <v>1</v>
      </c>
      <c r="I769" s="6" t="n">
        <v>1</v>
      </c>
      <c r="J769" s="6" t="n">
        <v>1</v>
      </c>
      <c r="K769" s="6" t="n"/>
      <c r="P769">
        <f>MAX(P770,P771)</f>
        <v/>
      </c>
      <c r="S769">
        <f>S770+S771</f>
        <v/>
      </c>
      <c r="T769">
        <f>(E769/100000+F769/100+(P769/1000)*J769/5+S769/200)*200*I769*H769</f>
        <v/>
      </c>
      <c r="U769">
        <f>((E769*F769/25000)+((P769/1000)*J769*S769/2.5))*I769*H769</f>
        <v/>
      </c>
      <c r="V769">
        <f>(E769*F769*(P769/1000)*J769*S769*I769*H769)/12500000</f>
        <v/>
      </c>
      <c r="W769">
        <f>(T769+U769+V769)/3</f>
        <v/>
      </c>
      <c r="X769" s="6" t="n">
        <v>500</v>
      </c>
      <c r="Y769">
        <f>IFERROR(W769-X769,"")</f>
        <v/>
      </c>
      <c r="Z769">
        <f>IFERROR(ABS(Y769)/MAX(X769,1),"")</f>
        <v/>
      </c>
      <c r="AA769">
        <f>IFERROR((X769-(((E769/100000+F769/100+S769/200)*200*I769*H769)+((E769*F769/25000)*I769*H769))/3)/(((J769/5)*200*I769*H769)+((J769*S769/2.5)*I769*H769)+((E769*F769*J769*S769*I769*H769)/12500000))/3*1000,"")</f>
        <v/>
      </c>
    </row>
    <row r="770">
      <c r="B770" s="7" t="inlineStr">
        <is>
          <t xml:space="preserve">  ↳ NaxiMP40Laser</t>
        </is>
      </c>
      <c r="C770" s="7" t="inlineStr">
        <is>
          <t>Armament@PRIMARY</t>
        </is>
      </c>
      <c r="L770" s="6" t="n">
        <v>12000</v>
      </c>
      <c r="M770" s="6" t="n">
        <v>100</v>
      </c>
      <c r="N770" s="6" t="n">
        <v>5</v>
      </c>
      <c r="O770" s="6" t="n">
        <v>5</v>
      </c>
      <c r="P770" s="6" t="n">
        <v>4384</v>
      </c>
      <c r="Q770" s="6" t="n">
        <v>1</v>
      </c>
      <c r="R770">
        <f>M770+IF(N770&gt;1,N(O770)*(N770-1),0)</f>
        <v/>
      </c>
      <c r="S770">
        <f>IFERROR(L770*MAX(N770,1)/R770*IF(ISBLANK(K769),1,K769),0)</f>
        <v/>
      </c>
      <c r="AB770" s="7" t="inlineStr">
        <is>
          <t>^Warhead_Bullet_Light, ^Warhead_Concussion_Light, ^Warhead_CannonHE_Heavy, ^Warhead_Bullet_Medium, ^Warhead_Laser_Heavy</t>
        </is>
      </c>
    </row>
    <row r="771">
      <c r="B771" s="7" t="inlineStr">
        <is>
          <t xml:space="preserve">  ↳ NaxiMP40Laser_elite</t>
        </is>
      </c>
      <c r="C771" s="7" t="inlineStr">
        <is>
          <t>Armament@ELITE</t>
        </is>
      </c>
      <c r="L771" s="6" t="n">
        <v>12000</v>
      </c>
      <c r="M771" s="6" t="n">
        <v>100</v>
      </c>
      <c r="N771" s="6" t="n">
        <v>10</v>
      </c>
      <c r="O771" s="6" t="n">
        <v>3</v>
      </c>
      <c r="P771" s="6" t="n">
        <v>5384</v>
      </c>
      <c r="Q771" s="6" t="n">
        <v>1</v>
      </c>
      <c r="R771">
        <f>M771+IF(N771&gt;1,N(O771)*(N771-1),0)</f>
        <v/>
      </c>
      <c r="S771">
        <f>IFERROR(L771*MAX(N771,1)/R771*IF(ISBLANK(K769),1,K769),0)</f>
        <v/>
      </c>
      <c r="AB771" s="7" t="inlineStr">
        <is>
          <t>^Warhead_Bullet_Light, ^Warhead_Concussion_Light, ^Warhead_CannonHE_Heavy, ^Warhead_Bullet_Medium, ^Warhead_Laser_Heavy</t>
        </is>
      </c>
    </row>
    <row r="772">
      <c r="A772" t="inlineStr">
        <is>
          <t>redalert2mod</t>
        </is>
      </c>
      <c r="B772" t="inlineStr">
        <is>
          <t>futuretech_prospector</t>
        </is>
      </c>
      <c r="C772" t="inlineStr">
        <is>
          <t>Prospector</t>
        </is>
      </c>
      <c r="D772" s="6" t="inlineStr">
        <is>
          <t>Harvester</t>
        </is>
      </c>
      <c r="E772" s="6" t="n">
        <v>100000</v>
      </c>
      <c r="F772" s="6" t="n">
        <v>100</v>
      </c>
      <c r="G772" t="inlineStr">
        <is>
          <t>Medium</t>
        </is>
      </c>
      <c r="H772" s="6" t="n">
        <v>1</v>
      </c>
      <c r="I772" s="6" t="n">
        <v>1</v>
      </c>
      <c r="J772" s="6" t="n">
        <v>1</v>
      </c>
      <c r="K772" s="6" t="n"/>
      <c r="X772" s="6" t="n">
        <v>1000</v>
      </c>
    </row>
    <row r="773">
      <c r="A773" t="inlineStr">
        <is>
          <t>redalert2mod</t>
        </is>
      </c>
      <c r="B773" t="inlineStr">
        <is>
          <t>futuretech_prospectormk2</t>
        </is>
      </c>
      <c r="C773" t="inlineStr">
        <is>
          <t>Prospector MK2</t>
        </is>
      </c>
      <c r="D773" s="6" t="inlineStr">
        <is>
          <t>Harvester</t>
        </is>
      </c>
      <c r="E773" s="6" t="n">
        <v>120000</v>
      </c>
      <c r="F773" s="6" t="n">
        <v>120</v>
      </c>
      <c r="G773" t="inlineStr">
        <is>
          <t>Medium</t>
        </is>
      </c>
      <c r="H773" s="6" t="n">
        <v>0.8639</v>
      </c>
      <c r="I773" s="6" t="n">
        <v>1</v>
      </c>
      <c r="J773" s="6" t="n">
        <v>1</v>
      </c>
      <c r="K773" s="6" t="n"/>
      <c r="X773" s="6" t="n">
        <v>1200</v>
      </c>
    </row>
    <row r="774">
      <c r="A774" t="inlineStr">
        <is>
          <t>redalert2mod</t>
        </is>
      </c>
      <c r="B774" t="inlineStr">
        <is>
          <t>tkm_templateharvesterraname</t>
        </is>
      </c>
      <c r="C774" t="inlineStr">
        <is>
          <t>template_harvester.raname</t>
        </is>
      </c>
      <c r="D774" s="6" t="inlineStr">
        <is>
          <t>Harvester</t>
        </is>
      </c>
      <c r="E774" s="6" t="n">
        <v>100000</v>
      </c>
      <c r="F774" s="6" t="n">
        <v>90</v>
      </c>
      <c r="G774" t="inlineStr">
        <is>
          <t>Medium</t>
        </is>
      </c>
      <c r="H774" s="6" t="n">
        <v>0.9016</v>
      </c>
      <c r="I774" s="6" t="n">
        <v>1</v>
      </c>
      <c r="J774" s="6" t="n">
        <v>1</v>
      </c>
      <c r="K774" s="6" t="n"/>
      <c r="X774" s="6" t="n">
        <v>1000</v>
      </c>
    </row>
    <row r="775">
      <c r="A775" t="inlineStr">
        <is>
          <t>d2k</t>
        </is>
      </c>
      <c r="B775" t="inlineStr">
        <is>
          <t>ordos_spiceharvester</t>
        </is>
      </c>
      <c r="C775" t="inlineStr">
        <is>
          <t>Ordos Spice Harvester</t>
        </is>
      </c>
      <c r="D775" s="6" t="inlineStr">
        <is>
          <t>Harvester</t>
        </is>
      </c>
      <c r="E775" s="6" t="n">
        <v>200000</v>
      </c>
      <c r="F775" s="6" t="n">
        <v>45</v>
      </c>
      <c r="G775" t="inlineStr">
        <is>
          <t>Heavy</t>
        </is>
      </c>
      <c r="H775" s="6" t="n">
        <v>0.8919</v>
      </c>
      <c r="I775" s="6" t="n">
        <v>1</v>
      </c>
      <c r="J775" s="6" t="n">
        <v>1</v>
      </c>
      <c r="K775" s="6" t="n"/>
      <c r="X775" s="6" t="n">
        <v>500</v>
      </c>
    </row>
    <row r="776">
      <c r="A776" t="inlineStr">
        <is>
          <t>d2k</t>
        </is>
      </c>
      <c r="B776" t="inlineStr">
        <is>
          <t>ixian_spiceharvester</t>
        </is>
      </c>
      <c r="C776" t="inlineStr">
        <is>
          <t>Ixian Spice Harvester</t>
        </is>
      </c>
      <c r="D776" s="6" t="inlineStr">
        <is>
          <t>Harvester</t>
        </is>
      </c>
      <c r="E776" s="6" t="n">
        <v>200000</v>
      </c>
      <c r="F776" s="6" t="n">
        <v>45</v>
      </c>
      <c r="G776" t="inlineStr">
        <is>
          <t>Heavy</t>
        </is>
      </c>
      <c r="H776" s="6" t="n">
        <v>0.8919</v>
      </c>
      <c r="I776" s="6" t="n">
        <v>1</v>
      </c>
      <c r="J776" s="6" t="n">
        <v>1</v>
      </c>
      <c r="K776" s="6" t="n"/>
      <c r="X776" s="6" t="n">
        <v>500</v>
      </c>
    </row>
    <row r="777">
      <c r="A777" t="inlineStr">
        <is>
          <t>starcraft</t>
        </is>
      </c>
      <c r="B777" t="inlineStr">
        <is>
          <t>protoss_probe</t>
        </is>
      </c>
      <c r="C777" t="inlineStr">
        <is>
          <t>Protoss Probe</t>
        </is>
      </c>
      <c r="D777" s="6" t="inlineStr">
        <is>
          <t>Harvester</t>
        </is>
      </c>
      <c r="E777" s="6" t="n">
        <v>45000</v>
      </c>
      <c r="F777" s="6" t="n">
        <v>100</v>
      </c>
      <c r="G777" t="inlineStr">
        <is>
          <t>Light</t>
        </is>
      </c>
      <c r="H777" s="6" t="n">
        <v>1</v>
      </c>
      <c r="I777" s="6" t="n">
        <v>1</v>
      </c>
      <c r="J777" s="6" t="n">
        <v>1</v>
      </c>
      <c r="K777" s="6" t="n"/>
      <c r="P777">
        <f>MAX(P778)</f>
        <v/>
      </c>
      <c r="S777">
        <f>S778</f>
        <v/>
      </c>
      <c r="T777">
        <f>(E777/100000+F777/100+(P777/1000)*J777/5+S777/200)*200*I777*H777</f>
        <v/>
      </c>
      <c r="U777">
        <f>((E777*F777/25000)+((P777/1000)*J777*S777/2.5))*I777*H777</f>
        <v/>
      </c>
      <c r="V777">
        <f>(E777*F777*(P777/1000)*J777*S777*I777*H777)/12500000</f>
        <v/>
      </c>
      <c r="W777">
        <f>(T777+U777+V777)/3</f>
        <v/>
      </c>
      <c r="X777" s="6" t="n">
        <v>500</v>
      </c>
      <c r="Y777">
        <f>IFERROR(W777-X777,"")</f>
        <v/>
      </c>
      <c r="Z777">
        <f>IFERROR(ABS(Y777)/MAX(X777,1),"")</f>
        <v/>
      </c>
      <c r="AA777">
        <f>IFERROR((X777-(((E777/100000+F777/100+S777/200)*200*I777*H777)+((E777*F777/25000)*I777*H777))/3)/(((J777/5)*200*I777*H777)+((J777*S777/2.5)*I777*H777)+((E777*F777*J777*S777*I777*H777)/12500000))/3*1000,"")</f>
        <v/>
      </c>
    </row>
    <row r="778">
      <c r="B778" s="7" t="inlineStr">
        <is>
          <t xml:space="preserve">  ↳ ProbeAttack</t>
        </is>
      </c>
      <c r="C778" s="7" t="inlineStr">
        <is>
          <t>Armament</t>
        </is>
      </c>
      <c r="L778" s="6" t="n">
        <v>10000</v>
      </c>
      <c r="M778" s="6" t="n">
        <v>25</v>
      </c>
      <c r="N778" s="6" t="n">
        <v>1</v>
      </c>
      <c r="O778" s="6" t="n"/>
      <c r="P778" s="6" t="n">
        <v>1500</v>
      </c>
      <c r="Q778" s="6" t="n">
        <v>1</v>
      </c>
      <c r="R778">
        <f>M778+IF(N778&gt;1,N(O778)*(N778-1),0)</f>
        <v/>
      </c>
      <c r="S778">
        <f>IFERROR(L778*MAX(N778,1)/R778*IF(ISBLANK(K777),1,K777),0)</f>
        <v/>
      </c>
      <c r="AB778" s="7" t="inlineStr">
        <is>
          <t>^Warhead_Melee_Medium</t>
        </is>
      </c>
    </row>
    <row r="779">
      <c r="A779" t="inlineStr">
        <is>
          <t>starcraft</t>
        </is>
      </c>
      <c r="B779" t="inlineStr">
        <is>
          <t>zerg_drone</t>
        </is>
      </c>
      <c r="C779" t="inlineStr">
        <is>
          <t>Zerg Drone</t>
        </is>
      </c>
      <c r="D779" s="6" t="inlineStr">
        <is>
          <t>Harvester</t>
        </is>
      </c>
      <c r="E779" s="6" t="n">
        <v>45000</v>
      </c>
      <c r="F779" s="6" t="n">
        <v>100</v>
      </c>
      <c r="G779" t="inlineStr">
        <is>
          <t>Light</t>
        </is>
      </c>
      <c r="H779" s="6" t="n">
        <v>1</v>
      </c>
      <c r="I779" s="6" t="n">
        <v>1</v>
      </c>
      <c r="J779" s="6" t="n">
        <v>1</v>
      </c>
      <c r="K779" s="6" t="n"/>
      <c r="P779">
        <f>MAX(P780)</f>
        <v/>
      </c>
      <c r="S779">
        <f>S780</f>
        <v/>
      </c>
      <c r="T779">
        <f>(E779/100000+F779/100+(P779/1000)*J779/5+S779/200)*200*I779*H779</f>
        <v/>
      </c>
      <c r="U779">
        <f>((E779*F779/25000)+((P779/1000)*J779*S779/2.5))*I779*H779</f>
        <v/>
      </c>
      <c r="V779">
        <f>(E779*F779*(P779/1000)*J779*S779*I779*H779)/12500000</f>
        <v/>
      </c>
      <c r="W779">
        <f>(T779+U779+V779)/3</f>
        <v/>
      </c>
      <c r="X779" s="6" t="n">
        <v>500</v>
      </c>
      <c r="Y779">
        <f>IFERROR(W779-X779,"")</f>
        <v/>
      </c>
      <c r="Z779">
        <f>IFERROR(ABS(Y779)/MAX(X779,1),"")</f>
        <v/>
      </c>
      <c r="AA779">
        <f>IFERROR((X779-(((E779/100000+F779/100+S779/200)*200*I779*H779)+((E779*F779/25000)*I779*H779))/3)/(((J779/5)*200*I779*H779)+((J779*S779/2.5)*I779*H779)+((E779*F779*J779*S779*I779*H779)/12500000))/3*1000,"")</f>
        <v/>
      </c>
    </row>
    <row r="780">
      <c r="B780" s="7" t="inlineStr">
        <is>
          <t xml:space="preserve">  ↳ DroneAttack</t>
        </is>
      </c>
      <c r="C780" s="7" t="inlineStr">
        <is>
          <t>Armament</t>
        </is>
      </c>
      <c r="L780" s="6" t="n">
        <v>10000</v>
      </c>
      <c r="M780" s="6" t="n">
        <v>25</v>
      </c>
      <c r="N780" s="6" t="n">
        <v>1</v>
      </c>
      <c r="O780" s="6" t="n"/>
      <c r="P780" s="6" t="n">
        <v>1500</v>
      </c>
      <c r="Q780" s="6" t="n">
        <v>1</v>
      </c>
      <c r="R780">
        <f>M780+IF(N780&gt;1,N(O780)*(N780-1),0)</f>
        <v/>
      </c>
      <c r="S780">
        <f>IFERROR(L780*MAX(N780,1)/R780*IF(ISBLANK(K779),1,K779),0)</f>
        <v/>
      </c>
      <c r="AB780" s="7" t="inlineStr">
        <is>
          <t>^Warhead_Melee_Medium</t>
        </is>
      </c>
    </row>
    <row r="781">
      <c r="A781" t="inlineStr">
        <is>
          <t>starcraft</t>
        </is>
      </c>
      <c r="B781" t="inlineStr">
        <is>
          <t>terran_scv</t>
        </is>
      </c>
      <c r="C781" t="inlineStr">
        <is>
          <t>SCV</t>
        </is>
      </c>
      <c r="D781" s="6" t="inlineStr">
        <is>
          <t>Harvester</t>
        </is>
      </c>
      <c r="E781" s="6" t="n">
        <v>45000</v>
      </c>
      <c r="F781" s="6" t="n">
        <v>100</v>
      </c>
      <c r="G781" t="inlineStr">
        <is>
          <t>Light</t>
        </is>
      </c>
      <c r="H781" s="6" t="n">
        <v>1</v>
      </c>
      <c r="I781" s="6" t="n">
        <v>1</v>
      </c>
      <c r="J781" s="6" t="n">
        <v>1</v>
      </c>
      <c r="K781" s="6" t="n"/>
      <c r="P781">
        <f>MAX(P782,P783)</f>
        <v/>
      </c>
      <c r="S781">
        <f>S782+S783</f>
        <v/>
      </c>
      <c r="T781">
        <f>(E781/100000+F781/100+(P781/1000)*J781/5+S781/200)*200*I781*H781</f>
        <v/>
      </c>
      <c r="U781">
        <f>((E781*F781/25000)+((P781/1000)*J781*S781/2.5))*I781*H781</f>
        <v/>
      </c>
      <c r="V781">
        <f>(E781*F781*(P781/1000)*J781*S781*I781*H781)/12500000</f>
        <v/>
      </c>
      <c r="W781">
        <f>(T781+U781+V781)/3</f>
        <v/>
      </c>
      <c r="X781" s="6" t="n">
        <v>500</v>
      </c>
      <c r="Y781">
        <f>IFERROR(W781-X781,"")</f>
        <v/>
      </c>
      <c r="Z781">
        <f>IFERROR(ABS(Y781)/MAX(X781,1),"")</f>
        <v/>
      </c>
      <c r="AA781">
        <f>IFERROR((X781-(((E781/100000+F781/100+S781/200)*200*I781*H781)+((E781*F781/25000)*I781*H781))/3)/(((J781/5)*200*I781*H781)+((J781*S781/2.5)*I781*H781)+((E781*F781*J781*S781*I781*H781)/12500000))/3*1000,"")</f>
        <v/>
      </c>
    </row>
    <row r="782">
      <c r="B782" s="7" t="inlineStr">
        <is>
          <t xml:space="preserve">  ↳ SCVAttack</t>
        </is>
      </c>
      <c r="C782" s="7" t="inlineStr">
        <is>
          <t>Armament</t>
        </is>
      </c>
      <c r="L782" s="6" t="n">
        <v>10000</v>
      </c>
      <c r="M782" s="6" t="n">
        <v>25</v>
      </c>
      <c r="N782" s="6" t="n">
        <v>1</v>
      </c>
      <c r="O782" s="6" t="n"/>
      <c r="P782" s="6" t="n">
        <v>1500</v>
      </c>
      <c r="Q782" s="6" t="n">
        <v>1</v>
      </c>
      <c r="R782">
        <f>M782+IF(N782&gt;1,N(O782)*(N782-1),0)</f>
        <v/>
      </c>
      <c r="S782">
        <f>IFERROR(L782*MAX(N782,1)/R782*IF(ISBLANK(K781),1,K781),0)</f>
        <v/>
      </c>
      <c r="AB782" s="7" t="inlineStr">
        <is>
          <t>^Warhead_Melee_Medium</t>
        </is>
      </c>
    </row>
    <row r="783">
      <c r="B783" s="7" t="inlineStr">
        <is>
          <t xml:space="preserve">  ↳ SCVRepair</t>
        </is>
      </c>
      <c r="C783" s="7" t="inlineStr">
        <is>
          <t>Armament@repair</t>
        </is>
      </c>
      <c r="L783" s="6" t="n">
        <v>-3000</v>
      </c>
      <c r="M783" s="6" t="n">
        <v>5</v>
      </c>
      <c r="N783" s="6" t="n">
        <v>10</v>
      </c>
      <c r="O783" s="6" t="n">
        <v>1</v>
      </c>
      <c r="P783" s="6" t="n">
        <v>2000</v>
      </c>
      <c r="Q783" s="6" t="n">
        <v>1</v>
      </c>
      <c r="R783">
        <f>M783+IF(N783&gt;1,N(O783)*(N783-1),0)</f>
        <v/>
      </c>
      <c r="S783">
        <f>IFERROR(L783*MAX(N783,1)/R783*IF(ISBLANK(K781),1,K781),0)</f>
        <v/>
      </c>
      <c r="AB783" s="7" t="inlineStr">
        <is>
          <t>^RepairWeapon</t>
        </is>
      </c>
    </row>
    <row r="784">
      <c r="A784" t="inlineStr">
        <is>
          <t>warcraft2</t>
        </is>
      </c>
      <c r="B784" t="inlineStr">
        <is>
          <t>wc2_orcs_peon</t>
        </is>
      </c>
      <c r="C784" t="inlineStr">
        <is>
          <t>Peon</t>
        </is>
      </c>
      <c r="D784" s="6" t="inlineStr">
        <is>
          <t>Harvester</t>
        </is>
      </c>
      <c r="E784" s="6" t="n">
        <v>40000</v>
      </c>
      <c r="F784" s="6" t="n">
        <v>80</v>
      </c>
      <c r="G784" t="inlineStr">
        <is>
          <t>Light</t>
        </is>
      </c>
      <c r="H784" s="6" t="n">
        <v>1</v>
      </c>
      <c r="I784" s="6" t="n">
        <v>1</v>
      </c>
      <c r="J784" s="6" t="n">
        <v>1</v>
      </c>
      <c r="K784" s="6" t="n"/>
      <c r="P784">
        <f>MAX(P785)</f>
        <v/>
      </c>
      <c r="S784">
        <f>S785</f>
        <v/>
      </c>
      <c r="T784">
        <f>(E784/100000+F784/100+(P784/1000)*J784/5+S784/200)*200*I784*H784</f>
        <v/>
      </c>
      <c r="U784">
        <f>((E784*F784/25000)+((P784/1000)*J784*S784/2.5))*I784*H784</f>
        <v/>
      </c>
      <c r="V784">
        <f>(E784*F784*(P784/1000)*J784*S784*I784*H784)/12500000</f>
        <v/>
      </c>
      <c r="W784">
        <f>(T784+U784+V784)/3</f>
        <v/>
      </c>
      <c r="X784" s="6" t="n">
        <v>500</v>
      </c>
      <c r="Y784">
        <f>IFERROR(W784-X784,"")</f>
        <v/>
      </c>
      <c r="Z784">
        <f>IFERROR(ABS(Y784)/MAX(X784,1),"")</f>
        <v/>
      </c>
      <c r="AA784">
        <f>IFERROR((X784-(((E784/100000+F784/100+S784/200)*200*I784*H784)+((E784*F784/25000)*I784*H784))/3)/(((J784/5)*200*I784*H784)+((J784*S784/2.5)*I784*H784)+((E784*F784*J784*S784*I784*H784)/12500000))/3*1000,"")</f>
        <v/>
      </c>
    </row>
    <row r="785">
      <c r="B785" s="7" t="inlineStr">
        <is>
          <t xml:space="preserve">  ↳ wc2peasantsmack</t>
        </is>
      </c>
      <c r="C785" s="7" t="inlineStr">
        <is>
          <t>Armament</t>
        </is>
      </c>
      <c r="L785" s="6" t="n">
        <v>12000</v>
      </c>
      <c r="M785" s="6" t="n">
        <v>15</v>
      </c>
      <c r="N785" s="6" t="n">
        <v>1</v>
      </c>
      <c r="O785" s="6" t="n"/>
      <c r="P785" s="6" t="n">
        <v>1333</v>
      </c>
      <c r="Q785" s="6" t="n">
        <v>1</v>
      </c>
      <c r="R785">
        <f>M785+IF(N785&gt;1,N(O785)*(N785-1),0)</f>
        <v/>
      </c>
      <c r="S785">
        <f>IFERROR(L785*MAX(N785,1)/R785*IF(ISBLANK(K784),1,K784),0)</f>
        <v/>
      </c>
      <c r="AB785" s="7" t="inlineStr">
        <is>
          <t>^Warhead_Melee_Medium</t>
        </is>
      </c>
    </row>
    <row r="786">
      <c r="A786" t="inlineStr">
        <is>
          <t>warcraft2</t>
        </is>
      </c>
      <c r="B786" t="inlineStr">
        <is>
          <t>wc2_humans_peasant</t>
        </is>
      </c>
      <c r="C786" t="inlineStr">
        <is>
          <t>Peasant</t>
        </is>
      </c>
      <c r="D786" s="6" t="inlineStr">
        <is>
          <t>Harvester</t>
        </is>
      </c>
      <c r="E786" s="6" t="n">
        <v>40000</v>
      </c>
      <c r="F786" s="6" t="n">
        <v>80</v>
      </c>
      <c r="G786" t="inlineStr">
        <is>
          <t>Light</t>
        </is>
      </c>
      <c r="H786" s="6" t="n">
        <v>1</v>
      </c>
      <c r="I786" s="6" t="n">
        <v>1</v>
      </c>
      <c r="J786" s="6" t="n">
        <v>1</v>
      </c>
      <c r="K786" s="6" t="n"/>
      <c r="P786">
        <f>MAX(P787)</f>
        <v/>
      </c>
      <c r="S786">
        <f>S787</f>
        <v/>
      </c>
      <c r="T786">
        <f>(E786/100000+F786/100+(P786/1000)*J786/5+S786/200)*200*I786*H786</f>
        <v/>
      </c>
      <c r="U786">
        <f>((E786*F786/25000)+((P786/1000)*J786*S786/2.5))*I786*H786</f>
        <v/>
      </c>
      <c r="V786">
        <f>(E786*F786*(P786/1000)*J786*S786*I786*H786)/12500000</f>
        <v/>
      </c>
      <c r="W786">
        <f>(T786+U786+V786)/3</f>
        <v/>
      </c>
      <c r="X786" s="6" t="n">
        <v>500</v>
      </c>
      <c r="Y786">
        <f>IFERROR(W786-X786,"")</f>
        <v/>
      </c>
      <c r="Z786">
        <f>IFERROR(ABS(Y786)/MAX(X786,1),"")</f>
        <v/>
      </c>
      <c r="AA786">
        <f>IFERROR((X786-(((E786/100000+F786/100+S786/200)*200*I786*H786)+((E786*F786/25000)*I786*H786))/3)/(((J786/5)*200*I786*H786)+((J786*S786/2.5)*I786*H786)+((E786*F786*J786*S786*I786*H786)/12500000))/3*1000,"")</f>
        <v/>
      </c>
    </row>
    <row r="787">
      <c r="B787" s="7" t="inlineStr">
        <is>
          <t xml:space="preserve">  ↳ wc2peasantsmack</t>
        </is>
      </c>
      <c r="C787" s="7" t="inlineStr">
        <is>
          <t>Armament</t>
        </is>
      </c>
      <c r="L787" s="6" t="n">
        <v>12000</v>
      </c>
      <c r="M787" s="6" t="n">
        <v>15</v>
      </c>
      <c r="N787" s="6" t="n">
        <v>1</v>
      </c>
      <c r="O787" s="6" t="n"/>
      <c r="P787" s="6" t="n">
        <v>1333</v>
      </c>
      <c r="Q787" s="6" t="n">
        <v>1</v>
      </c>
      <c r="R787">
        <f>M787+IF(N787&gt;1,N(O787)*(N787-1),0)</f>
        <v/>
      </c>
      <c r="S787">
        <f>IFERROR(L787*MAX(N787,1)/R787*IF(ISBLANK(K786),1,K786),0)</f>
        <v/>
      </c>
      <c r="AB787" s="7" t="inlineStr">
        <is>
          <t>^Warhead_Melee_Medium</t>
        </is>
      </c>
    </row>
    <row r="788">
      <c r="A788" s="4" t="inlineStr">
        <is>
          <t>Artillery</t>
        </is>
      </c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</row>
    <row r="789">
      <c r="A789" t="inlineStr">
        <is>
          <t>tiberiandawn</t>
        </is>
      </c>
      <c r="B789" t="inlineStr">
        <is>
          <t>td_nod_artillery</t>
        </is>
      </c>
      <c r="C789" t="inlineStr">
        <is>
          <t>Nod Artillery</t>
        </is>
      </c>
      <c r="D789" s="6" t="inlineStr">
        <is>
          <t>Artillery</t>
        </is>
      </c>
      <c r="E789" s="6" t="n">
        <v>17500</v>
      </c>
      <c r="F789" s="6" t="n">
        <v>55</v>
      </c>
      <c r="G789" t="inlineStr">
        <is>
          <t>Light</t>
        </is>
      </c>
      <c r="H789" s="6" t="n">
        <v>1</v>
      </c>
      <c r="I789" s="6" t="n">
        <v>0.5</v>
      </c>
      <c r="J789" s="6" t="n">
        <v>1</v>
      </c>
      <c r="K789" s="6" t="n"/>
      <c r="P789">
        <f>MAX(P790,P791)</f>
        <v/>
      </c>
      <c r="S789">
        <f>S790+S791</f>
        <v/>
      </c>
      <c r="T789">
        <f>(E789/100000+F789/100+(P789/1000)*J789/5+S789/200)*200*I789*H789</f>
        <v/>
      </c>
      <c r="U789">
        <f>((E789*F789/25000)+((P789/1000)*J789*S789/2.5))*I789*H789</f>
        <v/>
      </c>
      <c r="V789">
        <f>(E789*F789*(P789/1000)*J789*S789*I789*H789)/12500000</f>
        <v/>
      </c>
      <c r="W789">
        <f>(((E789/60000)+(F789/75)+(S789/500)+((P789/15000)*J789))*500/4+(((E789/60000)*(F789/75))+(((P789/15000)*J789)*(S789/500)))*500/2+((E789/60000)*(F789/75)*((P789/15000)*J789)*(S789/500))*500)*(H789/1.0)/3</f>
        <v/>
      </c>
      <c r="X789" s="6" t="n">
        <v>400</v>
      </c>
      <c r="Y789">
        <f>IFERROR(W789-X789,"")</f>
        <v/>
      </c>
      <c r="Z789">
        <f>IFERROR(ABS(Y789)/MAX(X789,1),"")</f>
        <v/>
      </c>
      <c r="AA789">
        <f>IFERROR(ROUND(((3*X789-(((E789/60000)+(F789/75)+(S789/500))*500/4+((E789/60000)*(F789/75))*500/2)*(H789/1.0))/(500/4+((S789/500))*500/2+((E789/60000)*(F789/75)*(S789/500))*500)*(H789/1.0)*15000)/J789,-1),"")</f>
        <v/>
      </c>
    </row>
    <row r="790">
      <c r="B790" s="7" t="inlineStr">
        <is>
          <t xml:space="preserve">  ↳ ArtilleryShell</t>
        </is>
      </c>
      <c r="C790" s="7" t="inlineStr">
        <is>
          <t>Armament</t>
        </is>
      </c>
      <c r="L790" s="6" t="n">
        <v>32000</v>
      </c>
      <c r="M790" s="6" t="n">
        <v>112</v>
      </c>
      <c r="N790" s="6" t="n">
        <v>1</v>
      </c>
      <c r="O790" s="6" t="n"/>
      <c r="P790" s="6" t="n">
        <v>12345</v>
      </c>
      <c r="Q790" s="6" t="n">
        <v>0.875</v>
      </c>
      <c r="R790">
        <f>M790+IF(N790&gt;1,N(O790)*(N790-1),0)</f>
        <v/>
      </c>
      <c r="S790">
        <f>IFERROR(L790*MAX(N790,1)/R790*IF(ISBLANK(K789),1,K789),0)</f>
        <v/>
      </c>
      <c r="AB790" s="7" t="inlineStr">
        <is>
          <t>^Warhead_Demolition_Light, ^Warhead_Concussion_Medium</t>
        </is>
      </c>
    </row>
    <row r="791">
      <c r="B791" s="7" t="inlineStr">
        <is>
          <t xml:space="preserve">  ↳ ArtilleryShellUpgrade</t>
        </is>
      </c>
      <c r="C791" s="7" t="inlineStr">
        <is>
          <t>Armament@Upgrade</t>
        </is>
      </c>
      <c r="L791" s="6" t="n">
        <v>36000</v>
      </c>
      <c r="M791" s="6" t="n">
        <v>96</v>
      </c>
      <c r="N791" s="6" t="n">
        <v>1</v>
      </c>
      <c r="O791" s="6" t="n"/>
      <c r="P791" s="6" t="n">
        <v>12345</v>
      </c>
      <c r="Q791" s="6" t="n">
        <v>1</v>
      </c>
      <c r="R791">
        <f>M791+IF(N791&gt;1,N(O791)*(N791-1),0)</f>
        <v/>
      </c>
      <c r="S791">
        <f>IFERROR(L791*MAX(N791,1)/R791*IF(ISBLANK(K789),1,K789),0)</f>
        <v/>
      </c>
      <c r="AB791" s="7" t="inlineStr">
        <is>
          <t>^Grenade, ^ShrapnelWeapon, ^MediumChemicalWeapon, ^MediumFlameWeapon, ^MediumCannon, ^HeavyBomb</t>
        </is>
      </c>
    </row>
    <row r="792">
      <c r="A792" t="inlineStr">
        <is>
          <t>tiberiandawn</t>
        </is>
      </c>
      <c r="B792" t="inlineStr">
        <is>
          <t>td_nod_chemicalssmlauncher</t>
        </is>
      </c>
      <c r="C792" t="inlineStr">
        <is>
          <t>Chemical SSM Launcher</t>
        </is>
      </c>
      <c r="D792" s="6" t="inlineStr">
        <is>
          <t>Artillery</t>
        </is>
      </c>
      <c r="E792" s="6" t="n">
        <v>32500</v>
      </c>
      <c r="F792" s="6" t="n">
        <v>75</v>
      </c>
      <c r="G792" t="inlineStr">
        <is>
          <t>Light</t>
        </is>
      </c>
      <c r="H792" s="6" t="n">
        <v>0.75</v>
      </c>
      <c r="I792" s="6" t="n">
        <v>0.5</v>
      </c>
      <c r="J792" s="6" t="n">
        <v>1</v>
      </c>
      <c r="K792" s="6" t="n"/>
      <c r="P792">
        <f>MAX(P793)</f>
        <v/>
      </c>
      <c r="S792">
        <f>S793</f>
        <v/>
      </c>
      <c r="T792">
        <f>(E792/100000+F792/100+(P792/1000)*J792/5+S792/200)*200*I792*H792</f>
        <v/>
      </c>
      <c r="U792">
        <f>((E792*F792/25000)+((P792/1000)*J792*S792/2.5))*I792*H792</f>
        <v/>
      </c>
      <c r="V792">
        <f>(E792*F792*(P792/1000)*J792*S792*I792*H792)/12500000</f>
        <v/>
      </c>
      <c r="W792">
        <f>(((E792/60000)+(F792/75)+(S792/500)+((P792/15000)*J792))*500/4+(((E792/60000)*(F792/75))+(((P792/15000)*J792)*(S792/500)))*500/2+((E792/60000)*(F792/75)*((P792/15000)*J792)*(S792/500))*500)*(H792/1.0)/3</f>
        <v/>
      </c>
      <c r="X792" s="6" t="n">
        <v>1200</v>
      </c>
      <c r="Y792">
        <f>IFERROR(W792-X792,"")</f>
        <v/>
      </c>
      <c r="Z792">
        <f>IFERROR(ABS(Y792)/MAX(X792,1),"")</f>
        <v/>
      </c>
      <c r="AA792">
        <f>IFERROR(ROUND(((3*X792-(((E792/60000)+(F792/75)+(S792/500))*500/4+((E792/60000)*(F792/75))*500/2)*(H792/1.0))/(500/4+((S792/500))*500/2+((E792/60000)*(F792/75)*(S792/500))*500)*(H792/1.0)*15000)/J792,-1),"")</f>
        <v/>
      </c>
    </row>
    <row r="793">
      <c r="B793" s="7" t="inlineStr">
        <is>
          <t xml:space="preserve">  ↳ ChemicalHonestJohn</t>
        </is>
      </c>
      <c r="C793" s="7" t="inlineStr">
        <is>
          <t>Armament</t>
        </is>
      </c>
      <c r="L793" s="6" t="n">
        <v>120000</v>
      </c>
      <c r="M793" s="6" t="n">
        <v>142</v>
      </c>
      <c r="N793" s="6" t="n">
        <v>1</v>
      </c>
      <c r="O793" s="6" t="n"/>
      <c r="P793" s="6" t="n">
        <v>12345</v>
      </c>
      <c r="Q793" s="6" t="n">
        <v>1</v>
      </c>
      <c r="R793">
        <f>M793+IF(N793&gt;1,N(O793)*(N793-1),0)</f>
        <v/>
      </c>
      <c r="S793">
        <f>IFERROR(L793*MAX(N793,1)/R793*IF(ISBLANK(K792),1,K792),0)</f>
        <v/>
      </c>
      <c r="AB793" s="7" t="inlineStr">
        <is>
          <t>^HeavyMissile, ^HeavyBomb, ^HeavyFlameWeapon, ^HeavyChemicalWeapon</t>
        </is>
      </c>
    </row>
    <row r="794">
      <c r="A794" t="inlineStr">
        <is>
          <t>tiberiandawn</t>
        </is>
      </c>
      <c r="B794" t="inlineStr">
        <is>
          <t>td_nod_specterartillery</t>
        </is>
      </c>
      <c r="C794" t="inlineStr">
        <is>
          <t>Specter Artillery</t>
        </is>
      </c>
      <c r="D794" s="6" t="inlineStr">
        <is>
          <t>Artillery</t>
        </is>
      </c>
      <c r="E794" s="6" t="n">
        <v>22500</v>
      </c>
      <c r="F794" s="6" t="n">
        <v>100</v>
      </c>
      <c r="G794" t="inlineStr">
        <is>
          <t>Light</t>
        </is>
      </c>
      <c r="H794" s="6" t="n">
        <v>0.7333</v>
      </c>
      <c r="I794" s="6" t="n">
        <v>1</v>
      </c>
      <c r="J794" s="6" t="n">
        <v>1</v>
      </c>
      <c r="K794" s="6" t="n"/>
      <c r="P794">
        <f>MAX(P795,P796)</f>
        <v/>
      </c>
      <c r="S794">
        <f>S795+S796</f>
        <v/>
      </c>
      <c r="T794">
        <f>(E794/100000+F794/100+(P794/1000)*J794/5+S794/200)*200*I794*H794</f>
        <v/>
      </c>
      <c r="U794">
        <f>((E794*F794/25000)+((P794/1000)*J794*S794/2.5))*I794*H794</f>
        <v/>
      </c>
      <c r="V794">
        <f>(E794*F794*(P794/1000)*J794*S794*I794*H794)/12500000</f>
        <v/>
      </c>
      <c r="W794">
        <f>(((E794/60000)+(F794/75)+(S794/500)+((P794/15000)*J794))*500/4+(((E794/60000)*(F794/75))+(((P794/15000)*J794)*(S794/500)))*500/2+((E794/60000)*(F794/75)*((P794/15000)*J794)*(S794/500))*500)*(H794/1.0)/3</f>
        <v/>
      </c>
      <c r="X794" s="6" t="n">
        <v>900</v>
      </c>
      <c r="Y794">
        <f>IFERROR(W794-X794,"")</f>
        <v/>
      </c>
      <c r="Z794">
        <f>IFERROR(ABS(Y794)/MAX(X794,1),"")</f>
        <v/>
      </c>
      <c r="AA794">
        <f>IFERROR(ROUND(((3*X794-(((E794/60000)+(F794/75)+(S794/500))*500/4+((E794/60000)*(F794/75))*500/2)*(H794/1.0))/(500/4+((S794/500))*500/2+((E794/60000)*(F794/75)*(S794/500))*500)*(H794/1.0)*15000)/J794,-1),"")</f>
        <v/>
      </c>
    </row>
    <row r="795">
      <c r="B795" s="7" t="inlineStr">
        <is>
          <t xml:space="preserve">  ↳ SpecterArtilleryShell</t>
        </is>
      </c>
      <c r="C795" s="7" t="inlineStr">
        <is>
          <t>Armament</t>
        </is>
      </c>
      <c r="L795" s="6" t="n">
        <v>32000</v>
      </c>
      <c r="M795" s="6" t="n">
        <v>78</v>
      </c>
      <c r="N795" s="6" t="n">
        <v>1</v>
      </c>
      <c r="O795" s="6" t="n"/>
      <c r="P795" s="6" t="n">
        <v>12640</v>
      </c>
      <c r="Q795" s="6" t="n">
        <v>0.875</v>
      </c>
      <c r="R795">
        <f>M795+IF(N795&gt;1,N(O795)*(N795-1),0)</f>
        <v/>
      </c>
      <c r="S795">
        <f>IFERROR(L795*MAX(N795,1)/R795*IF(ISBLANK(K794),1,K794),0)</f>
        <v/>
      </c>
      <c r="AB795" s="7" t="inlineStr">
        <is>
          <t>^Warhead_Demolition_Light, ^Warhead_Concussion_Medium</t>
        </is>
      </c>
    </row>
    <row r="796">
      <c r="B796" s="7" t="inlineStr">
        <is>
          <t xml:space="preserve">  ↳ SpecterArtilleryShellUpgrade</t>
        </is>
      </c>
      <c r="C796" s="7" t="inlineStr">
        <is>
          <t>Armament@Upgrade</t>
        </is>
      </c>
      <c r="L796" s="6" t="n">
        <v>32000</v>
      </c>
      <c r="M796" s="6" t="n">
        <v>78</v>
      </c>
      <c r="N796" s="6" t="n">
        <v>1</v>
      </c>
      <c r="O796" s="6" t="n"/>
      <c r="P796" s="6" t="n">
        <v>12640</v>
      </c>
      <c r="Q796" s="6" t="n">
        <v>0.875</v>
      </c>
      <c r="R796">
        <f>M796+IF(N796&gt;1,N(O796)*(N796-1),0)</f>
        <v/>
      </c>
      <c r="S796">
        <f>IFERROR(L796*MAX(N796,1)/R796*IF(ISBLANK(K794),1,K794),0)</f>
        <v/>
      </c>
      <c r="AB796" s="7" t="inlineStr">
        <is>
          <t>^Warhead_Demolition_Light, ^Warhead_Concussion_Medium</t>
        </is>
      </c>
    </row>
    <row r="797">
      <c r="A797" t="inlineStr">
        <is>
          <t>redalert</t>
        </is>
      </c>
      <c r="B797" t="inlineStr">
        <is>
          <t>japan_ballista</t>
        </is>
      </c>
      <c r="C797" t="inlineStr">
        <is>
          <t>Ballista</t>
        </is>
      </c>
      <c r="D797" s="6" t="inlineStr">
        <is>
          <t>Artillery</t>
        </is>
      </c>
      <c r="E797" s="6" t="n">
        <v>65000</v>
      </c>
      <c r="F797" s="6" t="n">
        <v>65</v>
      </c>
      <c r="G797" t="inlineStr">
        <is>
          <t>Light</t>
        </is>
      </c>
      <c r="H797" s="6" t="n">
        <v>0.4853</v>
      </c>
      <c r="I797" s="6" t="n">
        <v>1</v>
      </c>
      <c r="J797" s="6" t="n">
        <v>1</v>
      </c>
      <c r="K797" s="6" t="n">
        <v>0.0075</v>
      </c>
      <c r="P797">
        <f>MAX(P798,P799)</f>
        <v/>
      </c>
      <c r="S797">
        <f>S798+S799</f>
        <v/>
      </c>
      <c r="T797">
        <f>(E797/100000+F797/100+(P797/1000)*J797/5+S797/200)*200*I797*H797</f>
        <v/>
      </c>
      <c r="U797">
        <f>((E797*F797/25000)+((P797/1000)*J797*S797/2.5))*I797*H797</f>
        <v/>
      </c>
      <c r="V797">
        <f>(E797*F797*(P797/1000)*J797*S797*I797*H797)/12500000</f>
        <v/>
      </c>
      <c r="W797">
        <f>(((E797/60000)+(F797/75)+(S797/500)+((P797/15000)*J797))*500/4+(((E797/60000)*(F797/75))+(((P797/15000)*J797)*(S797/500)))*500/2+((E797/60000)*(F797/75)*((P797/15000)*J797)*(S797/500))*500)*(H797/1.0)/3</f>
        <v/>
      </c>
      <c r="X797" s="6" t="n">
        <v>1150</v>
      </c>
      <c r="Y797">
        <f>IFERROR(W797-X797,"")</f>
        <v/>
      </c>
      <c r="Z797">
        <f>IFERROR(ABS(Y797)/MAX(X797,1),"")</f>
        <v/>
      </c>
      <c r="AA797">
        <f>IFERROR(ROUND(((3*X797-(((E797/60000)+(F797/75)+(S797/500))*500/4+((E797/60000)*(F797/75))*500/2)*(H797/1.0))/(500/4+((S797/500))*500/2+((E797/60000)*(F797/75)*(S797/500))*500)*(H797/1.0)*15000)/J797,-1),"")</f>
        <v/>
      </c>
    </row>
    <row r="798">
      <c r="B798" s="7" t="inlineStr">
        <is>
          <t xml:space="preserve">  ↳ BallistaMultiShot</t>
        </is>
      </c>
      <c r="C798" s="7" t="inlineStr">
        <is>
          <t>Armament@PRIMARY</t>
        </is>
      </c>
      <c r="L798" s="6" t="n">
        <v>40000</v>
      </c>
      <c r="M798" s="6" t="n">
        <v>176</v>
      </c>
      <c r="N798" s="6" t="n">
        <v>5</v>
      </c>
      <c r="O798" s="6" t="n">
        <v>6</v>
      </c>
      <c r="P798" s="6" t="n">
        <v>13515</v>
      </c>
      <c r="Q798" s="6" t="n">
        <v>1</v>
      </c>
      <c r="R798">
        <f>M798+IF(N798&gt;1,N(O798)*(N798-1),0)</f>
        <v/>
      </c>
      <c r="S798">
        <f>IFERROR(L798*MAX(N798,1)/R798*IF(ISBLANK(K797),1,K797),0)</f>
        <v/>
      </c>
      <c r="AB798" s="7" t="inlineStr">
        <is>
          <t>^Grenade, ^LightFlameWeapon, ^LightChemicalWeapon, ^ArrowWeapon</t>
        </is>
      </c>
    </row>
    <row r="799">
      <c r="B799" s="7" t="inlineStr">
        <is>
          <t xml:space="preserve">  ↳ BallistaMultiShotEnergized</t>
        </is>
      </c>
      <c r="C799" s="7" t="inlineStr">
        <is>
          <t>Armament@Upgrade</t>
        </is>
      </c>
      <c r="L799" s="6" t="n">
        <v>40000</v>
      </c>
      <c r="M799" s="6" t="n">
        <v>176</v>
      </c>
      <c r="N799" s="6" t="n">
        <v>5</v>
      </c>
      <c r="O799" s="6" t="n">
        <v>6</v>
      </c>
      <c r="P799" s="6" t="n">
        <v>13515</v>
      </c>
      <c r="Q799" s="6" t="n">
        <v>1</v>
      </c>
      <c r="R799">
        <f>M799+IF(N799&gt;1,N(O799)*(N799-1),0)</f>
        <v/>
      </c>
      <c r="S799">
        <f>IFERROR(L799*MAX(N799,1)/R799*IF(ISBLANK(K797),1,K797),0)</f>
        <v/>
      </c>
      <c r="AB799" s="7" t="inlineStr">
        <is>
          <t>^TeslaWeapon, ^MediumFlameWeapon, ^MediumChemicalWeapon, ^ArrowWeapon</t>
        </is>
      </c>
    </row>
    <row r="800">
      <c r="A800" t="inlineStr">
        <is>
          <t>redalert</t>
        </is>
      </c>
      <c r="B800" t="inlineStr">
        <is>
          <t>ra1_soviets_nuclearv2launcher</t>
        </is>
      </c>
      <c r="C800" t="inlineStr">
        <is>
          <t>Nuclear V2 Launcher</t>
        </is>
      </c>
      <c r="D800" s="6" t="inlineStr">
        <is>
          <t>Artillery</t>
        </is>
      </c>
      <c r="E800" s="6" t="n">
        <v>40000</v>
      </c>
      <c r="F800" s="6" t="n">
        <v>80</v>
      </c>
      <c r="G800" t="inlineStr">
        <is>
          <t>Light</t>
        </is>
      </c>
      <c r="H800" s="6" t="n">
        <v>0.4925</v>
      </c>
      <c r="I800" s="6" t="n">
        <v>1</v>
      </c>
      <c r="J800" s="6" t="n">
        <v>1</v>
      </c>
      <c r="K800" s="6" t="n"/>
      <c r="P800">
        <f>MAX(P801,P802)</f>
        <v/>
      </c>
      <c r="S800">
        <f>S801+S802</f>
        <v/>
      </c>
      <c r="T800">
        <f>(E800/100000+F800/100+(P800/1000)*J800/5+S800/200)*200*I800*H800</f>
        <v/>
      </c>
      <c r="U800">
        <f>((E800*F800/25000)+((P800/1000)*J800*S800/2.5))*I800*H800</f>
        <v/>
      </c>
      <c r="V800">
        <f>(E800*F800*(P800/1000)*J800*S800*I800*H800)/12500000</f>
        <v/>
      </c>
      <c r="W800">
        <f>(((E800/60000)+(F800/75)+(S800/500)+((P800/15000)*J800))*500/4+(((E800/60000)*(F800/75))+(((P800/15000)*J800)*(S800/500)))*500/2+((E800/60000)*(F800/75)*((P800/15000)*J800)*(S800/500))*500)*(H800/1.0)/3</f>
        <v/>
      </c>
      <c r="X800" s="6" t="n">
        <v>2300</v>
      </c>
      <c r="Y800">
        <f>IFERROR(W800-X800,"")</f>
        <v/>
      </c>
      <c r="Z800">
        <f>IFERROR(ABS(Y800)/MAX(X800,1),"")</f>
        <v/>
      </c>
      <c r="AA800">
        <f>IFERROR(ROUND(((3*X800-(((E800/60000)+(F800/75)+(S800/500))*500/4+((E800/60000)*(F800/75))*500/2)*(H800/1.0))/(500/4+((S800/500))*500/2+((E800/60000)*(F800/75)*(S800/500))*500)*(H800/1.0)*15000)/J800,-1),"")</f>
        <v/>
      </c>
    </row>
    <row r="801">
      <c r="B801" s="7" t="inlineStr">
        <is>
          <t xml:space="preserve">  ↳ SCUDNUKE</t>
        </is>
      </c>
      <c r="C801" s="7" t="inlineStr">
        <is>
          <t>Armament@PRIMARY</t>
        </is>
      </c>
      <c r="L801" s="6" t="n">
        <v>300000</v>
      </c>
      <c r="M801" s="6" t="n">
        <v>158</v>
      </c>
      <c r="N801" s="6" t="n">
        <v>1</v>
      </c>
      <c r="O801" s="6" t="n"/>
      <c r="P801" s="6" t="n">
        <v>12550</v>
      </c>
      <c r="Q801" s="6" t="n">
        <v>1</v>
      </c>
      <c r="R801">
        <f>M801+IF(N801&gt;1,N(O801)*(N801-1),0)</f>
        <v/>
      </c>
      <c r="S801">
        <f>IFERROR(L801*MAX(N801,1)/R801*IF(ISBLANK(K800),1,K800),0)</f>
        <v/>
      </c>
      <c r="AB801" s="7" t="inlineStr">
        <is>
          <t>^HeavyMissile, ^MediumMissile, ^LightMissile, ^HeavyBomb, ^ShrapnelWeapon, ^Grenade, ^HeavyChemicalWeapon, ^MediumChemicalWeapon, ^LightChemicalWeapon, ^HeavyFlameWeapon, ^MediumFlameWeapon, ^LightFlameWeapon, ^TankDestroyerCannon, ^FlakWeapon, ^NuclearWarhead</t>
        </is>
      </c>
    </row>
    <row r="802">
      <c r="B802" s="7" t="inlineStr">
        <is>
          <t xml:space="preserve">  ↳ SCUDNUKEThermobaric</t>
        </is>
      </c>
      <c r="C802" s="7" t="inlineStr">
        <is>
          <t>Armament@Upgrade</t>
        </is>
      </c>
      <c r="L802" s="6" t="n">
        <v>300000</v>
      </c>
      <c r="M802" s="6" t="n">
        <v>158</v>
      </c>
      <c r="N802" s="6" t="n">
        <v>1</v>
      </c>
      <c r="O802" s="6" t="n"/>
      <c r="P802" s="6" t="n">
        <v>12550</v>
      </c>
      <c r="Q802" s="6" t="n">
        <v>1</v>
      </c>
      <c r="R802">
        <f>M802+IF(N802&gt;1,N(O802)*(N802-1),0)</f>
        <v/>
      </c>
      <c r="S802">
        <f>IFERROR(L802*MAX(N802,1)/R802*IF(ISBLANK(K800),1,K800),0)</f>
        <v/>
      </c>
      <c r="AB802" s="7" t="inlineStr">
        <is>
          <t>SCUDNUKE</t>
        </is>
      </c>
    </row>
    <row r="803">
      <c r="A803" t="inlineStr">
        <is>
          <t>redalert</t>
        </is>
      </c>
      <c r="B803" t="inlineStr">
        <is>
          <t>ra1_soviets_v1rockettruck</t>
        </is>
      </c>
      <c r="C803" t="inlineStr">
        <is>
          <t>V1 Rocket Truck</t>
        </is>
      </c>
      <c r="D803" s="6" t="inlineStr">
        <is>
          <t>Artillery</t>
        </is>
      </c>
      <c r="E803" s="6" t="n">
        <v>25000</v>
      </c>
      <c r="F803" s="6" t="n">
        <v>100</v>
      </c>
      <c r="G803" t="inlineStr">
        <is>
          <t>Light</t>
        </is>
      </c>
      <c r="H803" s="6" t="n">
        <v>1</v>
      </c>
      <c r="I803" s="6" t="n">
        <v>0.5</v>
      </c>
      <c r="J803" s="6" t="n">
        <v>1</v>
      </c>
      <c r="K803" s="6" t="n"/>
      <c r="P803">
        <f>MAX(P804,P805)</f>
        <v/>
      </c>
      <c r="S803">
        <f>S804+S805</f>
        <v/>
      </c>
      <c r="T803">
        <f>(E803/100000+F803/100+(P803/1000)*J803/5+S803/200)*200*I803*H803</f>
        <v/>
      </c>
      <c r="U803">
        <f>((E803*F803/25000)+((P803/1000)*J803*S803/2.5))*I803*H803</f>
        <v/>
      </c>
      <c r="V803">
        <f>(E803*F803*(P803/1000)*J803*S803*I803*H803)/12500000</f>
        <v/>
      </c>
      <c r="W803">
        <f>(((E803/60000)+(F803/75)+(S803/500)+((P803/15000)*J803))*500/4+(((E803/60000)*(F803/75))+(((P803/15000)*J803)*(S803/500)))*500/2+((E803/60000)*(F803/75)*((P803/15000)*J803)*(S803/500))*500)*(H803/1.0)/3</f>
        <v/>
      </c>
      <c r="X803" s="6" t="n">
        <v>850</v>
      </c>
      <c r="Y803">
        <f>IFERROR(W803-X803,"")</f>
        <v/>
      </c>
      <c r="Z803">
        <f>IFERROR(ABS(Y803)/MAX(X803,1),"")</f>
        <v/>
      </c>
      <c r="AA803">
        <f>IFERROR(ROUND(((3*X803-(((E803/60000)+(F803/75)+(S803/500))*500/4+((E803/60000)*(F803/75))*500/2)*(H803/1.0))/(500/4+((S803/500))*500/2+((E803/60000)*(F803/75)*(S803/500))*500)*(H803/1.0)*15000)/J803,-1),"")</f>
        <v/>
      </c>
    </row>
    <row r="804">
      <c r="B804" s="7" t="inlineStr">
        <is>
          <t xml:space="preserve">  ↳ v1rockets</t>
        </is>
      </c>
      <c r="C804" s="7" t="inlineStr">
        <is>
          <t>Armament</t>
        </is>
      </c>
      <c r="L804" s="6" t="n">
        <v>24000</v>
      </c>
      <c r="M804" s="6" t="n">
        <v>115</v>
      </c>
      <c r="N804" s="6" t="n">
        <v>4</v>
      </c>
      <c r="O804" s="6" t="n">
        <v>5</v>
      </c>
      <c r="P804" s="6" t="n">
        <v>9595</v>
      </c>
      <c r="Q804" s="6" t="n">
        <v>0.875</v>
      </c>
      <c r="R804">
        <f>M804+IF(N804&gt;1,N(O804)*(N804-1),0)</f>
        <v/>
      </c>
      <c r="S804">
        <f>IFERROR(L804*MAX(N804,1)/R804*IF(ISBLANK(K803),1,K803),0)</f>
        <v/>
      </c>
      <c r="AB804" s="7" t="inlineStr">
        <is>
          <t>^Warhead_MissileHE_Medium, ^Warhead_Demolition_Light</t>
        </is>
      </c>
    </row>
    <row r="805">
      <c r="B805" s="7" t="inlineStr">
        <is>
          <t xml:space="preserve">  ↳ v1rocketsThermobaric</t>
        </is>
      </c>
      <c r="C805" s="7" t="inlineStr">
        <is>
          <t>Armament@Upgrade</t>
        </is>
      </c>
      <c r="L805" s="6" t="n">
        <v>24000</v>
      </c>
      <c r="M805" s="6" t="n">
        <v>115</v>
      </c>
      <c r="N805" s="6" t="n">
        <v>4</v>
      </c>
      <c r="O805" s="6" t="n">
        <v>5</v>
      </c>
      <c r="P805" s="6" t="n">
        <v>9595</v>
      </c>
      <c r="Q805" s="6" t="n">
        <v>1</v>
      </c>
      <c r="R805">
        <f>M805+IF(N805&gt;1,N(O805)*(N805-1),0)</f>
        <v/>
      </c>
      <c r="S805">
        <f>IFERROR(L805*MAX(N805,1)/R805*IF(ISBLANK(K803),1,K803),0)</f>
        <v/>
      </c>
      <c r="AB805" s="7" t="inlineStr">
        <is>
          <t>^MediumMissile, ^Grenade, ^HeavyFlameWeapon</t>
        </is>
      </c>
    </row>
    <row r="806">
      <c r="A806" t="inlineStr">
        <is>
          <t>redalert</t>
        </is>
      </c>
      <c r="B806" t="inlineStr">
        <is>
          <t>ra1_soviets_v2rocketlauncher</t>
        </is>
      </c>
      <c r="C806" t="inlineStr">
        <is>
          <t>V2 Rocket Launcher</t>
        </is>
      </c>
      <c r="D806" s="6" t="inlineStr">
        <is>
          <t>Artillery</t>
        </is>
      </c>
      <c r="E806" s="6" t="n">
        <v>30000</v>
      </c>
      <c r="F806" s="6" t="n">
        <v>85</v>
      </c>
      <c r="G806" t="inlineStr">
        <is>
          <t>Light</t>
        </is>
      </c>
      <c r="H806" s="6" t="n">
        <v>0.75</v>
      </c>
      <c r="I806" s="6" t="n">
        <v>0.5</v>
      </c>
      <c r="J806" s="6" t="n">
        <v>1</v>
      </c>
      <c r="K806" s="6" t="n"/>
      <c r="P806">
        <f>MAX(P807,P808,P809)</f>
        <v/>
      </c>
      <c r="S806">
        <f>S807+S808+S809</f>
        <v/>
      </c>
      <c r="T806">
        <f>(E806/100000+F806/100+(P806/1000)*J806/5+S806/200)*200*I806*H806</f>
        <v/>
      </c>
      <c r="U806">
        <f>((E806*F806/25000)+((P806/1000)*J806*S806/2.5))*I806*H806</f>
        <v/>
      </c>
      <c r="V806">
        <f>(E806*F806*(P806/1000)*J806*S806*I806*H806)/12500000</f>
        <v/>
      </c>
      <c r="W806">
        <f>(((E806/60000)+(F806/75)+(S806/500)+((P806/15000)*J806))*500/4+(((E806/60000)*(F806/75))+(((P806/15000)*J806)*(S806/500)))*500/2+((E806/60000)*(F806/75)*((P806/15000)*J806)*(S806/500))*500)*(H806/1.0)/3</f>
        <v/>
      </c>
      <c r="X806" s="6" t="n">
        <v>1600</v>
      </c>
      <c r="Y806">
        <f>IFERROR(W806-X806,"")</f>
        <v/>
      </c>
      <c r="Z806">
        <f>IFERROR(ABS(Y806)/MAX(X806,1),"")</f>
        <v/>
      </c>
      <c r="AA806">
        <f>IFERROR(ROUND(((3*X806-(((E806/60000)+(F806/75)+(S806/500))*500/4+((E806/60000)*(F806/75))*500/2)*(H806/1.0))/(500/4+((S806/500))*500/2+((E806/60000)*(F806/75)*(S806/500))*500)*(H806/1.0)*15000)/J806,-1),"")</f>
        <v/>
      </c>
    </row>
    <row r="807">
      <c r="B807" s="7" t="inlineStr">
        <is>
          <t xml:space="preserve">  ↳ SCUD</t>
        </is>
      </c>
      <c r="C807" s="7" t="inlineStr">
        <is>
          <t>Armament@PRIMARY</t>
        </is>
      </c>
      <c r="L807" s="6" t="n">
        <v>120000</v>
      </c>
      <c r="M807" s="6" t="n">
        <v>120</v>
      </c>
      <c r="N807" s="6" t="n">
        <v>1</v>
      </c>
      <c r="O807" s="6" t="n"/>
      <c r="P807" s="6" t="n">
        <v>14110</v>
      </c>
      <c r="Q807" s="6" t="n">
        <v>1.25</v>
      </c>
      <c r="R807">
        <f>M807+IF(N807&gt;1,N(O807)*(N807-1),0)</f>
        <v/>
      </c>
      <c r="S807">
        <f>IFERROR(L807*MAX(N807,1)/R807*IF(ISBLANK(K806),1,K806),0)</f>
        <v/>
      </c>
      <c r="AB807" s="7" t="inlineStr">
        <is>
          <t>^Warhead_MissileHE_Heavy, ^Warhead_Flame_Heavy</t>
        </is>
      </c>
    </row>
    <row r="808">
      <c r="B808" s="7" t="inlineStr">
        <is>
          <t xml:space="preserve">  ↳ SCUDThermobaric</t>
        </is>
      </c>
      <c r="C808" s="7" t="inlineStr">
        <is>
          <t>Armament@HE</t>
        </is>
      </c>
      <c r="L808" s="6" t="n">
        <v>240000</v>
      </c>
      <c r="M808" s="6" t="n">
        <v>120</v>
      </c>
      <c r="N808" s="6" t="n">
        <v>1</v>
      </c>
      <c r="O808" s="6" t="n"/>
      <c r="P808" s="6" t="n">
        <v>14110</v>
      </c>
      <c r="Q808" s="6" t="n">
        <v>1</v>
      </c>
      <c r="R808">
        <f>M808+IF(N808&gt;1,N(O808)*(N808-1),0)</f>
        <v/>
      </c>
      <c r="S808">
        <f>IFERROR(L808*MAX(N808,1)/R808*IF(ISBLANK(K806),1,K806),0)</f>
        <v/>
      </c>
      <c r="AB808" s="7" t="inlineStr">
        <is>
          <t>^Warhead_Demolition_Heavy, ^Warhead_MissileHE_Heavy, ^Warhead_Flame_Heavy</t>
        </is>
      </c>
    </row>
    <row r="809">
      <c r="B809" s="7" t="inlineStr">
        <is>
          <t xml:space="preserve">  ↳ SCUDTesla</t>
        </is>
      </c>
      <c r="C809" s="7" t="inlineStr">
        <is>
          <t>Armament@Tesla</t>
        </is>
      </c>
      <c r="L809" s="6" t="n">
        <v>210000</v>
      </c>
      <c r="M809" s="6" t="n">
        <v>120</v>
      </c>
      <c r="N809" s="6" t="n">
        <v>1</v>
      </c>
      <c r="O809" s="6" t="n"/>
      <c r="P809" s="6" t="n">
        <v>14110</v>
      </c>
      <c r="Q809" s="6" t="n">
        <v>1</v>
      </c>
      <c r="R809">
        <f>M809+IF(N809&gt;1,N(O809)*(N809-1),0)</f>
        <v/>
      </c>
      <c r="S809">
        <f>IFERROR(L809*MAX(N809,1)/R809*IF(ISBLANK(K806),1,K806),0)</f>
        <v/>
      </c>
      <c r="AB809" s="7" t="inlineStr">
        <is>
          <t>^Warhead_Tesla_Heavy, ^Warhead_MissileHE_Heavy, ^Warhead_Flame_Heavy</t>
        </is>
      </c>
    </row>
    <row r="810">
      <c r="A810" t="inlineStr">
        <is>
          <t>redalert</t>
        </is>
      </c>
      <c r="B810" t="inlineStr">
        <is>
          <t>ra1_allies_alliedartillery</t>
        </is>
      </c>
      <c r="C810" t="inlineStr">
        <is>
          <t>Allied Artillery</t>
        </is>
      </c>
      <c r="D810" s="6" t="inlineStr">
        <is>
          <t>Artillery</t>
        </is>
      </c>
      <c r="E810" s="6" t="n">
        <v>20000</v>
      </c>
      <c r="F810" s="6" t="n">
        <v>60</v>
      </c>
      <c r="G810" t="inlineStr">
        <is>
          <t>Light</t>
        </is>
      </c>
      <c r="H810" s="6" t="n">
        <v>1</v>
      </c>
      <c r="I810" s="6" t="n">
        <v>0.5</v>
      </c>
      <c r="J810" s="6" t="n">
        <v>1</v>
      </c>
      <c r="K810" s="6" t="n"/>
      <c r="P810">
        <f>MAX(P811,P812)</f>
        <v/>
      </c>
      <c r="S810">
        <f>S811+S812</f>
        <v/>
      </c>
      <c r="T810">
        <f>(E810/100000+F810/100+(P810/1000)*J810/5+S810/200)*200*I810*H810</f>
        <v/>
      </c>
      <c r="U810">
        <f>((E810*F810/25000)+((P810/1000)*J810*S810/2.5))*I810*H810</f>
        <v/>
      </c>
      <c r="V810">
        <f>(E810*F810*(P810/1000)*J810*S810*I810*H810)/12500000</f>
        <v/>
      </c>
      <c r="W810">
        <f>(((E810/60000)+(F810/75)+(S810/500)+((P810/15000)*J810))*500/4+(((E810/60000)*(F810/75))+(((P810/15000)*J810)*(S810/500)))*500/2+((E810/60000)*(F810/75)*((P810/15000)*J810)*(S810/500))*500)*(H810/1.0)/3</f>
        <v/>
      </c>
      <c r="X810" s="6" t="n">
        <v>600</v>
      </c>
      <c r="Y810">
        <f>IFERROR(W810-X810,"")</f>
        <v/>
      </c>
      <c r="Z810">
        <f>IFERROR(ABS(Y810)/MAX(X810,1),"")</f>
        <v/>
      </c>
      <c r="AA810">
        <f>IFERROR(ROUND(((3*X810-(((E810/60000)+(F810/75)+(S810/500))*500/4+((E810/60000)*(F810/75))*500/2)*(H810/1.0))/(500/4+((S810/500))*500/2+((E810/60000)*(F810/75)*(S810/500))*500)*(H810/1.0)*15000)/J810,-1),"")</f>
        <v/>
      </c>
    </row>
    <row r="811">
      <c r="B811" s="7" t="inlineStr">
        <is>
          <t xml:space="preserve">  ↳ 155mm</t>
        </is>
      </c>
      <c r="C811" s="7" t="inlineStr">
        <is>
          <t>Armament</t>
        </is>
      </c>
      <c r="L811" s="6" t="n">
        <v>30000</v>
      </c>
      <c r="M811" s="6" t="n">
        <v>80</v>
      </c>
      <c r="N811" s="6" t="n">
        <v>1</v>
      </c>
      <c r="O811" s="6" t="n"/>
      <c r="P811" s="6" t="n">
        <v>13350</v>
      </c>
      <c r="Q811" s="6" t="n">
        <v>1</v>
      </c>
      <c r="R811">
        <f>M811+IF(N811&gt;1,N(O811)*(N811-1),0)</f>
        <v/>
      </c>
      <c r="S811">
        <f>IFERROR(L811*MAX(N811,1)/R811*IF(ISBLANK(K810),1,K810),0)</f>
        <v/>
      </c>
      <c r="AB811" s="7" t="inlineStr">
        <is>
          <t>^HeavyCannon, ^ShrapnelWeapon, ^Grenade</t>
        </is>
      </c>
    </row>
    <row r="812">
      <c r="B812" s="7" t="inlineStr">
        <is>
          <t xml:space="preserve">  ↳ 155mmCryo</t>
        </is>
      </c>
      <c r="C812" s="7" t="inlineStr">
        <is>
          <t>Armament@Upgrade</t>
        </is>
      </c>
      <c r="L812" s="6" t="n">
        <v>30000</v>
      </c>
      <c r="M812" s="6" t="n">
        <v>80</v>
      </c>
      <c r="N812" s="6" t="n">
        <v>1</v>
      </c>
      <c r="O812" s="6" t="n"/>
      <c r="P812" s="6" t="n">
        <v>13350</v>
      </c>
      <c r="Q812" s="6" t="n">
        <v>1</v>
      </c>
      <c r="R812">
        <f>M812+IF(N812&gt;1,N(O812)*(N812-1),0)</f>
        <v/>
      </c>
      <c r="S812">
        <f>IFERROR(L812*MAX(N812,1)/R812*IF(ISBLANK(K810),1,K810),0)</f>
        <v/>
      </c>
      <c r="AB812" s="7" t="inlineStr">
        <is>
          <t>155mm, ^CryoMissileProjectile</t>
        </is>
      </c>
    </row>
    <row r="813">
      <c r="A813" t="inlineStr">
        <is>
          <t>tiberiansun</t>
        </is>
      </c>
      <c r="B813" t="inlineStr">
        <is>
          <t>cabal_artilleryspider</t>
        </is>
      </c>
      <c r="C813" t="inlineStr">
        <is>
          <t>Artillery Spider</t>
        </is>
      </c>
      <c r="D813" s="6" t="inlineStr">
        <is>
          <t>Artillery</t>
        </is>
      </c>
      <c r="E813" s="6" t="n">
        <v>50000</v>
      </c>
      <c r="F813" s="6" t="n">
        <v>70</v>
      </c>
      <c r="G813" t="inlineStr">
        <is>
          <t>Light</t>
        </is>
      </c>
      <c r="H813" s="6" t="n">
        <v>1</v>
      </c>
      <c r="I813" s="6" t="n">
        <v>0.5</v>
      </c>
      <c r="J813" s="6" t="n">
        <v>1.25</v>
      </c>
      <c r="K813" s="6" t="n"/>
      <c r="P813">
        <f>MAX(P814,P815)</f>
        <v/>
      </c>
      <c r="S813">
        <f>S814+S815</f>
        <v/>
      </c>
      <c r="T813">
        <f>(E813/100000+F813/100+(P813/1000)*J813/5+S813/200)*200*I813*H813</f>
        <v/>
      </c>
      <c r="U813">
        <f>((E813*F813/25000)+((P813/1000)*J813*S813/2.5))*I813*H813</f>
        <v/>
      </c>
      <c r="V813">
        <f>(E813*F813*(P813/1000)*J813*S813*I813*H813)/12500000</f>
        <v/>
      </c>
      <c r="W813">
        <f>(((E813/60000)+(F813/75)+(S813/500)+((P813/15000)*J813))*500/4+(((E813/60000)*(F813/75))+(((P813/15000)*J813)*(S813/500)))*500/2+((E813/60000)*(F813/75)*((P813/15000)*J813)*(S813/500))*500)*(H813/1.0)/3</f>
        <v/>
      </c>
      <c r="X813" s="6" t="n">
        <v>1250</v>
      </c>
      <c r="Y813">
        <f>IFERROR(W813-X813,"")</f>
        <v/>
      </c>
      <c r="Z813">
        <f>IFERROR(ABS(Y813)/MAX(X813,1),"")</f>
        <v/>
      </c>
      <c r="AA813">
        <f>IFERROR(ROUND(((3*X813-(((E813/60000)+(F813/75)+(S813/500))*500/4+((E813/60000)*(F813/75))*500/2)*(H813/1.0))/(500/4+((S813/500))*500/2+((E813/60000)*(F813/75)*(S813/500))*500)*(H813/1.0)*15000)/J813,-1),"")</f>
        <v/>
      </c>
    </row>
    <row r="814">
      <c r="B814" s="7" t="inlineStr">
        <is>
          <t xml:space="preserve">  ↳ CabalArtilleryWalkerShell</t>
        </is>
      </c>
      <c r="C814" s="7" t="inlineStr">
        <is>
          <t>Armament@PRIMARY</t>
        </is>
      </c>
      <c r="L814" s="6" t="n">
        <v>168000</v>
      </c>
      <c r="M814" s="6" t="n">
        <v>64</v>
      </c>
      <c r="N814" s="6" t="n">
        <v>1</v>
      </c>
      <c r="O814" s="6" t="n"/>
      <c r="P814" s="6" t="n">
        <v>11580</v>
      </c>
      <c r="Q814" s="6" t="n">
        <v>1</v>
      </c>
      <c r="R814">
        <f>M814+IF(N814&gt;1,N(O814)*(N814-1),0)</f>
        <v/>
      </c>
      <c r="S814">
        <f>IFERROR(L814*MAX(N814,1)/R814*IF(ISBLANK(K813),1,K813),0)</f>
        <v/>
      </c>
      <c r="AB814" s="7" t="inlineStr">
        <is>
          <t>^Grenade, ^ShrapnelWeapon, ^MediumCannon, ^HeavyCannon</t>
        </is>
      </c>
    </row>
    <row r="815">
      <c r="B815" s="7" t="inlineStr">
        <is>
          <t xml:space="preserve">  ↳ CabalArtilleryWalkerShellUpgraded</t>
        </is>
      </c>
      <c r="C815" s="7" t="inlineStr">
        <is>
          <t>Armament@Upgraded</t>
        </is>
      </c>
      <c r="L815" s="6" t="n">
        <v>336000</v>
      </c>
      <c r="M815" s="6" t="n">
        <v>64</v>
      </c>
      <c r="N815" s="6" t="n">
        <v>1</v>
      </c>
      <c r="O815" s="6" t="n"/>
      <c r="P815" s="6" t="n">
        <v>11580</v>
      </c>
      <c r="Q815" s="6" t="n">
        <v>1</v>
      </c>
      <c r="R815">
        <f>M815+IF(N815&gt;1,N(O815)*(N815-1),0)</f>
        <v/>
      </c>
      <c r="S815">
        <f>IFERROR(L815*MAX(N815,1)/R815*IF(ISBLANK(K813),1,K813),0)</f>
        <v/>
      </c>
      <c r="AB815" s="7" t="inlineStr">
        <is>
          <t>^Grenade, ^ShrapnelWeapon, ^MediumCannon, ^HeavyCannon, ^MediumChemicalWeapon, ^TeslaChargedWeapon, ^MagicWeapon, ^RailgunWeapon</t>
        </is>
      </c>
    </row>
    <row r="816">
      <c r="A816" t="inlineStr">
        <is>
          <t>tiberiansun</t>
        </is>
      </c>
      <c r="B816" t="inlineStr">
        <is>
          <t>ts_gdi_juggernautmkii</t>
        </is>
      </c>
      <c r="C816" t="inlineStr">
        <is>
          <t>Juggernaut MK II</t>
        </is>
      </c>
      <c r="D816" s="6" t="inlineStr">
        <is>
          <t>Artillery</t>
        </is>
      </c>
      <c r="E816" s="6" t="n">
        <v>50000</v>
      </c>
      <c r="F816" s="6" t="n">
        <v>70</v>
      </c>
      <c r="G816" t="inlineStr">
        <is>
          <t>Light</t>
        </is>
      </c>
      <c r="H816" s="6" t="n">
        <v>0.6471</v>
      </c>
      <c r="I816" s="6" t="n">
        <v>1</v>
      </c>
      <c r="J816" s="6" t="n">
        <v>1</v>
      </c>
      <c r="K816" s="6" t="n"/>
      <c r="P816">
        <f>MAX(P817)</f>
        <v/>
      </c>
      <c r="S816">
        <f>S817</f>
        <v/>
      </c>
      <c r="T816">
        <f>(E816/100000+F816/100+(P816/1000)*J816/5+S816/200)*200*I816*H816</f>
        <v/>
      </c>
      <c r="U816">
        <f>((E816*F816/25000)+((P816/1000)*J816*S816/2.5))*I816*H816</f>
        <v/>
      </c>
      <c r="V816">
        <f>(E816*F816*(P816/1000)*J816*S816*I816*H816)/12500000</f>
        <v/>
      </c>
      <c r="W816">
        <f>(((E816/60000)+(F816/75)+(S816/500)+((P816/15000)*J816))*500/4+(((E816/60000)*(F816/75))+(((P816/15000)*J816)*(S816/500)))*500/2+((E816/60000)*(F816/75)*((P816/15000)*J816)*(S816/500))*500)*(H816/1.0)/3</f>
        <v/>
      </c>
      <c r="X816" s="6" t="n">
        <v>2200</v>
      </c>
      <c r="Y816">
        <f>IFERROR(W816-X816,"")</f>
        <v/>
      </c>
      <c r="Z816">
        <f>IFERROR(ABS(Y816)/MAX(X816,1),"")</f>
        <v/>
      </c>
      <c r="AA816">
        <f>IFERROR(ROUND(((3*X816-(((E816/60000)+(F816/75)+(S816/500))*500/4+((E816/60000)*(F816/75))*500/2)*(H816/1.0))/(500/4+((S816/500))*500/2+((E816/60000)*(F816/75)*(S816/500))*500)*(H816/1.0)*15000)/J816,-1),"")</f>
        <v/>
      </c>
    </row>
    <row r="817">
      <c r="B817" s="7" t="inlineStr">
        <is>
          <t xml:space="preserve">  ↳ TSJugg120mm</t>
        </is>
      </c>
      <c r="C817" s="7" t="inlineStr">
        <is>
          <t>Armament@PRIMARY</t>
        </is>
      </c>
      <c r="L817" s="6" t="n">
        <v>40000</v>
      </c>
      <c r="M817" s="6" t="n">
        <v>64</v>
      </c>
      <c r="N817" s="6" t="n">
        <v>3</v>
      </c>
      <c r="O817" s="6" t="n">
        <v>3</v>
      </c>
      <c r="P817" s="6" t="n">
        <v>12860</v>
      </c>
      <c r="Q817" s="6" t="n">
        <v>1</v>
      </c>
      <c r="R817">
        <f>M817+IF(N817&gt;1,N(O817)*(N817-1),0)</f>
        <v/>
      </c>
      <c r="S817">
        <f>IFERROR(L817*MAX(N817,1)/R817*IF(ISBLANK(K816),1,K816),0)</f>
        <v/>
      </c>
      <c r="AB817" s="7" t="inlineStr">
        <is>
          <t>^Warhead_Concussion_Medium</t>
        </is>
      </c>
    </row>
    <row r="818">
      <c r="A818" t="inlineStr">
        <is>
          <t>redalert2</t>
        </is>
      </c>
      <c r="B818" t="inlineStr">
        <is>
          <t>ra2_soviets_v3rocketlauncher</t>
        </is>
      </c>
      <c r="C818" t="inlineStr">
        <is>
          <t>V3 Rocket Launcher</t>
        </is>
      </c>
      <c r="D818" s="6" t="inlineStr">
        <is>
          <t>Artillery</t>
        </is>
      </c>
      <c r="E818" s="6" t="n">
        <v>37500</v>
      </c>
      <c r="F818" s="6" t="n">
        <v>75</v>
      </c>
      <c r="G818" t="inlineStr">
        <is>
          <t>Light</t>
        </is>
      </c>
      <c r="H818" s="6" t="n">
        <v>1</v>
      </c>
      <c r="I818" s="6" t="n">
        <v>0.25</v>
      </c>
      <c r="J818" s="6" t="n">
        <v>1</v>
      </c>
      <c r="K818" s="6" t="n">
        <v>0.0125</v>
      </c>
      <c r="X818" s="6" t="n">
        <v>900</v>
      </c>
    </row>
    <row r="819">
      <c r="B819" s="7" t="inlineStr">
        <is>
          <t xml:space="preserve">  ↳ V3Launch</t>
        </is>
      </c>
      <c r="C819" s="7" t="inlineStr">
        <is>
          <t>Armament</t>
        </is>
      </c>
      <c r="L819" s="6" t="n"/>
      <c r="M819" s="6" t="n">
        <v>50</v>
      </c>
      <c r="N819" s="6" t="n">
        <v>1</v>
      </c>
      <c r="O819" s="6" t="n"/>
      <c r="P819" s="6" t="n">
        <v>15000</v>
      </c>
      <c r="Q819" s="6" t="n">
        <v>1</v>
      </c>
      <c r="R819">
        <f>M819+IF(N819&gt;1,N(O819)*(N819-1),0)</f>
        <v/>
      </c>
      <c r="S819">
        <f>IFERROR(L819*MAX(N819,1)/R819*IF(ISBLANK(K818),1,K818),0)</f>
        <v/>
      </c>
      <c r="AB819" s="7" t="inlineStr"/>
    </row>
    <row r="820">
      <c r="B820" s="7" t="inlineStr">
        <is>
          <t xml:space="preserve">  ↳ V3Launch_elite</t>
        </is>
      </c>
      <c r="C820" s="7" t="inlineStr">
        <is>
          <t>Armament@PRIMARYELITE</t>
        </is>
      </c>
      <c r="L820" s="6" t="n"/>
      <c r="M820" s="6" t="n">
        <v>50</v>
      </c>
      <c r="N820" s="6" t="n">
        <v>1</v>
      </c>
      <c r="O820" s="6" t="n"/>
      <c r="P820" s="6" t="n">
        <v>20000</v>
      </c>
      <c r="Q820" s="6" t="n">
        <v>1</v>
      </c>
      <c r="R820">
        <f>M820+IF(N820&gt;1,N(O820)*(N820-1),0)</f>
        <v/>
      </c>
      <c r="S820">
        <f>IFERROR(L820*MAX(N820,1)/R820*IF(ISBLANK(K818),1,K818),0)</f>
        <v/>
      </c>
      <c r="AB820" s="7" t="inlineStr"/>
    </row>
    <row r="821">
      <c r="A821" t="inlineStr">
        <is>
          <t>redalert2mod</t>
        </is>
      </c>
      <c r="B821" t="inlineStr">
        <is>
          <t>asianalliance_viper</t>
        </is>
      </c>
      <c r="C821" t="inlineStr">
        <is>
          <t>Viper</t>
        </is>
      </c>
      <c r="D821" s="6" t="inlineStr">
        <is>
          <t>Artillery</t>
        </is>
      </c>
      <c r="E821" s="6" t="n">
        <v>25000</v>
      </c>
      <c r="F821" s="6" t="n">
        <v>125</v>
      </c>
      <c r="G821" t="inlineStr">
        <is>
          <t>Light</t>
        </is>
      </c>
      <c r="H821" s="6" t="n">
        <v>0.6875</v>
      </c>
      <c r="I821" s="6" t="n">
        <v>1</v>
      </c>
      <c r="J821" s="6" t="n">
        <v>1</v>
      </c>
      <c r="K821" s="6" t="n"/>
      <c r="P821">
        <f>MAX(P822,P823)</f>
        <v/>
      </c>
      <c r="S821">
        <f>S822+S823</f>
        <v/>
      </c>
      <c r="T821">
        <f>(E821/100000+F821/100+(P821/1000)*J821/5+S821/200)*200*I821*H821</f>
        <v/>
      </c>
      <c r="U821">
        <f>((E821*F821/25000)+((P821/1000)*J821*S821/2.5))*I821*H821</f>
        <v/>
      </c>
      <c r="V821">
        <f>(E821*F821*(P821/1000)*J821*S821*I821*H821)/12500000</f>
        <v/>
      </c>
      <c r="W821">
        <f>(((E821/60000)+(F821/75)+(S821/500)+((P821/15000)*J821))*500/4+(((E821/60000)*(F821/75))+(((P821/15000)*J821)*(S821/500)))*500/2+((E821/60000)*(F821/75)*((P821/15000)*J821)*(S821/500))*500)*(H821/1.0)/3</f>
        <v/>
      </c>
      <c r="X821" s="6" t="n">
        <v>700</v>
      </c>
      <c r="Y821">
        <f>IFERROR(W821-X821,"")</f>
        <v/>
      </c>
      <c r="Z821">
        <f>IFERROR(ABS(Y821)/MAX(X821,1),"")</f>
        <v/>
      </c>
      <c r="AA821">
        <f>IFERROR(ROUND(((3*X821-(((E821/60000)+(F821/75)+(S821/500))*500/4+((E821/60000)*(F821/75))*500/2)*(H821/1.0))/(500/4+((S821/500))*500/2+((E821/60000)*(F821/75)*(S821/500))*500)*(H821/1.0)*15000)/J821,-1),"")</f>
        <v/>
      </c>
    </row>
    <row r="822">
      <c r="B822" s="7" t="inlineStr">
        <is>
          <t xml:space="preserve">  ↳ AsianChemical</t>
        </is>
      </c>
      <c r="C822" s="7" t="inlineStr">
        <is>
          <t>Armament@PRIMARY</t>
        </is>
      </c>
      <c r="L822" s="6" t="n">
        <v>24000</v>
      </c>
      <c r="M822" s="6" t="n">
        <v>60</v>
      </c>
      <c r="N822" s="6" t="n">
        <v>1</v>
      </c>
      <c r="O822" s="6" t="n"/>
      <c r="P822" s="6" t="n">
        <v>9000</v>
      </c>
      <c r="Q822" s="6" t="n">
        <v>0.75</v>
      </c>
      <c r="R822">
        <f>M822+IF(N822&gt;1,N(O822)*(N822-1),0)</f>
        <v/>
      </c>
      <c r="S822">
        <f>IFERROR(L822*MAX(N822,1)/R822*IF(ISBLANK(K821),1,K821),0)</f>
        <v/>
      </c>
      <c r="AB822" s="7" t="inlineStr">
        <is>
          <t>^Warhead_Demolition_Light</t>
        </is>
      </c>
    </row>
    <row r="823">
      <c r="B823" s="7" t="inlineStr">
        <is>
          <t xml:space="preserve">  ↳ AsianChemical_elite</t>
        </is>
      </c>
      <c r="C823" s="7" t="inlineStr">
        <is>
          <t>Armament@ELITE</t>
        </is>
      </c>
      <c r="L823" s="6" t="n">
        <v>24000</v>
      </c>
      <c r="M823" s="6" t="n">
        <v>60</v>
      </c>
      <c r="N823" s="6" t="n">
        <v>2</v>
      </c>
      <c r="O823" s="6" t="n">
        <v>3</v>
      </c>
      <c r="P823" s="6" t="n">
        <v>10000</v>
      </c>
      <c r="Q823" s="6" t="n">
        <v>0.75</v>
      </c>
      <c r="R823">
        <f>M823+IF(N823&gt;1,N(O823)*(N823-1),0)</f>
        <v/>
      </c>
      <c r="S823">
        <f>IFERROR(L823*MAX(N823,1)/R823*IF(ISBLANK(K821),1,K821),0)</f>
        <v/>
      </c>
      <c r="AB823" s="7" t="inlineStr">
        <is>
          <t>^Warhead_Demolition_Light</t>
        </is>
      </c>
    </row>
    <row r="824">
      <c r="A824" t="inlineStr">
        <is>
          <t>redalert2mod</t>
        </is>
      </c>
      <c r="B824" t="inlineStr">
        <is>
          <t>steelconsortium_dagger</t>
        </is>
      </c>
      <c r="C824" t="inlineStr">
        <is>
          <t>Dagger</t>
        </is>
      </c>
      <c r="D824" s="6" t="inlineStr">
        <is>
          <t>Artillery</t>
        </is>
      </c>
      <c r="E824" s="6" t="n">
        <v>25000</v>
      </c>
      <c r="F824" s="6" t="n">
        <v>100</v>
      </c>
      <c r="G824" t="inlineStr">
        <is>
          <t>Light</t>
        </is>
      </c>
      <c r="H824" s="6" t="n">
        <v>0.75</v>
      </c>
      <c r="I824" s="6" t="n">
        <v>1</v>
      </c>
      <c r="J824" s="6" t="n">
        <v>1</v>
      </c>
      <c r="K824" s="6" t="n"/>
      <c r="P824">
        <f>MAX(P825,P826)</f>
        <v/>
      </c>
      <c r="S824">
        <f>S825+S826</f>
        <v/>
      </c>
      <c r="T824">
        <f>(E824/100000+F824/100+(P824/1000)*J824/5+S824/200)*200*I824*H824</f>
        <v/>
      </c>
      <c r="U824">
        <f>((E824*F824/25000)+((P824/1000)*J824*S824/2.5))*I824*H824</f>
        <v/>
      </c>
      <c r="V824">
        <f>(E824*F824*(P824/1000)*J824*S824*I824*H824)/12500000</f>
        <v/>
      </c>
      <c r="W824">
        <f>(((E824/60000)+(F824/75)+(S824/500)+((P824/15000)*J824))*500/4+(((E824/60000)*(F824/75))+(((P824/15000)*J824)*(S824/500)))*500/2+((E824/60000)*(F824/75)*((P824/15000)*J824)*(S824/500))*500)*(H824/1.0)/3</f>
        <v/>
      </c>
      <c r="X824" s="6" t="n">
        <v>1300</v>
      </c>
      <c r="Y824">
        <f>IFERROR(W824-X824,"")</f>
        <v/>
      </c>
      <c r="Z824">
        <f>IFERROR(ABS(Y824)/MAX(X824,1),"")</f>
        <v/>
      </c>
      <c r="AA824">
        <f>IFERROR(ROUND(((3*X824-(((E824/60000)+(F824/75)+(S824/500))*500/4+((E824/60000)*(F824/75))*500/2)*(H824/1.0))/(500/4+((S824/500))*500/2+((E824/60000)*(F824/75)*(S824/500))*500)*(H824/1.0)*15000)/J824,-1),"")</f>
        <v/>
      </c>
    </row>
    <row r="825">
      <c r="B825" s="7" t="inlineStr">
        <is>
          <t xml:space="preserve">  ↳ SteelDaggerCannon</t>
        </is>
      </c>
      <c r="C825" s="7" t="inlineStr">
        <is>
          <t>Armament@PRIMARY</t>
        </is>
      </c>
      <c r="L825" s="6" t="n">
        <v>8000</v>
      </c>
      <c r="M825" s="6" t="n">
        <v>50</v>
      </c>
      <c r="N825" s="6" t="n">
        <v>4</v>
      </c>
      <c r="O825" s="6" t="n">
        <v>0</v>
      </c>
      <c r="P825" s="6" t="n">
        <v>20000</v>
      </c>
      <c r="Q825" s="6" t="n">
        <v>1</v>
      </c>
      <c r="R825">
        <f>M825+IF(N825&gt;1,N(O825)*(N825-1),0)</f>
        <v/>
      </c>
      <c r="S825">
        <f>IFERROR(L825*MAX(N825,1)/R825*IF(ISBLANK(K824),1,K824),0)</f>
        <v/>
      </c>
      <c r="AB825" s="7" t="inlineStr">
        <is>
          <t>^Warhead_Demolition_Light, ^Warhead_CannonHE_Heavy</t>
        </is>
      </c>
    </row>
    <row r="826">
      <c r="B826" s="7" t="inlineStr">
        <is>
          <t xml:space="preserve">  ↳ SteelDaggerCannon_elite</t>
        </is>
      </c>
      <c r="C826" s="7" t="inlineStr">
        <is>
          <t>Armament@ELITE</t>
        </is>
      </c>
      <c r="L826" s="6" t="n">
        <v>8000</v>
      </c>
      <c r="M826" s="6" t="n">
        <v>50</v>
      </c>
      <c r="N826" s="6" t="n">
        <v>8</v>
      </c>
      <c r="O826" s="6" t="n">
        <v>0</v>
      </c>
      <c r="P826" s="6" t="n">
        <v>25000</v>
      </c>
      <c r="Q826" s="6" t="n">
        <v>1</v>
      </c>
      <c r="R826">
        <f>M826+IF(N826&gt;1,N(O826)*(N826-1),0)</f>
        <v/>
      </c>
      <c r="S826">
        <f>IFERROR(L826*MAX(N826,1)/R826*IF(ISBLANK(K824),1,K824),0)</f>
        <v/>
      </c>
      <c r="AB826" s="7" t="inlineStr">
        <is>
          <t>^Warhead_Demolition_Light, ^Warhead_CannonHE_Heavy</t>
        </is>
      </c>
    </row>
    <row r="827">
      <c r="A827" t="inlineStr">
        <is>
          <t>redalert2mod</t>
        </is>
      </c>
      <c r="B827" t="inlineStr">
        <is>
          <t>steelconsortium_hammerheadartillerytank</t>
        </is>
      </c>
      <c r="C827" t="inlineStr">
        <is>
          <t>Hammerhead Artillery Tank</t>
        </is>
      </c>
      <c r="D827" s="6" t="inlineStr">
        <is>
          <t>Artillery</t>
        </is>
      </c>
      <c r="E827" s="6" t="n">
        <v>52500</v>
      </c>
      <c r="F827" s="6" t="n">
        <v>100</v>
      </c>
      <c r="G827" t="inlineStr">
        <is>
          <t>Light</t>
        </is>
      </c>
      <c r="H827" s="6" t="n">
        <v>0.6735</v>
      </c>
      <c r="I827" s="6" t="n">
        <v>1</v>
      </c>
      <c r="J827" s="6" t="n">
        <v>1</v>
      </c>
      <c r="K827" s="6" t="n"/>
      <c r="P827">
        <f>MAX(P828,P829)</f>
        <v/>
      </c>
      <c r="S827">
        <f>S828+S829</f>
        <v/>
      </c>
      <c r="T827">
        <f>(E827/100000+F827/100+(P827/1000)*J827/5+S827/200)*200*I827*H827</f>
        <v/>
      </c>
      <c r="U827">
        <f>((E827*F827/25000)+((P827/1000)*J827*S827/2.5))*I827*H827</f>
        <v/>
      </c>
      <c r="V827">
        <f>(E827*F827*(P827/1000)*J827*S827*I827*H827)/12500000</f>
        <v/>
      </c>
      <c r="W827">
        <f>(((E827/60000)+(F827/75)+(S827/500)+((P827/15000)*J827))*500/4+(((E827/60000)*(F827/75))+(((P827/15000)*J827)*(S827/500)))*500/2+((E827/60000)*(F827/75)*((P827/15000)*J827)*(S827/500))*500)*(H827/1.0)/3</f>
        <v/>
      </c>
      <c r="X827" s="6" t="n">
        <v>1000</v>
      </c>
      <c r="Y827">
        <f>IFERROR(W827-X827,"")</f>
        <v/>
      </c>
      <c r="Z827">
        <f>IFERROR(ABS(Y827)/MAX(X827,1),"")</f>
        <v/>
      </c>
      <c r="AA827">
        <f>IFERROR(ROUND(((3*X827-(((E827/60000)+(F827/75)+(S827/500))*500/4+((E827/60000)*(F827/75))*500/2)*(H827/1.0))/(500/4+((S827/500))*500/2+((E827/60000)*(F827/75)*(S827/500))*500)*(H827/1.0)*15000)/J827,-1),"")</f>
        <v/>
      </c>
    </row>
    <row r="828">
      <c r="B828" s="7" t="inlineStr">
        <is>
          <t xml:space="preserve">  ↳ HammerheadTankCannon</t>
        </is>
      </c>
      <c r="C828" s="7" t="inlineStr">
        <is>
          <t>Armament@Undeployed</t>
        </is>
      </c>
      <c r="L828" s="6" t="n">
        <v>24000</v>
      </c>
      <c r="M828" s="6" t="n">
        <v>55</v>
      </c>
      <c r="N828" s="6" t="n">
        <v>1</v>
      </c>
      <c r="O828" s="6" t="n"/>
      <c r="P828" s="6" t="n">
        <v>5150</v>
      </c>
      <c r="Q828" s="6" t="n">
        <v>1</v>
      </c>
      <c r="R828">
        <f>M828+IF(N828&gt;1,N(O828)*(N828-1),0)</f>
        <v/>
      </c>
      <c r="S828">
        <f>IFERROR(L828*MAX(N828,1)/R828*IF(ISBLANK(K827),1,K827),0)</f>
        <v/>
      </c>
      <c r="AB828" s="7" t="inlineStr">
        <is>
          <t>^Warhead_CannonHE_Medium</t>
        </is>
      </c>
    </row>
    <row r="829">
      <c r="B829" s="7" t="inlineStr">
        <is>
          <t xml:space="preserve">  ↳ HammerheadArtillery</t>
        </is>
      </c>
      <c r="C829" s="7" t="inlineStr">
        <is>
          <t>Armament@Deployed</t>
        </is>
      </c>
      <c r="L829" s="6" t="n">
        <v>33333</v>
      </c>
      <c r="M829" s="6" t="n">
        <v>111</v>
      </c>
      <c r="N829" s="6" t="n">
        <v>1</v>
      </c>
      <c r="O829" s="6" t="n"/>
      <c r="P829" s="6" t="n">
        <v>11111</v>
      </c>
      <c r="Q829" s="6" t="n">
        <v>0.875</v>
      </c>
      <c r="R829">
        <f>M829+IF(N829&gt;1,N(O829)*(N829-1),0)</f>
        <v/>
      </c>
      <c r="S829">
        <f>IFERROR(L829*MAX(N829,1)/R829*IF(ISBLANK(K827),1,K827),0)</f>
        <v/>
      </c>
      <c r="AB829" s="7" t="inlineStr">
        <is>
          <t>^Warhead_Demolition_Light, ^Warhead_CannonHE_Medium</t>
        </is>
      </c>
    </row>
    <row r="830">
      <c r="B830" s="7" t="inlineStr">
        <is>
          <t xml:space="preserve">  ↳ deploytargeting_10c0</t>
        </is>
      </c>
      <c r="C830" s="7" t="inlineStr">
        <is>
          <t>Armament@BOT</t>
        </is>
      </c>
      <c r="L830" s="6" t="n"/>
      <c r="M830" s="6" t="n">
        <v>50</v>
      </c>
      <c r="N830" s="6" t="n">
        <v>1</v>
      </c>
      <c r="O830" s="6" t="n"/>
      <c r="P830" s="6" t="n">
        <v>10000</v>
      </c>
      <c r="Q830" s="6" t="n">
        <v>1</v>
      </c>
      <c r="R830">
        <f>M830+IF(N830&gt;1,N(O830)*(N830-1),0)</f>
        <v/>
      </c>
      <c r="S830">
        <f>IFERROR(L830*MAX(N830,1)/R830*IF(ISBLANK(K827),1,K827),0)</f>
        <v/>
      </c>
      <c r="AB830" s="7" t="inlineStr">
        <is>
          <t>^DeployTargeting</t>
        </is>
      </c>
    </row>
    <row r="831">
      <c r="A831" t="inlineStr">
        <is>
          <t>redalert2mod</t>
        </is>
      </c>
      <c r="B831" t="inlineStr">
        <is>
          <t>latinsyndicate_burrito</t>
        </is>
      </c>
      <c r="C831" t="inlineStr">
        <is>
          <t>Burrito</t>
        </is>
      </c>
      <c r="D831" s="6" t="inlineStr">
        <is>
          <t>Artillery</t>
        </is>
      </c>
      <c r="E831" s="6" t="n">
        <v>35000</v>
      </c>
      <c r="F831" s="6" t="n">
        <v>80</v>
      </c>
      <c r="G831" t="inlineStr">
        <is>
          <t>Light</t>
        </is>
      </c>
      <c r="H831" s="6" t="n">
        <v>0.75</v>
      </c>
      <c r="I831" s="6" t="n">
        <v>0.5</v>
      </c>
      <c r="J831" s="6" t="n">
        <v>1</v>
      </c>
      <c r="K831" s="6" t="n">
        <v>0.0125</v>
      </c>
      <c r="P831">
        <f>MAX(P832,P833)</f>
        <v/>
      </c>
      <c r="S831">
        <f>S832+S833</f>
        <v/>
      </c>
      <c r="T831">
        <f>(E831/100000+F831/100+(P831/1000)*J831/5+S831/200)*200*I831*H831</f>
        <v/>
      </c>
      <c r="U831">
        <f>((E831*F831/25000)+((P831/1000)*J831*S831/2.5))*I831*H831</f>
        <v/>
      </c>
      <c r="V831">
        <f>(E831*F831*(P831/1000)*J831*S831*I831*H831)/12500000</f>
        <v/>
      </c>
      <c r="W831">
        <f>(((E831/60000)+(F831/75)+(S831/500)+((P831/15000)*J831))*500/4+(((E831/60000)*(F831/75))+(((P831/15000)*J831)*(S831/500)))*500/2+((E831/60000)*(F831/75)*((P831/15000)*J831)*(S831/500))*500)*(H831/1.0)/3</f>
        <v/>
      </c>
      <c r="X831" s="6" t="n">
        <v>1800</v>
      </c>
      <c r="Y831">
        <f>IFERROR(W831-X831,"")</f>
        <v/>
      </c>
      <c r="Z831">
        <f>IFERROR(ABS(Y831)/MAX(X831,1),"")</f>
        <v/>
      </c>
      <c r="AA831">
        <f>IFERROR(ROUND(((3*X831-(((E831/60000)+(F831/75)+(S831/500))*500/4+((E831/60000)*(F831/75))*500/2)*(H831/1.0))/(500/4+((S831/500))*500/2+((E831/60000)*(F831/75)*(S831/500))*500)*(H831/1.0)*15000)/J831,-1),"")</f>
        <v/>
      </c>
    </row>
    <row r="832">
      <c r="B832" s="7" t="inlineStr">
        <is>
          <t xml:space="preserve">  ↳ RA2RBurritoRocket</t>
        </is>
      </c>
      <c r="C832" s="7" t="inlineStr">
        <is>
          <t>Armament</t>
        </is>
      </c>
      <c r="L832" s="6" t="n">
        <v>20000</v>
      </c>
      <c r="M832" s="6" t="n">
        <v>122</v>
      </c>
      <c r="N832" s="6" t="n">
        <v>8</v>
      </c>
      <c r="O832" s="6" t="n">
        <v>4</v>
      </c>
      <c r="P832" s="6" t="n">
        <v>12000</v>
      </c>
      <c r="Q832" s="6" t="n">
        <v>1</v>
      </c>
      <c r="R832">
        <f>M832+IF(N832&gt;1,N(O832)*(N832-1),0)</f>
        <v/>
      </c>
      <c r="S832">
        <f>IFERROR(L832*MAX(N832,1)/R832*IF(ISBLANK(K831),1,K831),0)</f>
        <v/>
      </c>
      <c r="AB832" s="7" t="inlineStr">
        <is>
          <t>^Warhead_Demolition_Light, ^Warhead_MissileAP_Heavy</t>
        </is>
      </c>
    </row>
    <row r="833">
      <c r="B833" s="7" t="inlineStr">
        <is>
          <t xml:space="preserve">  ↳ RA2RBurritoRocket</t>
        </is>
      </c>
      <c r="C833" s="7" t="inlineStr">
        <is>
          <t>Armament@PRIMARYELITE</t>
        </is>
      </c>
      <c r="L833" s="6" t="n">
        <v>20000</v>
      </c>
      <c r="M833" s="6" t="n">
        <v>122</v>
      </c>
      <c r="N833" s="6" t="n">
        <v>8</v>
      </c>
      <c r="O833" s="6" t="n">
        <v>4</v>
      </c>
      <c r="P833" s="6" t="n">
        <v>12000</v>
      </c>
      <c r="Q833" s="6" t="n">
        <v>1</v>
      </c>
      <c r="R833">
        <f>M833+IF(N833&gt;1,N(O833)*(N833-1),0)</f>
        <v/>
      </c>
      <c r="S833">
        <f>IFERROR(L833*MAX(N833,1)/R833*IF(ISBLANK(K831),1,K831),0)</f>
        <v/>
      </c>
      <c r="AB833" s="7" t="inlineStr">
        <is>
          <t>^Warhead_Demolition_Light, ^Warhead_MissileAP_Heavy</t>
        </is>
      </c>
    </row>
    <row r="834">
      <c r="A834" t="inlineStr">
        <is>
          <t>redalert2mod</t>
        </is>
      </c>
      <c r="B834" t="inlineStr">
        <is>
          <t>naxis_brummbar</t>
        </is>
      </c>
      <c r="C834" t="inlineStr">
        <is>
          <t>Brummbär</t>
        </is>
      </c>
      <c r="D834" s="6" t="inlineStr">
        <is>
          <t>Artillery</t>
        </is>
      </c>
      <c r="E834" s="6" t="n">
        <v>90000</v>
      </c>
      <c r="F834" s="6" t="n">
        <v>60</v>
      </c>
      <c r="G834" t="inlineStr">
        <is>
          <t>Light</t>
        </is>
      </c>
      <c r="H834" s="6" t="n">
        <v>0.6846</v>
      </c>
      <c r="I834" s="6" t="n">
        <v>1</v>
      </c>
      <c r="J834" s="6" t="n">
        <v>1</v>
      </c>
      <c r="K834" s="6" t="n"/>
      <c r="P834">
        <f>MAX(P835,P836)</f>
        <v/>
      </c>
      <c r="S834">
        <f>S835+S836</f>
        <v/>
      </c>
      <c r="T834">
        <f>(E834/100000+F834/100+(P834/1000)*J834/5+S834/200)*200*I834*H834</f>
        <v/>
      </c>
      <c r="U834">
        <f>((E834*F834/25000)+((P834/1000)*J834*S834/2.5))*I834*H834</f>
        <v/>
      </c>
      <c r="V834">
        <f>(E834*F834*(P834/1000)*J834*S834*I834*H834)/12500000</f>
        <v/>
      </c>
      <c r="W834">
        <f>(((E834/60000)+(F834/75)+(S834/500)+((P834/15000)*J834))*500/4+(((E834/60000)*(F834/75))+(((P834/15000)*J834)*(S834/500)))*500/2+((E834/60000)*(F834/75)*((P834/15000)*J834)*(S834/500))*500)*(H834/1.0)/3</f>
        <v/>
      </c>
      <c r="X834" s="6" t="n">
        <v>1100</v>
      </c>
      <c r="Y834">
        <f>IFERROR(W834-X834,"")</f>
        <v/>
      </c>
      <c r="Z834">
        <f>IFERROR(ABS(Y834)/MAX(X834,1),"")</f>
        <v/>
      </c>
      <c r="AA834">
        <f>IFERROR(ROUND(((3*X834-(((E834/60000)+(F834/75)+(S834/500))*500/4+((E834/60000)*(F834/75))*500/2)*(H834/1.0))/(500/4+((S834/500))*500/2+((E834/60000)*(F834/75)*(S834/500))*500)*(H834/1.0)*15000)/J834,-1),"")</f>
        <v/>
      </c>
    </row>
    <row r="835">
      <c r="B835" s="7" t="inlineStr">
        <is>
          <t xml:space="preserve">  ↳ NaxBrummbarArty</t>
        </is>
      </c>
      <c r="C835" s="7" t="inlineStr">
        <is>
          <t>Armament@AG</t>
        </is>
      </c>
      <c r="L835" s="6" t="n">
        <v>42000</v>
      </c>
      <c r="M835" s="6" t="n">
        <v>140</v>
      </c>
      <c r="N835" s="6" t="n">
        <v>1</v>
      </c>
      <c r="O835" s="6" t="n"/>
      <c r="P835" s="6" t="n">
        <v>14000</v>
      </c>
      <c r="Q835" s="6" t="n">
        <v>1</v>
      </c>
      <c r="R835">
        <f>M835+IF(N835&gt;1,N(O835)*(N835-1),0)</f>
        <v/>
      </c>
      <c r="S835">
        <f>IFERROR(L835*MAX(N835,1)/R835*IF(ISBLANK(K834),1,K834),0)</f>
        <v/>
      </c>
      <c r="AB835" s="7" t="inlineStr">
        <is>
          <t>^Warhead_Demolition_Heavy, ^Warhead_Concussion_Medium, ^Warhead_CannonHE_Heavy</t>
        </is>
      </c>
    </row>
    <row r="836">
      <c r="B836" s="7" t="inlineStr">
        <is>
          <t xml:space="preserve">  ↳ NaxBrummbarArty_elite</t>
        </is>
      </c>
      <c r="C836" s="7" t="inlineStr">
        <is>
          <t>Armament@elite</t>
        </is>
      </c>
      <c r="L836" s="6" t="n">
        <v>42000</v>
      </c>
      <c r="M836" s="6" t="n">
        <v>140</v>
      </c>
      <c r="N836" s="6" t="n">
        <v>2</v>
      </c>
      <c r="O836" s="6" t="n">
        <v>3</v>
      </c>
      <c r="P836" s="6" t="n">
        <v>15000</v>
      </c>
      <c r="Q836" s="6" t="n">
        <v>1</v>
      </c>
      <c r="R836">
        <f>M836+IF(N836&gt;1,N(O836)*(N836-1),0)</f>
        <v/>
      </c>
      <c r="S836">
        <f>IFERROR(L836*MAX(N836,1)/R836*IF(ISBLANK(K834),1,K834),0)</f>
        <v/>
      </c>
      <c r="AB836" s="7" t="inlineStr">
        <is>
          <t>^Warhead_Demolition_Heavy, ^Warhead_Concussion_Medium, ^Warhead_CannonHE_Heavy</t>
        </is>
      </c>
    </row>
    <row r="837">
      <c r="A837" t="inlineStr">
        <is>
          <t>redalert2mod</t>
        </is>
      </c>
      <c r="B837" t="inlineStr">
        <is>
          <t>naxis_donnerschlag</t>
        </is>
      </c>
      <c r="C837" t="inlineStr">
        <is>
          <t>Donnerschlag</t>
        </is>
      </c>
      <c r="D837" s="6" t="inlineStr">
        <is>
          <t>Artillery</t>
        </is>
      </c>
      <c r="E837" s="6" t="n">
        <v>80000</v>
      </c>
      <c r="F837" s="6" t="n">
        <v>40</v>
      </c>
      <c r="G837" t="inlineStr">
        <is>
          <t>Light</t>
        </is>
      </c>
      <c r="H837" s="6" t="n">
        <v>1</v>
      </c>
      <c r="I837" s="6" t="n">
        <v>0.5</v>
      </c>
      <c r="J837" s="6" t="n">
        <v>1</v>
      </c>
      <c r="K837" s="6" t="n">
        <v>0.0125</v>
      </c>
      <c r="X837" s="6" t="n">
        <v>2300</v>
      </c>
    </row>
    <row r="838">
      <c r="B838" s="7" t="inlineStr">
        <is>
          <t xml:space="preserve">  ↳ NaxisDonnerschlagTarget</t>
        </is>
      </c>
      <c r="C838" s="7" t="inlineStr">
        <is>
          <t>Armament</t>
        </is>
      </c>
      <c r="L838" s="6" t="n"/>
      <c r="M838" s="6" t="n">
        <v>15</v>
      </c>
      <c r="N838" s="6" t="n">
        <v>1</v>
      </c>
      <c r="O838" s="6" t="n"/>
      <c r="P838" s="6" t="n">
        <v>20130</v>
      </c>
      <c r="Q838" s="6" t="n">
        <v>1</v>
      </c>
      <c r="R838">
        <f>M838+IF(N838&gt;1,N(O838)*(N838-1),0)</f>
        <v/>
      </c>
      <c r="S838">
        <f>IFERROR(L838*MAX(N838,1)/R838*IF(ISBLANK(K837),1,K837),0)</f>
        <v/>
      </c>
      <c r="AB838" s="7" t="inlineStr"/>
    </row>
    <row r="839">
      <c r="B839" s="7" t="inlineStr">
        <is>
          <t xml:space="preserve">  ↳ NaxisDonnerschlagTargetVisualLaser</t>
        </is>
      </c>
      <c r="C839" s="7" t="inlineStr">
        <is>
          <t>Armament@VISUAL</t>
        </is>
      </c>
      <c r="L839" s="6" t="n"/>
      <c r="M839" s="6" t="n">
        <v>3</v>
      </c>
      <c r="N839" s="6" t="n">
        <v>1</v>
      </c>
      <c r="O839" s="6" t="n"/>
      <c r="P839" s="6" t="n">
        <v>20130</v>
      </c>
      <c r="Q839" s="6" t="n">
        <v>1</v>
      </c>
      <c r="R839">
        <f>M839+IF(N839&gt;1,N(O839)*(N839-1),0)</f>
        <v/>
      </c>
      <c r="S839">
        <f>IFERROR(L839*MAX(N839,1)/R839*IF(ISBLANK(K837),1,K837),0)</f>
        <v/>
      </c>
      <c r="AB839" s="7" t="inlineStr"/>
    </row>
    <row r="840">
      <c r="A840" t="inlineStr">
        <is>
          <t>redalert2mod</t>
        </is>
      </c>
      <c r="B840" t="inlineStr">
        <is>
          <t>naxis_grille</t>
        </is>
      </c>
      <c r="C840" t="inlineStr">
        <is>
          <t>Grille</t>
        </is>
      </c>
      <c r="D840" s="6" t="inlineStr">
        <is>
          <t>Artillery</t>
        </is>
      </c>
      <c r="E840" s="6" t="n">
        <v>40000</v>
      </c>
      <c r="F840" s="6" t="n">
        <v>80</v>
      </c>
      <c r="G840" t="inlineStr">
        <is>
          <t>Light</t>
        </is>
      </c>
      <c r="H840" s="6" t="n">
        <v>1</v>
      </c>
      <c r="I840" s="6" t="n">
        <v>0.5</v>
      </c>
      <c r="J840" s="6" t="n">
        <v>1</v>
      </c>
      <c r="K840" s="6" t="n"/>
      <c r="P840">
        <f>MAX(P841,P842)</f>
        <v/>
      </c>
      <c r="S840">
        <f>S841+S842</f>
        <v/>
      </c>
      <c r="T840">
        <f>(E840/100000+F840/100+(P840/1000)*J840/5+S840/200)*200*I840*H840</f>
        <v/>
      </c>
      <c r="U840">
        <f>((E840*F840/25000)+((P840/1000)*J840*S840/2.5))*I840*H840</f>
        <v/>
      </c>
      <c r="V840">
        <f>(E840*F840*(P840/1000)*J840*S840*I840*H840)/12500000</f>
        <v/>
      </c>
      <c r="W840">
        <f>(((E840/60000)+(F840/75)+(S840/500)+((P840/15000)*J840))*500/4+(((E840/60000)*(F840/75))+(((P840/15000)*J840)*(S840/500)))*500/2+((E840/60000)*(F840/75)*((P840/15000)*J840)*(S840/500))*500)*(H840/1.0)/3</f>
        <v/>
      </c>
      <c r="X840" s="6" t="n">
        <v>800</v>
      </c>
      <c r="Y840">
        <f>IFERROR(W840-X840,"")</f>
        <v/>
      </c>
      <c r="Z840">
        <f>IFERROR(ABS(Y840)/MAX(X840,1),"")</f>
        <v/>
      </c>
      <c r="AA840">
        <f>IFERROR(ROUND(((3*X840-(((E840/60000)+(F840/75)+(S840/500))*500/4+((E840/60000)*(F840/75))*500/2)*(H840/1.0))/(500/4+((S840/500))*500/2+((E840/60000)*(F840/75)*(S840/500))*500)*(H840/1.0)*15000)/J840,-1),"")</f>
        <v/>
      </c>
    </row>
    <row r="841">
      <c r="B841" s="7" t="inlineStr">
        <is>
          <t xml:space="preserve">  ↳ NaxGrilleArty</t>
        </is>
      </c>
      <c r="C841" s="7" t="inlineStr">
        <is>
          <t>Armament@AG</t>
        </is>
      </c>
      <c r="L841" s="6" t="n">
        <v>48000</v>
      </c>
      <c r="M841" s="6" t="n">
        <v>111</v>
      </c>
      <c r="N841" s="6" t="n">
        <v>1</v>
      </c>
      <c r="O841" s="6" t="n"/>
      <c r="P841" s="6" t="n">
        <v>12345</v>
      </c>
      <c r="Q841" s="6" t="n">
        <v>1</v>
      </c>
      <c r="R841">
        <f>M841+IF(N841&gt;1,N(O841)*(N841-1),0)</f>
        <v/>
      </c>
      <c r="S841">
        <f>IFERROR(L841*MAX(N841,1)/R841*IF(ISBLANK(K840),1,K840),0)</f>
        <v/>
      </c>
      <c r="AB841" s="7" t="inlineStr">
        <is>
          <t>^Warhead_CannonHE_Heavy, ^Warhead_Concussion_Medium, ^Warhead_Demolition_Light</t>
        </is>
      </c>
    </row>
    <row r="842">
      <c r="B842" s="7" t="inlineStr">
        <is>
          <t xml:space="preserve">  ↳ NaxGrilleArty_elite</t>
        </is>
      </c>
      <c r="C842" s="7" t="inlineStr">
        <is>
          <t>Armament@elite</t>
        </is>
      </c>
      <c r="L842" s="6" t="n">
        <v>48000</v>
      </c>
      <c r="M842" s="6" t="n">
        <v>111</v>
      </c>
      <c r="N842" s="6" t="n">
        <v>2</v>
      </c>
      <c r="O842" s="6" t="n">
        <v>3</v>
      </c>
      <c r="P842" s="6" t="n">
        <v>13333</v>
      </c>
      <c r="Q842" s="6" t="n">
        <v>1</v>
      </c>
      <c r="R842">
        <f>M842+IF(N842&gt;1,N(O842)*(N842-1),0)</f>
        <v/>
      </c>
      <c r="S842">
        <f>IFERROR(L842*MAX(N842,1)/R842*IF(ISBLANK(K840),1,K840),0)</f>
        <v/>
      </c>
      <c r="AB842" s="7" t="inlineStr">
        <is>
          <t>^Warhead_CannonHE_Heavy, ^Warhead_Concussion_Medium, ^Warhead_Demolition_Light</t>
        </is>
      </c>
    </row>
    <row r="843">
      <c r="A843" t="inlineStr">
        <is>
          <t>redalert2mod</t>
        </is>
      </c>
      <c r="B843" t="inlineStr">
        <is>
          <t>futuretech_athenacannon</t>
        </is>
      </c>
      <c r="C843" t="inlineStr">
        <is>
          <t>Athena Cannon</t>
        </is>
      </c>
      <c r="D843" s="6" t="inlineStr">
        <is>
          <t>Artillery</t>
        </is>
      </c>
      <c r="E843" s="6" t="n">
        <v>62500</v>
      </c>
      <c r="F843" s="6" t="n">
        <v>60</v>
      </c>
      <c r="G843" t="inlineStr">
        <is>
          <t>Light</t>
        </is>
      </c>
      <c r="H843" s="6" t="n">
        <v>1</v>
      </c>
      <c r="I843" s="6" t="n">
        <v>0.5</v>
      </c>
      <c r="J843" s="6" t="n">
        <v>1</v>
      </c>
      <c r="K843" s="6" t="n"/>
      <c r="P843">
        <f>MAX(P844)</f>
        <v/>
      </c>
      <c r="S843">
        <f>S844</f>
        <v/>
      </c>
      <c r="T843">
        <f>(E843/100000+F843/100+(P843/1000)*J843/5+S843/200)*200*I843*H843</f>
        <v/>
      </c>
      <c r="U843">
        <f>((E843*F843/25000)+((P843/1000)*J843*S843/2.5))*I843*H843</f>
        <v/>
      </c>
      <c r="V843">
        <f>(E843*F843*(P843/1000)*J843*S843*I843*H843)/12500000</f>
        <v/>
      </c>
      <c r="W843">
        <f>(((E843/60000)+(F843/75)+(S843/500)+((P843/15000)*J843))*500/4+(((E843/60000)*(F843/75))+(((P843/15000)*J843)*(S843/500)))*500/2+((E843/60000)*(F843/75)*((P843/15000)*J843)*(S843/500))*500)*(H843/1.0)/3</f>
        <v/>
      </c>
      <c r="X843" s="6" t="n">
        <v>2200</v>
      </c>
      <c r="Y843">
        <f>IFERROR(W843-X843,"")</f>
        <v/>
      </c>
      <c r="Z843">
        <f>IFERROR(ABS(Y843)/MAX(X843,1),"")</f>
        <v/>
      </c>
      <c r="AA843">
        <f>IFERROR(ROUND(((3*X843-(((E843/60000)+(F843/75)+(S843/500))*500/4+((E843/60000)*(F843/75))*500/2)*(H843/1.0))/(500/4+((S843/500))*500/2+((E843/60000)*(F843/75)*(S843/500))*500)*(H843/1.0)*15000)/J843,-1),"")</f>
        <v/>
      </c>
    </row>
    <row r="844">
      <c r="B844" s="7" t="inlineStr">
        <is>
          <t xml:space="preserve">  ↳ AthenaLaser</t>
        </is>
      </c>
      <c r="C844" s="7" t="inlineStr">
        <is>
          <t>Armament@AG</t>
        </is>
      </c>
      <c r="L844" s="6" t="n">
        <v>192000</v>
      </c>
      <c r="M844" s="6" t="n">
        <v>1</v>
      </c>
      <c r="N844" s="6" t="n">
        <v>1</v>
      </c>
      <c r="O844" s="6" t="n"/>
      <c r="P844" s="6" t="n">
        <v>16000</v>
      </c>
      <c r="Q844" s="6" t="n">
        <v>1</v>
      </c>
      <c r="R844">
        <f>M844+IF(N844&gt;1,N(O844)*(N844-1),0)</f>
        <v/>
      </c>
      <c r="S844">
        <f>IFERROR(L844*MAX(N844,1)/R844*IF(ISBLANK(K843),1,K843),0)</f>
        <v/>
      </c>
      <c r="AB844" s="7" t="inlineStr">
        <is>
          <t>^LightMissile, ^SmallArms, ^Chaingun, ^FlakWeapon, ^TeslaWeapon, ^LaserWeapon</t>
        </is>
      </c>
    </row>
    <row r="845">
      <c r="B845" s="7" t="inlineStr">
        <is>
          <t xml:space="preserve">  ↳ AthenaVisualLaser</t>
        </is>
      </c>
      <c r="C845" s="7" t="inlineStr">
        <is>
          <t>Armament@VISUAL</t>
        </is>
      </c>
      <c r="L845" s="6" t="n"/>
      <c r="M845" s="6" t="n">
        <v>4</v>
      </c>
      <c r="N845" s="6" t="n">
        <v>1</v>
      </c>
      <c r="O845" s="6" t="n"/>
      <c r="P845" s="6" t="n">
        <v>16000</v>
      </c>
      <c r="Q845" s="6" t="n">
        <v>1</v>
      </c>
      <c r="R845">
        <f>M845+IF(N845&gt;1,N(O845)*(N845-1),0)</f>
        <v/>
      </c>
      <c r="S845">
        <f>IFERROR(L845*MAX(N845,1)/R845*IF(ISBLANK(K843),1,K843),0)</f>
        <v/>
      </c>
      <c r="AB845" s="7" t="inlineStr"/>
    </row>
    <row r="846">
      <c r="A846" t="inlineStr">
        <is>
          <t>redalert2mod</t>
        </is>
      </c>
      <c r="B846" t="inlineStr">
        <is>
          <t>tkm_dronepodtruck</t>
        </is>
      </c>
      <c r="C846" t="inlineStr">
        <is>
          <t>Drone Pod Truck</t>
        </is>
      </c>
      <c r="D846" s="6" t="inlineStr">
        <is>
          <t>Artillery</t>
        </is>
      </c>
      <c r="E846" s="6" t="n">
        <v>60000</v>
      </c>
      <c r="F846" s="6" t="n">
        <v>60</v>
      </c>
      <c r="G846" t="inlineStr">
        <is>
          <t>Light</t>
        </is>
      </c>
      <c r="H846" s="6" t="n">
        <v>0.4955</v>
      </c>
      <c r="I846" s="6" t="n">
        <v>1</v>
      </c>
      <c r="J846" s="6" t="n">
        <v>1</v>
      </c>
      <c r="K846" s="6" t="n"/>
      <c r="P846">
        <f>MAX(P847)</f>
        <v/>
      </c>
      <c r="S846">
        <f>S847</f>
        <v/>
      </c>
      <c r="T846">
        <f>(E846/100000+F846/100+(P846/1000)*J846/5+S846/200)*200*I846*H846</f>
        <v/>
      </c>
      <c r="U846">
        <f>((E846*F846/25000)+((P846/1000)*J846*S846/2.5))*I846*H846</f>
        <v/>
      </c>
      <c r="V846">
        <f>(E846*F846*(P846/1000)*J846*S846*I846*H846)/12500000</f>
        <v/>
      </c>
      <c r="W846">
        <f>(((E846/60000)+(F846/75)+(S846/500)+((P846/15000)*J846))*500/4+(((E846/60000)*(F846/75))+(((P846/15000)*J846)*(S846/500)))*500/2+((E846/60000)*(F846/75)*((P846/15000)*J846)*(S846/500))*500)*(H846/1.0)/3</f>
        <v/>
      </c>
      <c r="X846" s="6" t="n">
        <v>1600</v>
      </c>
      <c r="Y846">
        <f>IFERROR(W846-X846,"")</f>
        <v/>
      </c>
      <c r="Z846">
        <f>IFERROR(ABS(Y846)/MAX(X846,1),"")</f>
        <v/>
      </c>
      <c r="AA846">
        <f>IFERROR(ROUND(((3*X846-(((E846/60000)+(F846/75)+(S846/500))*500/4+((E846/60000)*(F846/75))*500/2)*(H846/1.0))/(500/4+((S846/500))*500/2+((E846/60000)*(F846/75)*(S846/500))*500)*(H846/1.0)*15000)/J846,-1),"")</f>
        <v/>
      </c>
    </row>
    <row r="847">
      <c r="B847" s="7" t="inlineStr">
        <is>
          <t xml:space="preserve">  ↳ DronePodTruckLaser</t>
        </is>
      </c>
      <c r="C847" s="7" t="inlineStr">
        <is>
          <t>Armament</t>
        </is>
      </c>
      <c r="L847" s="6" t="n">
        <v>1</v>
      </c>
      <c r="M847" s="6" t="n">
        <v>5</v>
      </c>
      <c r="N847" s="6" t="n">
        <v>1</v>
      </c>
      <c r="O847" s="6" t="n"/>
      <c r="P847" s="6" t="n">
        <v>23589</v>
      </c>
      <c r="Q847" s="6" t="n">
        <v>1</v>
      </c>
      <c r="R847">
        <f>M847+IF(N847&gt;1,N(O847)*(N847-1),0)</f>
        <v/>
      </c>
      <c r="S847">
        <f>IFERROR(L847*MAX(N847,1)/R847*IF(ISBLANK(K846),1,K846),0)</f>
        <v/>
      </c>
      <c r="AB847" s="7" t="inlineStr"/>
    </row>
    <row r="848">
      <c r="A848" t="inlineStr">
        <is>
          <t>redalert2mod</t>
        </is>
      </c>
      <c r="B848" t="inlineStr">
        <is>
          <t>tkm_tornadoglauncher</t>
        </is>
      </c>
      <c r="C848" t="inlineStr">
        <is>
          <t>Tornado-G Launcher</t>
        </is>
      </c>
      <c r="D848" s="6" t="inlineStr">
        <is>
          <t>Artillery</t>
        </is>
      </c>
      <c r="E848" s="6" t="n">
        <v>35000</v>
      </c>
      <c r="F848" s="6" t="n">
        <v>80</v>
      </c>
      <c r="G848" t="inlineStr">
        <is>
          <t>Light</t>
        </is>
      </c>
      <c r="H848" s="6" t="n">
        <v>0.4955</v>
      </c>
      <c r="I848" s="6" t="n">
        <v>1</v>
      </c>
      <c r="J848" s="6" t="n">
        <v>1</v>
      </c>
      <c r="K848" s="6" t="n"/>
      <c r="P848">
        <f>MAX(P849,P850,P851,P852)</f>
        <v/>
      </c>
      <c r="S848">
        <f>S849+S850+S851+S852</f>
        <v/>
      </c>
      <c r="T848">
        <f>(E848/100000+F848/100+(P848/1000)*J848/5+S848/200)*200*I848*H848</f>
        <v/>
      </c>
      <c r="U848">
        <f>((E848*F848/25000)+((P848/1000)*J848*S848/2.5))*I848*H848</f>
        <v/>
      </c>
      <c r="V848">
        <f>(E848*F848*(P848/1000)*J848*S848*I848*H848)/12500000</f>
        <v/>
      </c>
      <c r="W848">
        <f>(((E848/60000)+(F848/75)+(S848/500)+((P848/15000)*J848))*500/4+(((E848/60000)*(F848/75))+(((P848/15000)*J848)*(S848/500)))*500/2+((E848/60000)*(F848/75)*((P848/15000)*J848)*(S848/500))*500)*(H848/1.0)/3</f>
        <v/>
      </c>
      <c r="X848" s="6" t="n">
        <v>1200</v>
      </c>
      <c r="Y848">
        <f>IFERROR(W848-X848,"")</f>
        <v/>
      </c>
      <c r="Z848">
        <f>IFERROR(ABS(Y848)/MAX(X848,1),"")</f>
        <v/>
      </c>
      <c r="AA848">
        <f>IFERROR(ROUND(((3*X848-(((E848/60000)+(F848/75)+(S848/500))*500/4+((E848/60000)*(F848/75))*500/2)*(H848/1.0))/(500/4+((S848/500))*500/2+((E848/60000)*(F848/75)*(S848/500))*500)*(H848/1.0)*15000)/J848,-1),"")</f>
        <v/>
      </c>
    </row>
    <row r="849">
      <c r="B849" s="7" t="inlineStr">
        <is>
          <t xml:space="preserve">  ↳ tkmkatyushalalauncherrockets</t>
        </is>
      </c>
      <c r="C849" s="7" t="inlineStr">
        <is>
          <t>Armament@PRIMARY</t>
        </is>
      </c>
      <c r="L849" s="6" t="n">
        <v>20000</v>
      </c>
      <c r="M849" s="6" t="n">
        <v>157</v>
      </c>
      <c r="N849" s="6" t="n">
        <v>8</v>
      </c>
      <c r="O849" s="6" t="n">
        <v>4</v>
      </c>
      <c r="P849" s="6" t="n">
        <v>12437</v>
      </c>
      <c r="Q849" s="6" t="n">
        <v>1</v>
      </c>
      <c r="R849">
        <f>M849+IF(N849&gt;1,N(O849)*(N849-1),0)</f>
        <v/>
      </c>
      <c r="S849">
        <f>IFERROR(L849*MAX(N849,1)/R849*IF(ISBLANK(K848),1,K848),0)</f>
        <v/>
      </c>
      <c r="AB849" s="7" t="inlineStr">
        <is>
          <t>^Warhead_Concussion_Medium</t>
        </is>
      </c>
    </row>
    <row r="850">
      <c r="B850" s="7" t="inlineStr">
        <is>
          <t xml:space="preserve">  ↳ tkmkatyushalalauncherrocketscryo</t>
        </is>
      </c>
      <c r="C850" s="7" t="inlineStr">
        <is>
          <t>Armament@PRIMARYNATO</t>
        </is>
      </c>
      <c r="L850" s="6" t="n">
        <v>20000</v>
      </c>
      <c r="M850" s="6" t="n">
        <v>157</v>
      </c>
      <c r="N850" s="6" t="n">
        <v>8</v>
      </c>
      <c r="O850" s="6" t="n">
        <v>4</v>
      </c>
      <c r="P850" s="6" t="n">
        <v>14000</v>
      </c>
      <c r="Q850" s="6" t="n">
        <v>1</v>
      </c>
      <c r="R850">
        <f>M850+IF(N850&gt;1,N(O850)*(N850-1),0)</f>
        <v/>
      </c>
      <c r="S850">
        <f>IFERROR(L850*MAX(N850,1)/R850*IF(ISBLANK(K848),1,K848),0)</f>
        <v/>
      </c>
      <c r="AB850" s="7" t="inlineStr">
        <is>
          <t>^Warhead_Concussion_Medium</t>
        </is>
      </c>
    </row>
    <row r="851">
      <c r="B851" s="7" t="inlineStr">
        <is>
          <t xml:space="preserve">  ↳ tkmkatyushalalauncherrocketstwin</t>
        </is>
      </c>
      <c r="C851" s="7" t="inlineStr">
        <is>
          <t>Armament@PRIMARYBEREZKA</t>
        </is>
      </c>
      <c r="L851" s="6" t="n">
        <v>20000</v>
      </c>
      <c r="M851" s="6" t="n">
        <v>157</v>
      </c>
      <c r="N851" s="6" t="n">
        <v>16</v>
      </c>
      <c r="O851" s="6" t="n">
        <v>4</v>
      </c>
      <c r="P851" s="6" t="n">
        <v>12437</v>
      </c>
      <c r="Q851" s="6" t="n">
        <v>1</v>
      </c>
      <c r="R851">
        <f>M851+IF(N851&gt;1,N(O851)*(N851-1),0)</f>
        <v/>
      </c>
      <c r="S851">
        <f>IFERROR(L851*MAX(N851,1)/R851*IF(ISBLANK(K848),1,K848),0)</f>
        <v/>
      </c>
      <c r="AB851" s="7" t="inlineStr">
        <is>
          <t>^Warhead_Concussion_Medium</t>
        </is>
      </c>
    </row>
    <row r="852">
      <c r="B852" s="7" t="inlineStr">
        <is>
          <t xml:space="preserve">  ↳ tkmkatyushalalauncherrocketsfire</t>
        </is>
      </c>
      <c r="C852" s="7" t="inlineStr">
        <is>
          <t>Armament@PRIMARYTITAN</t>
        </is>
      </c>
      <c r="L852" s="6" t="n">
        <v>28000</v>
      </c>
      <c r="M852" s="6" t="n">
        <v>157</v>
      </c>
      <c r="N852" s="6" t="n">
        <v>8</v>
      </c>
      <c r="O852" s="6" t="n">
        <v>4</v>
      </c>
      <c r="P852" s="6" t="n">
        <v>14000</v>
      </c>
      <c r="Q852" s="6" t="n">
        <v>1</v>
      </c>
      <c r="R852">
        <f>M852+IF(N852&gt;1,N(O852)*(N852-1),0)</f>
        <v/>
      </c>
      <c r="S852">
        <f>IFERROR(L852*MAX(N852,1)/R852*IF(ISBLANK(K848),1,K848),0)</f>
        <v/>
      </c>
      <c r="AB852" s="7" t="inlineStr">
        <is>
          <t>^Warhead_MissileAP_Light, ^Warhead_Flame_Light, ^Warhead_Concussion_Medium</t>
        </is>
      </c>
    </row>
    <row r="853">
      <c r="A853" t="inlineStr">
        <is>
          <t>shared</t>
        </is>
      </c>
      <c r="B853" t="inlineStr">
        <is>
          <t>siege_tank</t>
        </is>
      </c>
      <c r="C853" t="inlineStr">
        <is>
          <t>Siege Tank</t>
        </is>
      </c>
      <c r="D853" s="6" t="inlineStr">
        <is>
          <t>Artillery</t>
        </is>
      </c>
      <c r="E853" s="6" t="n">
        <v>40000</v>
      </c>
      <c r="F853" s="6" t="n">
        <v>43</v>
      </c>
      <c r="G853" t="inlineStr">
        <is>
          <t>Light</t>
        </is>
      </c>
      <c r="H853" s="6" t="n">
        <v>1</v>
      </c>
      <c r="I853" s="6" t="n">
        <v>1</v>
      </c>
      <c r="J853" s="6" t="n">
        <v>1</v>
      </c>
      <c r="K853" s="6" t="n"/>
      <c r="P853">
        <f>MAX(P854)</f>
        <v/>
      </c>
      <c r="S853">
        <f>S854</f>
        <v/>
      </c>
      <c r="T853">
        <f>(E853/100000+F853/100+(P853/1000)*J853/5+S853/200)*200*I853*H853</f>
        <v/>
      </c>
      <c r="U853">
        <f>((E853*F853/25000)+((P853/1000)*J853*S853/2.5))*I853*H853</f>
        <v/>
      </c>
      <c r="V853">
        <f>(E853*F853*(P853/1000)*J853*S853*I853*H853)/12500000</f>
        <v/>
      </c>
      <c r="W853">
        <f>(((E853/60000)+(F853/75)+(S853/500)+((P853/15000)*J853))*500/4+(((E853/60000)*(F853/75))+(((P853/15000)*J853)*(S853/500)))*500/2+((E853/60000)*(F853/75)*((P853/15000)*J853)*(S853/500))*500)*(H853/1.0)/3</f>
        <v/>
      </c>
      <c r="X853" s="6" t="n">
        <v>600</v>
      </c>
      <c r="Y853">
        <f>IFERROR(W853-X853,"")</f>
        <v/>
      </c>
      <c r="Z853">
        <f>IFERROR(ABS(Y853)/MAX(X853,1),"")</f>
        <v/>
      </c>
      <c r="AA853">
        <f>IFERROR(ROUND(((3*X853-(((E853/60000)+(F853/75)+(S853/500))*500/4+((E853/60000)*(F853/75))*500/2)*(H853/1.0))/(500/4+((S853/500))*500/2+((E853/60000)*(F853/75)*(S853/500))*500)*(H853/1.0)*15000)/J853,-1),"")</f>
        <v/>
      </c>
    </row>
    <row r="854">
      <c r="B854" s="7" t="inlineStr">
        <is>
          <t xml:space="preserve">  ↳ D2K_155mm</t>
        </is>
      </c>
      <c r="C854" s="7" t="inlineStr">
        <is>
          <t>Armament</t>
        </is>
      </c>
      <c r="L854" s="6" t="n">
        <v>48000</v>
      </c>
      <c r="M854" s="6" t="n">
        <v>74</v>
      </c>
      <c r="N854" s="6" t="n">
        <v>1</v>
      </c>
      <c r="O854" s="6" t="n"/>
      <c r="P854" s="6" t="n">
        <v>10000</v>
      </c>
      <c r="Q854" s="6" t="n">
        <v>1</v>
      </c>
      <c r="R854">
        <f>M854+IF(N854&gt;1,N(O854)*(N854-1),0)</f>
        <v/>
      </c>
      <c r="S854">
        <f>IFERROR(L854*MAX(N854,1)/R854*IF(ISBLANK(K853),1,K853),0)</f>
        <v/>
      </c>
      <c r="AB854" s="7" t="inlineStr">
        <is>
          <t>^Warhead_Demolition_Light, ^Warhead_Demolition_Heavy, ^Warhead_Concussion_Medium, ^Warhead_CannonHE_Medium</t>
        </is>
      </c>
    </row>
    <row r="855">
      <c r="A855" t="inlineStr">
        <is>
          <t>d2k</t>
        </is>
      </c>
      <c r="B855" t="inlineStr">
        <is>
          <t>ordos_deviatorartillery</t>
        </is>
      </c>
      <c r="C855" t="inlineStr">
        <is>
          <t>Deviator Artillery</t>
        </is>
      </c>
      <c r="D855" s="6" t="inlineStr">
        <is>
          <t>Artillery</t>
        </is>
      </c>
      <c r="E855" s="6" t="n">
        <v>55000</v>
      </c>
      <c r="F855" s="6" t="n">
        <v>55</v>
      </c>
      <c r="G855" t="inlineStr">
        <is>
          <t>Light</t>
        </is>
      </c>
      <c r="H855" s="6" t="n">
        <v>0.75</v>
      </c>
      <c r="I855" s="6" t="n">
        <v>0.5</v>
      </c>
      <c r="J855" s="6" t="n">
        <v>1.25</v>
      </c>
      <c r="K855" s="6" t="n"/>
      <c r="P855">
        <f>MAX(P856)</f>
        <v/>
      </c>
      <c r="S855">
        <f>S856</f>
        <v/>
      </c>
      <c r="T855">
        <f>(E855/100000+F855/100+(P855/1000)*J855/5+S855/200)*200*I855*H855</f>
        <v/>
      </c>
      <c r="U855">
        <f>((E855*F855/25000)+((P855/1000)*J855*S855/2.5))*I855*H855</f>
        <v/>
      </c>
      <c r="V855">
        <f>(E855*F855*(P855/1000)*J855*S855*I855*H855)/12500000</f>
        <v/>
      </c>
      <c r="W855">
        <f>(((E855/60000)+(F855/75)+(S855/500)+((P855/15000)*J855))*500/4+(((E855/60000)*(F855/75))+(((P855/15000)*J855)*(S855/500)))*500/2+((E855/60000)*(F855/75)*((P855/15000)*J855)*(S855/500))*500)*(H855/1.0)/3</f>
        <v/>
      </c>
      <c r="X855" s="6" t="n">
        <v>1250</v>
      </c>
      <c r="Y855">
        <f>IFERROR(W855-X855,"")</f>
        <v/>
      </c>
      <c r="Z855">
        <f>IFERROR(ABS(Y855)/MAX(X855,1),"")</f>
        <v/>
      </c>
      <c r="AA855">
        <f>IFERROR(ROUND(((3*X855-(((E855/60000)+(F855/75)+(S855/500))*500/4+((E855/60000)*(F855/75))*500/2)*(H855/1.0))/(500/4+((S855/500))*500/2+((E855/60000)*(F855/75)*(S855/500))*500)*(H855/1.0)*15000)/J855,-1),"")</f>
        <v/>
      </c>
    </row>
    <row r="856">
      <c r="B856" s="7" t="inlineStr">
        <is>
          <t xml:space="preserve">  ↳ DeviatorMissile_Artillery</t>
        </is>
      </c>
      <c r="C856" s="7" t="inlineStr">
        <is>
          <t>Armament</t>
        </is>
      </c>
      <c r="L856" s="6" t="n">
        <v>60000</v>
      </c>
      <c r="M856" s="6" t="n">
        <v>150</v>
      </c>
      <c r="N856" s="6" t="n">
        <v>3</v>
      </c>
      <c r="O856" s="6" t="n">
        <v>25</v>
      </c>
      <c r="P856" s="6" t="n">
        <v>10025</v>
      </c>
      <c r="Q856" s="6" t="n">
        <v>1.25</v>
      </c>
      <c r="R856">
        <f>M856+IF(N856&gt;1,N(O856)*(N856-1),0)</f>
        <v/>
      </c>
      <c r="S856">
        <f>IFERROR(L856*MAX(N856,1)/R856*IF(ISBLANK(K855),1,K855),0)</f>
        <v/>
      </c>
      <c r="AB856" s="7" t="inlineStr">
        <is>
          <t>^Warhead_CannonHE_Heavy, ^Warhead_MissileAP_Heavy</t>
        </is>
      </c>
    </row>
    <row r="857">
      <c r="A857" t="inlineStr">
        <is>
          <t>d2k</t>
        </is>
      </c>
      <c r="B857" t="inlineStr">
        <is>
          <t>ixian_ixsiegetank</t>
        </is>
      </c>
      <c r="C857" t="inlineStr">
        <is>
          <t>Ix Siege Tank</t>
        </is>
      </c>
      <c r="D857" s="6" t="inlineStr">
        <is>
          <t>Artillery</t>
        </is>
      </c>
      <c r="E857" s="6" t="n">
        <v>60000</v>
      </c>
      <c r="F857" s="6" t="n">
        <v>60</v>
      </c>
      <c r="G857" t="inlineStr">
        <is>
          <t>Light</t>
        </is>
      </c>
      <c r="H857" s="6" t="n">
        <v>1</v>
      </c>
      <c r="I857" s="6" t="n">
        <v>0.5</v>
      </c>
      <c r="J857" s="6" t="n">
        <v>1.25</v>
      </c>
      <c r="K857" s="6" t="n"/>
      <c r="P857">
        <f>MAX(P858)</f>
        <v/>
      </c>
      <c r="S857">
        <f>S858</f>
        <v/>
      </c>
      <c r="T857">
        <f>(E857/100000+F857/100+(P857/1000)*J857/5+S857/200)*200*I857*H857</f>
        <v/>
      </c>
      <c r="U857">
        <f>((E857*F857/25000)+((P857/1000)*J857*S857/2.5))*I857*H857</f>
        <v/>
      </c>
      <c r="V857">
        <f>(E857*F857*(P857/1000)*J857*S857*I857*H857)/12500000</f>
        <v/>
      </c>
      <c r="W857">
        <f>(((E857/60000)+(F857/75)+(S857/500)+((P857/15000)*J857))*500/4+(((E857/60000)*(F857/75))+(((P857/15000)*J857)*(S857/500)))*500/2+((E857/60000)*(F857/75)*((P857/15000)*J857)*(S857/500))*500)*(H857/1.0)/3</f>
        <v/>
      </c>
      <c r="X857" s="6" t="n">
        <v>2050</v>
      </c>
      <c r="Y857">
        <f>IFERROR(W857-X857,"")</f>
        <v/>
      </c>
      <c r="Z857">
        <f>IFERROR(ABS(Y857)/MAX(X857,1),"")</f>
        <v/>
      </c>
      <c r="AA857">
        <f>IFERROR(ROUND(((3*X857-(((E857/60000)+(F857/75)+(S857/500))*500/4+((E857/60000)*(F857/75))*500/2)*(H857/1.0))/(500/4+((S857/500))*500/2+((E857/60000)*(F857/75)*(S857/500))*500)*(H857/1.0)*15000)/J857,-1),"")</f>
        <v/>
      </c>
    </row>
    <row r="858">
      <c r="B858" s="7" t="inlineStr">
        <is>
          <t xml:space="preserve">  ↳ D2K_155mm2</t>
        </is>
      </c>
      <c r="C858" s="7" t="inlineStr">
        <is>
          <t>Armament</t>
        </is>
      </c>
      <c r="L858" s="6" t="n">
        <v>48000</v>
      </c>
      <c r="M858" s="6" t="n">
        <v>120</v>
      </c>
      <c r="N858" s="6" t="n">
        <v>3</v>
      </c>
      <c r="O858" s="6" t="n">
        <v>12</v>
      </c>
      <c r="P858" s="6" t="n">
        <v>12000</v>
      </c>
      <c r="Q858" s="6" t="n">
        <v>1</v>
      </c>
      <c r="R858">
        <f>M858+IF(N858&gt;1,N(O858)*(N858-1),0)</f>
        <v/>
      </c>
      <c r="S858">
        <f>IFERROR(L858*MAX(N858,1)/R858*IF(ISBLANK(K857),1,K857),0)</f>
        <v/>
      </c>
      <c r="AB858" s="7" t="inlineStr">
        <is>
          <t>^Grenade, ^MediumFlameWeapon, ^ShrapnelWeapon, ^HeavyBomb</t>
        </is>
      </c>
    </row>
    <row r="859">
      <c r="A859" t="inlineStr">
        <is>
          <t>warcraft2</t>
        </is>
      </c>
      <c r="B859" t="inlineStr">
        <is>
          <t>wc2_orcs_catapult</t>
        </is>
      </c>
      <c r="C859" t="inlineStr">
        <is>
          <t>Catapult</t>
        </is>
      </c>
      <c r="D859" s="6" t="inlineStr">
        <is>
          <t>Artillery</t>
        </is>
      </c>
      <c r="E859" s="6" t="n">
        <v>40000</v>
      </c>
      <c r="F859" s="6" t="n">
        <v>40</v>
      </c>
      <c r="G859" t="inlineStr">
        <is>
          <t>Light</t>
        </is>
      </c>
      <c r="H859" s="6" t="n">
        <v>1</v>
      </c>
      <c r="I859" s="6" t="n">
        <v>0.5</v>
      </c>
      <c r="J859" s="6" t="n">
        <v>1</v>
      </c>
      <c r="K859" s="6" t="n"/>
      <c r="P859">
        <f>MAX(P860)</f>
        <v/>
      </c>
      <c r="S859">
        <f>S860</f>
        <v/>
      </c>
      <c r="T859">
        <f>(E859/100000+F859/100+(P859/1000)*J859/5+S859/200)*200*I859*H859</f>
        <v/>
      </c>
      <c r="U859">
        <f>((E859*F859/25000)+((P859/1000)*J859*S859/2.5))*I859*H859</f>
        <v/>
      </c>
      <c r="V859">
        <f>(E859*F859*(P859/1000)*J859*S859*I859*H859)/12500000</f>
        <v/>
      </c>
      <c r="W859">
        <f>(((E859/60000)+(F859/75)+(S859/500)+((P859/15000)*J859))*500/4+(((E859/60000)*(F859/75))+(((P859/15000)*J859)*(S859/500)))*500/2+((E859/60000)*(F859/75)*((P859/15000)*J859)*(S859/500))*500)*(H859/1.0)/3</f>
        <v/>
      </c>
      <c r="X859" s="6" t="n">
        <v>800</v>
      </c>
      <c r="Y859">
        <f>IFERROR(W859-X859,"")</f>
        <v/>
      </c>
      <c r="Z859">
        <f>IFERROR(ABS(Y859)/MAX(X859,1),"")</f>
        <v/>
      </c>
      <c r="AA859">
        <f>IFERROR(ROUND(((3*X859-(((E859/60000)+(F859/75)+(S859/500))*500/4+((E859/60000)*(F859/75))*500/2)*(H859/1.0))/(500/4+((S859/500))*500/2+((E859/60000)*(F859/75)*(S859/500))*500)*(H859/1.0)*15000)/J859,-1),"")</f>
        <v/>
      </c>
    </row>
    <row r="860">
      <c r="B860" s="7" t="inlineStr">
        <is>
          <t xml:space="preserve">  ↳ wc2catapultFire</t>
        </is>
      </c>
      <c r="C860" s="7" t="inlineStr">
        <is>
          <t>Armament</t>
        </is>
      </c>
      <c r="L860" s="6" t="n">
        <v>120000</v>
      </c>
      <c r="M860" s="6" t="n">
        <v>240</v>
      </c>
      <c r="N860" s="6" t="n">
        <v>1</v>
      </c>
      <c r="O860" s="6" t="n"/>
      <c r="P860" s="6" t="n">
        <v>13400</v>
      </c>
      <c r="Q860" s="6" t="n">
        <v>1</v>
      </c>
      <c r="R860">
        <f>M860+IF(N860&gt;1,N(O860)*(N860-1),0)</f>
        <v/>
      </c>
      <c r="S860">
        <f>IFERROR(L860*MAX(N860,1)/R860*IF(ISBLANK(K859),1,K859),0)</f>
        <v/>
      </c>
      <c r="AB860" s="7" t="inlineStr">
        <is>
          <t>^Grenade, ^MediumFlameWeapon, ^ShrapnelWeapon, ^HeavyBomb</t>
        </is>
      </c>
    </row>
    <row r="861">
      <c r="A861" t="inlineStr">
        <is>
          <t>warcraft2</t>
        </is>
      </c>
      <c r="B861" t="inlineStr">
        <is>
          <t>wc2_orcs_siegeengine</t>
        </is>
      </c>
      <c r="C861" t="inlineStr">
        <is>
          <t>Siege Engine</t>
        </is>
      </c>
      <c r="D861" s="6" t="inlineStr">
        <is>
          <t>Artillery</t>
        </is>
      </c>
      <c r="E861" s="6" t="n">
        <v>70000</v>
      </c>
      <c r="F861" s="6" t="n">
        <v>70</v>
      </c>
      <c r="G861" t="inlineStr">
        <is>
          <t>Light</t>
        </is>
      </c>
      <c r="H861" s="6" t="n">
        <v>1</v>
      </c>
      <c r="I861" s="6" t="n">
        <v>1</v>
      </c>
      <c r="J861" s="6" t="n">
        <v>1</v>
      </c>
      <c r="K861" s="6" t="n"/>
      <c r="P861">
        <f>MAX(P862)</f>
        <v/>
      </c>
      <c r="S861">
        <f>S862</f>
        <v/>
      </c>
      <c r="T861">
        <f>(E861/100000+F861/100+(P861/1000)*J861/5+S861/200)*200*I861*H861</f>
        <v/>
      </c>
      <c r="U861">
        <f>((E861*F861/25000)+((P861/1000)*J861*S861/2.5))*I861*H861</f>
        <v/>
      </c>
      <c r="V861">
        <f>(E861*F861*(P861/1000)*J861*S861*I861*H861)/12500000</f>
        <v/>
      </c>
      <c r="W861">
        <f>(((E861/60000)+(F861/75)+(S861/500)+((P861/15000)*J861))*500/4+(((E861/60000)*(F861/75))+(((P861/15000)*J861)*(S861/500)))*500/2+((E861/60000)*(F861/75)*((P861/15000)*J861)*(S861/500))*500)*(H861/1.0)/3</f>
        <v/>
      </c>
      <c r="X861" s="6" t="n">
        <v>1800</v>
      </c>
      <c r="Y861">
        <f>IFERROR(W861-X861,"")</f>
        <v/>
      </c>
      <c r="Z861">
        <f>IFERROR(ABS(Y861)/MAX(X861,1),"")</f>
        <v/>
      </c>
      <c r="AA861">
        <f>IFERROR(ROUND(((3*X861-(((E861/60000)+(F861/75)+(S861/500))*500/4+((E861/60000)*(F861/75))*500/2)*(H861/1.0))/(500/4+((S861/500))*500/2+((E861/60000)*(F861/75)*(S861/500))*500)*(H861/1.0)*15000)/J861,-1),"")</f>
        <v/>
      </c>
    </row>
    <row r="862">
      <c r="B862" s="7" t="inlineStr">
        <is>
          <t xml:space="preserve">  ↳ SiegeEngineCannon</t>
        </is>
      </c>
      <c r="C862" s="7" t="inlineStr">
        <is>
          <t>Armament</t>
        </is>
      </c>
      <c r="L862" s="6" t="n">
        <v>140000</v>
      </c>
      <c r="M862" s="6" t="n">
        <v>100</v>
      </c>
      <c r="N862" s="6" t="n">
        <v>1</v>
      </c>
      <c r="O862" s="6" t="n"/>
      <c r="P862" s="6" t="n">
        <v>11200</v>
      </c>
      <c r="Q862" s="6" t="n">
        <v>1</v>
      </c>
      <c r="R862">
        <f>M862+IF(N862&gt;1,N(O862)*(N862-1),0)</f>
        <v/>
      </c>
      <c r="S862">
        <f>IFERROR(L862*MAX(N862,1)/R862*IF(ISBLANK(K861),1,K861),0)</f>
        <v/>
      </c>
      <c r="AB862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863">
      <c r="A863" t="inlineStr">
        <is>
          <t>warcraft2</t>
        </is>
      </c>
      <c r="B863" t="inlineStr">
        <is>
          <t>wc2_humans_ballista</t>
        </is>
      </c>
      <c r="C863" t="inlineStr">
        <is>
          <t>Ballista</t>
        </is>
      </c>
      <c r="D863" s="6" t="inlineStr">
        <is>
          <t>Artillery</t>
        </is>
      </c>
      <c r="E863" s="6" t="n">
        <v>45000</v>
      </c>
      <c r="F863" s="6" t="n">
        <v>45</v>
      </c>
      <c r="G863" t="inlineStr">
        <is>
          <t>Light</t>
        </is>
      </c>
      <c r="H863" s="6" t="n">
        <v>0.9762999999999999</v>
      </c>
      <c r="I863" s="6" t="n">
        <v>1</v>
      </c>
      <c r="J863" s="6" t="n">
        <v>1</v>
      </c>
      <c r="K863" s="6" t="n"/>
      <c r="P863">
        <f>MAX(P864)</f>
        <v/>
      </c>
      <c r="S863">
        <f>S864</f>
        <v/>
      </c>
      <c r="T863">
        <f>(E863/100000+F863/100+(P863/1000)*J863/5+S863/200)*200*I863*H863</f>
        <v/>
      </c>
      <c r="U863">
        <f>((E863*F863/25000)+((P863/1000)*J863*S863/2.5))*I863*H863</f>
        <v/>
      </c>
      <c r="V863">
        <f>(E863*F863*(P863/1000)*J863*S863*I863*H863)/12500000</f>
        <v/>
      </c>
      <c r="W863">
        <f>(((E863/60000)+(F863/75)+(S863/500)+((P863/15000)*J863))*500/4+(((E863/60000)*(F863/75))+(((P863/15000)*J863)*(S863/500)))*500/2+((E863/60000)*(F863/75)*((P863/15000)*J863)*(S863/500))*500)*(H863/1.0)/3</f>
        <v/>
      </c>
      <c r="X863" s="6" t="n">
        <v>900</v>
      </c>
      <c r="Y863">
        <f>IFERROR(W863-X863,"")</f>
        <v/>
      </c>
      <c r="Z863">
        <f>IFERROR(ABS(Y863)/MAX(X863,1),"")</f>
        <v/>
      </c>
      <c r="AA863">
        <f>IFERROR(ROUND(((3*X863-(((E863/60000)+(F863/75)+(S863/500))*500/4+((E863/60000)*(F863/75))*500/2)*(H863/1.0))/(500/4+((S863/500))*500/2+((E863/60000)*(F863/75)*(S863/500))*500)*(H863/1.0)*15000)/J863,-1),"")</f>
        <v/>
      </c>
    </row>
    <row r="864">
      <c r="B864" s="7" t="inlineStr">
        <is>
          <t xml:space="preserve">  ↳ wc2ballistaFire</t>
        </is>
      </c>
      <c r="C864" s="7" t="inlineStr">
        <is>
          <t>Armament</t>
        </is>
      </c>
      <c r="L864" s="6" t="n">
        <v>90000</v>
      </c>
      <c r="M864" s="6" t="n">
        <v>180</v>
      </c>
      <c r="N864" s="6" t="n">
        <v>1</v>
      </c>
      <c r="O864" s="6" t="n"/>
      <c r="P864" s="6" t="n">
        <v>14450</v>
      </c>
      <c r="Q864" s="6" t="n">
        <v>1</v>
      </c>
      <c r="R864">
        <f>M864+IF(N864&gt;1,N(O864)*(N864-1),0)</f>
        <v/>
      </c>
      <c r="S864">
        <f>IFERROR(L864*MAX(N864,1)/R864*IF(ISBLANK(K863),1,K863),0)</f>
        <v/>
      </c>
      <c r="AB864" s="7" t="inlineStr">
        <is>
          <t>^Warhead_Demolition_Light, ^Warhead_Demolition_Heavy, ^Warhead_Concussion_Medium</t>
        </is>
      </c>
    </row>
    <row r="865">
      <c r="A865" t="inlineStr">
        <is>
          <t>warcraft2</t>
        </is>
      </c>
      <c r="B865" t="inlineStr">
        <is>
          <t>wc2_humans_siegeengine</t>
        </is>
      </c>
      <c r="C865" t="inlineStr">
        <is>
          <t>Siege Engine</t>
        </is>
      </c>
      <c r="D865" s="6" t="inlineStr">
        <is>
          <t>Artillery</t>
        </is>
      </c>
      <c r="E865" s="6" t="n">
        <v>70000</v>
      </c>
      <c r="F865" s="6" t="n">
        <v>70</v>
      </c>
      <c r="G865" t="inlineStr">
        <is>
          <t>Light</t>
        </is>
      </c>
      <c r="H865" s="6" t="n">
        <v>0.9762999999999999</v>
      </c>
      <c r="I865" s="6" t="n">
        <v>1</v>
      </c>
      <c r="J865" s="6" t="n">
        <v>1</v>
      </c>
      <c r="K865" s="6" t="n"/>
      <c r="P865">
        <f>MAX(P866)</f>
        <v/>
      </c>
      <c r="S865">
        <f>S866</f>
        <v/>
      </c>
      <c r="T865">
        <f>(E865/100000+F865/100+(P865/1000)*J865/5+S865/200)*200*I865*H865</f>
        <v/>
      </c>
      <c r="U865">
        <f>((E865*F865/25000)+((P865/1000)*J865*S865/2.5))*I865*H865</f>
        <v/>
      </c>
      <c r="V865">
        <f>(E865*F865*(P865/1000)*J865*S865*I865*H865)/12500000</f>
        <v/>
      </c>
      <c r="W865">
        <f>(((E865/60000)+(F865/75)+(S865/500)+((P865/15000)*J865))*500/4+(((E865/60000)*(F865/75))+(((P865/15000)*J865)*(S865/500)))*500/2+((E865/60000)*(F865/75)*((P865/15000)*J865)*(S865/500))*500)*(H865/1.0)/3</f>
        <v/>
      </c>
      <c r="X865" s="6" t="n">
        <v>1800</v>
      </c>
      <c r="Y865">
        <f>IFERROR(W865-X865,"")</f>
        <v/>
      </c>
      <c r="Z865">
        <f>IFERROR(ABS(Y865)/MAX(X865,1),"")</f>
        <v/>
      </c>
      <c r="AA865">
        <f>IFERROR(ROUND(((3*X865-(((E865/60000)+(F865/75)+(S865/500))*500/4+((E865/60000)*(F865/75))*500/2)*(H865/1.0))/(500/4+((S865/500))*500/2+((E865/60000)*(F865/75)*(S865/500))*500)*(H865/1.0)*15000)/J865,-1),"")</f>
        <v/>
      </c>
    </row>
    <row r="866">
      <c r="B866" s="7" t="inlineStr">
        <is>
          <t xml:space="preserve">  ↳ SiegeEngineCannon</t>
        </is>
      </c>
      <c r="C866" s="7" t="inlineStr">
        <is>
          <t>Armament</t>
        </is>
      </c>
      <c r="L866" s="6" t="n">
        <v>140000</v>
      </c>
      <c r="M866" s="6" t="n">
        <v>100</v>
      </c>
      <c r="N866" s="6" t="n">
        <v>1</v>
      </c>
      <c r="O866" s="6" t="n"/>
      <c r="P866" s="6" t="n">
        <v>11200</v>
      </c>
      <c r="Q866" s="6" t="n">
        <v>1</v>
      </c>
      <c r="R866">
        <f>M866+IF(N866&gt;1,N(O866)*(N866-1),0)</f>
        <v/>
      </c>
      <c r="S866">
        <f>IFERROR(L866*MAX(N866,1)/R866*IF(ISBLANK(K865),1,K865),0)</f>
        <v/>
      </c>
      <c r="AB866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867">
      <c r="A867" s="4" t="inlineStr">
        <is>
          <t>EpicVehicle</t>
        </is>
      </c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</row>
    <row r="868">
      <c r="A868" t="inlineStr">
        <is>
          <t>tiberiandawn</t>
        </is>
      </c>
      <c r="B868" t="inlineStr">
        <is>
          <t>td_gdi_defenserig</t>
        </is>
      </c>
      <c r="C868" t="inlineStr">
        <is>
          <t>GDI Defense Rig</t>
        </is>
      </c>
      <c r="D868" s="6" t="inlineStr">
        <is>
          <t>EpicVehicle</t>
        </is>
      </c>
      <c r="E868" s="6" t="n">
        <v>400000</v>
      </c>
      <c r="F868" s="6" t="n">
        <v>60</v>
      </c>
      <c r="G868" t="inlineStr">
        <is>
          <t>Superheavy</t>
        </is>
      </c>
      <c r="H868" s="6" t="n">
        <v>0.3793</v>
      </c>
      <c r="I868" s="6" t="n">
        <v>1</v>
      </c>
      <c r="J868" s="6" t="n">
        <v>1</v>
      </c>
      <c r="K868" s="6" t="n"/>
      <c r="P868">
        <f>MAX(P869,P870,P871,P872,P873,P874,P875,P876,P877)</f>
        <v/>
      </c>
      <c r="S868">
        <f>S869+S870+S871+S872+S873+S874+S875+S876+S877</f>
        <v/>
      </c>
      <c r="T868">
        <f>(E868/100000+F868/100+(P868/1000)*J868/5+S868/200)*200*I868*H868</f>
        <v/>
      </c>
      <c r="U868">
        <f>((E868*F868/25000)+((P868/1000)*J868*S868/2.5))*I868*H868</f>
        <v/>
      </c>
      <c r="V868">
        <f>(E868*F868*(P868/1000)*J868*S868*I868*H868)/12500000</f>
        <v/>
      </c>
      <c r="W868">
        <f>(((E868/4000000)+(F868/60)+(S868/20000)+((P868/8500)*J868))*10000/4+(((E868/4000000)*(F868/60))+(((P868/8500)*J868)*(S868/20000)))*10000/2+((E868/4000000)*(F868/60)*((P868/8500)*J868)*(S868/20000))*10000)*(H868/0.75)/3</f>
        <v/>
      </c>
      <c r="X868" s="6" t="n">
        <v>5000</v>
      </c>
      <c r="Y868">
        <f>IFERROR(W868-X868,"")</f>
        <v/>
      </c>
      <c r="Z868">
        <f>IFERROR(ABS(Y868)/MAX(X868,1),"")</f>
        <v/>
      </c>
      <c r="AA868">
        <f>IFERROR(ROUND(((3*X868-(((E868/4000000)+(F868/60)+(S868/20000))*10000/4+((E868/4000000)*(F868/60))*10000/2)*(H868/0.75))/(10000/4+((S868/20000))*10000/2+((E868/4000000)*(F868/60)*(S868/20000))*10000)*(H868/0.75)*8500)/J868,-1),"")</f>
        <v/>
      </c>
    </row>
    <row r="869">
      <c r="B869" s="7" t="inlineStr">
        <is>
          <t xml:space="preserve">  ↳ GDIRigPDLaser</t>
        </is>
      </c>
      <c r="C869" s="7" t="inlineStr">
        <is>
          <t>Armament@pointdefense</t>
        </is>
      </c>
      <c r="L869" s="6" t="n">
        <v>2000</v>
      </c>
      <c r="M869" s="6" t="n">
        <v>25</v>
      </c>
      <c r="N869" s="6" t="n">
        <v>1</v>
      </c>
      <c r="O869" s="6" t="n"/>
      <c r="P869" s="6" t="n">
        <v>6000</v>
      </c>
      <c r="Q869" s="6" t="n">
        <v>1.25</v>
      </c>
      <c r="R869">
        <f>M869+IF(N869&gt;1,N(O869)*(N869-1),0)</f>
        <v/>
      </c>
      <c r="S869">
        <f>IFERROR(L869*MAX(N869,1)/R869*IF(ISBLANK(K868),1,K868),0)</f>
        <v/>
      </c>
      <c r="AB869" s="7" t="inlineStr">
        <is>
          <t>^Warhead_Laser_Heavy</t>
        </is>
      </c>
    </row>
    <row r="870">
      <c r="B870" s="7" t="inlineStr">
        <is>
          <t xml:space="preserve">  ↳ GDIRigPDLaserTower</t>
        </is>
      </c>
      <c r="C870" s="7" t="inlineStr">
        <is>
          <t>Armament@pointdefensedeployed</t>
        </is>
      </c>
      <c r="L870" s="6" t="n">
        <v>2000</v>
      </c>
      <c r="M870" s="6" t="n">
        <v>25</v>
      </c>
      <c r="N870" s="6" t="n">
        <v>1</v>
      </c>
      <c r="O870" s="6" t="n"/>
      <c r="P870" s="6" t="n">
        <v>9350</v>
      </c>
      <c r="Q870" s="6" t="n">
        <v>1.25</v>
      </c>
      <c r="R870">
        <f>M870+IF(N870&gt;1,N(O870)*(N870-1),0)</f>
        <v/>
      </c>
      <c r="S870">
        <f>IFERROR(L870*MAX(N870,1)/R870*IF(ISBLANK(K868),1,K868),0)</f>
        <v/>
      </c>
      <c r="AB870" s="7" t="inlineStr">
        <is>
          <t>^Warhead_Laser_Heavy</t>
        </is>
      </c>
    </row>
    <row r="871">
      <c r="B871" s="7" t="inlineStr">
        <is>
          <t xml:space="preserve">  ↳ GDIRigDroneTargeting</t>
        </is>
      </c>
      <c r="C871" s="7" t="inlineStr">
        <is>
          <t>Armament@DroneTargeting</t>
        </is>
      </c>
      <c r="L871" s="6" t="n">
        <v>-3000</v>
      </c>
      <c r="M871" s="6" t="n">
        <v>5</v>
      </c>
      <c r="N871" s="6" t="n">
        <v>1</v>
      </c>
      <c r="O871" s="6" t="n">
        <v>1</v>
      </c>
      <c r="P871" s="6" t="n">
        <v>6000</v>
      </c>
      <c r="Q871" s="6" t="n">
        <v>1</v>
      </c>
      <c r="R871">
        <f>M871+IF(N871&gt;1,N(O871)*(N871-1),0)</f>
        <v/>
      </c>
      <c r="S871">
        <f>IFERROR(L871*MAX(N871,1)/R871*IF(ISBLANK(K868),1,K868),0)</f>
        <v/>
      </c>
      <c r="AB871" s="7" t="inlineStr">
        <is>
          <t>^RepairWeapon</t>
        </is>
      </c>
    </row>
    <row r="872">
      <c r="B872" s="7" t="inlineStr">
        <is>
          <t xml:space="preserve">  ↳ GDIRigDroneTargetingTower</t>
        </is>
      </c>
      <c r="C872" s="7" t="inlineStr">
        <is>
          <t>Armament@DroneTargetingDeployed</t>
        </is>
      </c>
      <c r="L872" s="6" t="n">
        <v>-3000</v>
      </c>
      <c r="M872" s="6" t="n">
        <v>5</v>
      </c>
      <c r="N872" s="6" t="n">
        <v>1</v>
      </c>
      <c r="O872" s="6" t="n">
        <v>1</v>
      </c>
      <c r="P872" s="6" t="n">
        <v>6000</v>
      </c>
      <c r="Q872" s="6" t="n">
        <v>1</v>
      </c>
      <c r="R872">
        <f>M872+IF(N872&gt;1,N(O872)*(N872-1),0)</f>
        <v/>
      </c>
      <c r="S872">
        <f>IFERROR(L872*MAX(N872,1)/R872*IF(ISBLANK(K868),1,K868),0)</f>
        <v/>
      </c>
      <c r="AB872" s="7" t="inlineStr">
        <is>
          <t>GDIRigDroneTargeting</t>
        </is>
      </c>
    </row>
    <row r="873">
      <c r="B873" s="7" t="inlineStr">
        <is>
          <t xml:space="preserve">  ↳ GDIRigPhalanx</t>
        </is>
      </c>
      <c r="C873" s="7" t="inlineStr">
        <is>
          <t>Armament@mobile</t>
        </is>
      </c>
      <c r="L873" s="6" t="n">
        <v>24000</v>
      </c>
      <c r="M873" s="6" t="n">
        <v>8</v>
      </c>
      <c r="N873" s="6" t="n">
        <v>1</v>
      </c>
      <c r="O873" s="6" t="n"/>
      <c r="P873" s="6" t="n">
        <v>6000</v>
      </c>
      <c r="Q873" s="6" t="n">
        <v>1</v>
      </c>
      <c r="R873">
        <f>M873+IF(N873&gt;1,N(O873)*(N873-1),0)</f>
        <v/>
      </c>
      <c r="S873">
        <f>IFERROR(L873*MAX(N873,1)/R873*IF(ISBLANK(K868),1,K868),0)</f>
        <v/>
      </c>
      <c r="AB873" s="7" t="inlineStr">
        <is>
          <t>^TankDestroyerCannon, ^SmallArms, ^Grenade, ^MediumCannon, ^FlakWeapon, ^Chaingun</t>
        </is>
      </c>
    </row>
    <row r="874">
      <c r="B874" s="7" t="inlineStr">
        <is>
          <t xml:space="preserve">  ↳ GDIRigPhalanxTower</t>
        </is>
      </c>
      <c r="C874" s="7" t="inlineStr">
        <is>
          <t>Armament@Phalanx</t>
        </is>
      </c>
      <c r="L874" s="6" t="n">
        <v>24000</v>
      </c>
      <c r="M874" s="6" t="n">
        <v>10</v>
      </c>
      <c r="N874" s="6" t="n">
        <v>1</v>
      </c>
      <c r="O874" s="6" t="n"/>
      <c r="P874" s="6" t="n">
        <v>9350</v>
      </c>
      <c r="Q874" s="6" t="n">
        <v>1</v>
      </c>
      <c r="R874">
        <f>M874+IF(N874&gt;1,N(O874)*(N874-1),0)</f>
        <v/>
      </c>
      <c r="S874">
        <f>IFERROR(L874*MAX(N874,1)/R874*IF(ISBLANK(K868),1,K868),0)</f>
        <v/>
      </c>
      <c r="AB874" s="7" t="inlineStr">
        <is>
          <t>GDIRigPhalanx</t>
        </is>
      </c>
    </row>
    <row r="875">
      <c r="B875" s="7" t="inlineStr">
        <is>
          <t xml:space="preserve">  ↳ GDIRigRailgun</t>
        </is>
      </c>
      <c r="C875" s="7" t="inlineStr">
        <is>
          <t>Armament@Railgun</t>
        </is>
      </c>
      <c r="L875" s="6" t="n">
        <v>160000</v>
      </c>
      <c r="M875" s="6" t="n">
        <v>95</v>
      </c>
      <c r="N875" s="6" t="n">
        <v>1</v>
      </c>
      <c r="O875" s="6" t="n"/>
      <c r="P875" s="6" t="n">
        <v>9350</v>
      </c>
      <c r="Q875" s="6" t="n">
        <v>1.25</v>
      </c>
      <c r="R875">
        <f>M875+IF(N875&gt;1,N(O875)*(N875-1),0)</f>
        <v/>
      </c>
      <c r="S875">
        <f>IFERROR(L875*MAX(N875,1)/R875*IF(ISBLANK(K868),1,K868),0)</f>
        <v/>
      </c>
      <c r="AB875" s="7" t="inlineStr">
        <is>
          <t>^Warhead_Railgun_Heavy</t>
        </is>
      </c>
    </row>
    <row r="876">
      <c r="B876" s="7" t="inlineStr">
        <is>
          <t xml:space="preserve">  ↳ GDIRigMissilePod</t>
        </is>
      </c>
      <c r="C876" s="7" t="inlineStr">
        <is>
          <t>Armament@MissilePod</t>
        </is>
      </c>
      <c r="L876" s="6" t="n">
        <v>32000</v>
      </c>
      <c r="M876" s="6" t="n">
        <v>45</v>
      </c>
      <c r="N876" s="6" t="n">
        <v>4</v>
      </c>
      <c r="O876" s="6" t="n">
        <v>5</v>
      </c>
      <c r="P876" s="6" t="n">
        <v>9350</v>
      </c>
      <c r="Q876" s="6" t="n">
        <v>1</v>
      </c>
      <c r="R876">
        <f>M876+IF(N876&gt;1,N(O876)*(N876-1),0)</f>
        <v/>
      </c>
      <c r="S876">
        <f>IFERROR(L876*MAX(N876,1)/R876*IF(ISBLANK(K868),1,K868),0)</f>
        <v/>
      </c>
      <c r="AB876" s="7" t="inlineStr">
        <is>
          <t>^FlakWeapon, ^Grenade, ^HeavyMissile, ^MediumMissile</t>
        </is>
      </c>
    </row>
    <row r="877">
      <c r="B877" s="7" t="inlineStr">
        <is>
          <t xml:space="preserve">  ↳ GDIRigMissilePodAMT</t>
        </is>
      </c>
      <c r="C877" s="7" t="inlineStr">
        <is>
          <t>Armament@AdvancedMissileTargeting</t>
        </is>
      </c>
      <c r="L877" s="6" t="n">
        <v>32000</v>
      </c>
      <c r="M877" s="6" t="n">
        <v>45</v>
      </c>
      <c r="N877" s="6" t="n">
        <v>4</v>
      </c>
      <c r="O877" s="6" t="n">
        <v>5</v>
      </c>
      <c r="P877" s="6" t="n">
        <v>9350</v>
      </c>
      <c r="Q877" s="6" t="n">
        <v>1</v>
      </c>
      <c r="R877">
        <f>M877+IF(N877&gt;1,N(O877)*(N877-1),0)</f>
        <v/>
      </c>
      <c r="S877">
        <f>IFERROR(L877*MAX(N877,1)/R877*IF(ISBLANK(K868),1,K868),0)</f>
        <v/>
      </c>
      <c r="AB877" s="7" t="inlineStr">
        <is>
          <t>GDIRigMissilePod, ^AMTProjectile</t>
        </is>
      </c>
    </row>
    <row r="878">
      <c r="A878" t="inlineStr">
        <is>
          <t>redalert</t>
        </is>
      </c>
      <c r="B878" t="inlineStr">
        <is>
          <t>japan_exorcistoitank</t>
        </is>
      </c>
      <c r="C878" t="inlineStr">
        <is>
          <t>Exorcist O-I Tank</t>
        </is>
      </c>
      <c r="D878" s="6" t="inlineStr">
        <is>
          <t>EpicVehicle</t>
        </is>
      </c>
      <c r="E878" s="6" t="n">
        <v>750000</v>
      </c>
      <c r="F878" s="6" t="n">
        <v>50</v>
      </c>
      <c r="G878" t="inlineStr">
        <is>
          <t>Superheavy</t>
        </is>
      </c>
      <c r="H878" s="6" t="n">
        <v>0.75</v>
      </c>
      <c r="I878" s="6" t="n">
        <v>0.4</v>
      </c>
      <c r="J878" s="6" t="n">
        <v>1.25</v>
      </c>
      <c r="K878" s="6" t="n"/>
      <c r="P878">
        <f>MAX(P879,P880,P881,P882,P883,P884,P885,P886,P887,P888,P889,P890)</f>
        <v/>
      </c>
      <c r="S878">
        <f>S879+S880+S881+S882+S883+S884+S885+S886+S887+S888+S889+S890</f>
        <v/>
      </c>
      <c r="T878">
        <f>(E878/100000+F878/100+(P878/1000)*J878/5+S878/200)*200*I878*H878</f>
        <v/>
      </c>
      <c r="U878">
        <f>((E878*F878/25000)+((P878/1000)*J878*S878/2.5))*I878*H878</f>
        <v/>
      </c>
      <c r="V878">
        <f>(E878*F878*(P878/1000)*J878*S878*I878*H878)/12500000</f>
        <v/>
      </c>
      <c r="W878">
        <f>(((E878/4000000)+(F878/60)+(S878/20000)+((P878/8500)*J878))*10000/4+(((E878/4000000)*(F878/60))+(((P878/8500)*J878)*(S878/20000)))*10000/2+((E878/4000000)*(F878/60)*((P878/8500)*J878)*(S878/20000))*10000)*(H878/0.75)/3</f>
        <v/>
      </c>
      <c r="X878" s="6" t="n">
        <v>10000</v>
      </c>
      <c r="Y878">
        <f>IFERROR(W878-X878,"")</f>
        <v/>
      </c>
      <c r="Z878">
        <f>IFERROR(ABS(Y878)/MAX(X878,1),"")</f>
        <v/>
      </c>
      <c r="AA878">
        <f>IFERROR(ROUND(((3*X878-(((E878/4000000)+(F878/60)+(S878/20000))*10000/4+((E878/4000000)*(F878/60))*10000/2)*(H878/0.75))/(10000/4+((S878/20000))*10000/2+((E878/4000000)*(F878/60)*(S878/20000))*10000)*(H878/0.75)*8500)/J878,-1),"")</f>
        <v/>
      </c>
    </row>
    <row r="879">
      <c r="B879" s="7" t="inlineStr">
        <is>
          <t xml:space="preserve">  ↳ OIHakureiring</t>
        </is>
      </c>
      <c r="C879" s="7" t="inlineStr">
        <is>
          <t>Armament@MAIN</t>
        </is>
      </c>
      <c r="L879" s="6" t="n">
        <v>20000</v>
      </c>
      <c r="M879" s="6" t="n">
        <v>30</v>
      </c>
      <c r="N879" s="6" t="n">
        <v>3</v>
      </c>
      <c r="O879" s="6" t="n">
        <v>10</v>
      </c>
      <c r="P879" s="6" t="n">
        <v>5394</v>
      </c>
      <c r="Q879" s="6" t="n">
        <v>1.25</v>
      </c>
      <c r="R879">
        <f>M879+IF(N879&gt;1,N(O879)*(N879-1),0)</f>
        <v/>
      </c>
      <c r="S879">
        <f>IFERROR(L879*MAX(N879,1)/R879*IF(ISBLANK(K878),1,K878),0)</f>
        <v/>
      </c>
      <c r="AB879" s="7" t="inlineStr">
        <is>
          <t>^Warhead_Magic_Heavy</t>
        </is>
      </c>
    </row>
    <row r="880">
      <c r="B880" s="7" t="inlineStr">
        <is>
          <t xml:space="preserve">  ↳ OIHakureiring2</t>
        </is>
      </c>
      <c r="C880" s="7" t="inlineStr">
        <is>
          <t>Armament@AntiEpic</t>
        </is>
      </c>
      <c r="L880" s="6" t="n">
        <v>240000</v>
      </c>
      <c r="M880" s="6" t="n">
        <v>100</v>
      </c>
      <c r="N880" s="6" t="n">
        <v>1</v>
      </c>
      <c r="O880" s="6" t="n">
        <v>10</v>
      </c>
      <c r="P880" s="6" t="n">
        <v>5394</v>
      </c>
      <c r="Q880" s="6" t="n">
        <v>1.25</v>
      </c>
      <c r="R880">
        <f>M880+IF(N880&gt;1,N(O880)*(N880-1),0)</f>
        <v/>
      </c>
      <c r="S880">
        <f>IFERROR(L880*MAX(N880,1)/R880*IF(ISBLANK(K878),1,K878),0)</f>
        <v/>
      </c>
      <c r="AB880" s="7" t="inlineStr">
        <is>
          <t>^Warhead_Magic_Heavy</t>
        </is>
      </c>
    </row>
    <row r="881">
      <c r="B881" s="7" t="inlineStr">
        <is>
          <t xml:space="preserve">  ↳ OISmallCannon</t>
        </is>
      </c>
      <c r="C881" s="7" t="inlineStr">
        <is>
          <t>Armament@PRIMARY</t>
        </is>
      </c>
      <c r="L881" s="6" t="n">
        <v>8000</v>
      </c>
      <c r="M881" s="6" t="n">
        <v>45</v>
      </c>
      <c r="N881" s="6" t="n">
        <v>1</v>
      </c>
      <c r="O881" s="6" t="n"/>
      <c r="P881" s="6" t="n">
        <v>5394</v>
      </c>
      <c r="Q881" s="6" t="n">
        <v>1</v>
      </c>
      <c r="R881">
        <f>M881+IF(N881&gt;1,N(O881)*(N881-1),0)</f>
        <v/>
      </c>
      <c r="S881">
        <f>IFERROR(L881*MAX(N881,1)/R881*IF(ISBLANK(K878),1,K878),0)</f>
        <v/>
      </c>
      <c r="AB881" s="7" t="inlineStr">
        <is>
          <t>^Warhead_CannonHE_Medium</t>
        </is>
      </c>
    </row>
    <row r="882">
      <c r="B882" s="7" t="inlineStr">
        <is>
          <t xml:space="preserve">  ↳ OISmallCannon</t>
        </is>
      </c>
      <c r="C882" s="7" t="inlineStr">
        <is>
          <t>Armament@SECONDARY</t>
        </is>
      </c>
      <c r="L882" s="6" t="n">
        <v>8000</v>
      </c>
      <c r="M882" s="6" t="n">
        <v>45</v>
      </c>
      <c r="N882" s="6" t="n">
        <v>1</v>
      </c>
      <c r="O882" s="6" t="n"/>
      <c r="P882" s="6" t="n">
        <v>5394</v>
      </c>
      <c r="Q882" s="6" t="n">
        <v>1</v>
      </c>
      <c r="R882">
        <f>M882+IF(N882&gt;1,N(O882)*(N882-1),0)</f>
        <v/>
      </c>
      <c r="S882">
        <f>IFERROR(L882*MAX(N882,1)/R882*IF(ISBLANK(K878),1,K878),0)</f>
        <v/>
      </c>
      <c r="AB882" s="7" t="inlineStr">
        <is>
          <t>^Warhead_CannonHE_Medium</t>
        </is>
      </c>
    </row>
    <row r="883">
      <c r="B883" s="7" t="inlineStr">
        <is>
          <t xml:space="preserve">  ↳ OISmallCannon</t>
        </is>
      </c>
      <c r="C883" s="7" t="inlineStr">
        <is>
          <t>Armament@Back</t>
        </is>
      </c>
      <c r="L883" s="6" t="n">
        <v>8000</v>
      </c>
      <c r="M883" s="6" t="n">
        <v>45</v>
      </c>
      <c r="N883" s="6" t="n">
        <v>1</v>
      </c>
      <c r="O883" s="6" t="n"/>
      <c r="P883" s="6" t="n">
        <v>5394</v>
      </c>
      <c r="Q883" s="6" t="n">
        <v>1</v>
      </c>
      <c r="R883">
        <f>M883+IF(N883&gt;1,N(O883)*(N883-1),0)</f>
        <v/>
      </c>
      <c r="S883">
        <f>IFERROR(L883*MAX(N883,1)/R883*IF(ISBLANK(K878),1,K878),0)</f>
        <v/>
      </c>
      <c r="AB883" s="7" t="inlineStr">
        <is>
          <t>^Warhead_CannonHE_Medium</t>
        </is>
      </c>
    </row>
    <row r="884">
      <c r="B884" s="7" t="inlineStr">
        <is>
          <t xml:space="preserve">  ↳ OISmallPlasmaCannon</t>
        </is>
      </c>
      <c r="C884" s="7" t="inlineStr">
        <is>
          <t>Armament@UpgradePRIMARY</t>
        </is>
      </c>
      <c r="L884" s="6" t="n">
        <v>8000</v>
      </c>
      <c r="M884" s="6" t="n">
        <v>45</v>
      </c>
      <c r="N884" s="6" t="n">
        <v>1</v>
      </c>
      <c r="O884" s="6" t="n"/>
      <c r="P884" s="6" t="n">
        <v>5394</v>
      </c>
      <c r="Q884" s="6" t="n">
        <v>1</v>
      </c>
      <c r="R884">
        <f>M884+IF(N884&gt;1,N(O884)*(N884-1),0)</f>
        <v/>
      </c>
      <c r="S884">
        <f>IFERROR(L884*MAX(N884,1)/R884*IF(ISBLANK(K878),1,K878),0)</f>
        <v/>
      </c>
      <c r="AB884" s="7" t="inlineStr">
        <is>
          <t>^HeavyChemicalWeapon, ^TeslaWeapon, ^RailgunWeapon, ^HeavyCannon</t>
        </is>
      </c>
    </row>
    <row r="885">
      <c r="B885" s="7" t="inlineStr">
        <is>
          <t xml:space="preserve">  ↳ OISmallPlasmaCannon</t>
        </is>
      </c>
      <c r="C885" s="7" t="inlineStr">
        <is>
          <t>Armament@UpgradeSECONDARY</t>
        </is>
      </c>
      <c r="L885" s="6" t="n">
        <v>8000</v>
      </c>
      <c r="M885" s="6" t="n">
        <v>45</v>
      </c>
      <c r="N885" s="6" t="n">
        <v>1</v>
      </c>
      <c r="O885" s="6" t="n"/>
      <c r="P885" s="6" t="n">
        <v>5394</v>
      </c>
      <c r="Q885" s="6" t="n">
        <v>1</v>
      </c>
      <c r="R885">
        <f>M885+IF(N885&gt;1,N(O885)*(N885-1),0)</f>
        <v/>
      </c>
      <c r="S885">
        <f>IFERROR(L885*MAX(N885,1)/R885*IF(ISBLANK(K878),1,K878),0)</f>
        <v/>
      </c>
      <c r="AB885" s="7" t="inlineStr">
        <is>
          <t>^HeavyChemicalWeapon, ^TeslaWeapon, ^RailgunWeapon, ^HeavyCannon</t>
        </is>
      </c>
    </row>
    <row r="886">
      <c r="B886" s="7" t="inlineStr">
        <is>
          <t xml:space="preserve">  ↳ OISmallPlasmaCannon</t>
        </is>
      </c>
      <c r="C886" s="7" t="inlineStr">
        <is>
          <t>Armament@UpgradeBack</t>
        </is>
      </c>
      <c r="L886" s="6" t="n">
        <v>8000</v>
      </c>
      <c r="M886" s="6" t="n">
        <v>45</v>
      </c>
      <c r="N886" s="6" t="n">
        <v>1</v>
      </c>
      <c r="O886" s="6" t="n"/>
      <c r="P886" s="6" t="n">
        <v>5394</v>
      </c>
      <c r="Q886" s="6" t="n">
        <v>1</v>
      </c>
      <c r="R886">
        <f>M886+IF(N886&gt;1,N(O886)*(N886-1),0)</f>
        <v/>
      </c>
      <c r="S886">
        <f>IFERROR(L886*MAX(N886,1)/R886*IF(ISBLANK(K878),1,K878),0)</f>
        <v/>
      </c>
      <c r="AB886" s="7" t="inlineStr">
        <is>
          <t>^HeavyChemicalWeapon, ^TeslaWeapon, ^RailgunWeapon, ^HeavyCannon</t>
        </is>
      </c>
    </row>
    <row r="887">
      <c r="B887" s="7" t="inlineStr">
        <is>
          <t xml:space="preserve">  ↳ OIFlamer</t>
        </is>
      </c>
      <c r="C887" s="7" t="inlineStr">
        <is>
          <t>Armament@PRIMARYFlame</t>
        </is>
      </c>
      <c r="L887" s="6" t="n">
        <v>2000</v>
      </c>
      <c r="M887" s="6" t="n">
        <v>60</v>
      </c>
      <c r="N887" s="6" t="n">
        <v>20</v>
      </c>
      <c r="O887" s="6" t="n">
        <v>1</v>
      </c>
      <c r="P887" s="6" t="n">
        <v>5394</v>
      </c>
      <c r="Q887" s="6" t="n">
        <v>1</v>
      </c>
      <c r="R887">
        <f>M887+IF(N887&gt;1,N(O887)*(N887-1),0)</f>
        <v/>
      </c>
      <c r="S887">
        <f>IFERROR(L887*MAX(N887,1)/R887*IF(ISBLANK(K878),1,K878),0)</f>
        <v/>
      </c>
      <c r="AB887" s="7" t="inlineStr">
        <is>
          <t>^Warhead_Flame_Medium</t>
        </is>
      </c>
    </row>
    <row r="888">
      <c r="B888" s="7" t="inlineStr">
        <is>
          <t xml:space="preserve">  ↳ OIFlamer</t>
        </is>
      </c>
      <c r="C888" s="7" t="inlineStr">
        <is>
          <t>Armament@SECONDARYFlame</t>
        </is>
      </c>
      <c r="L888" s="6" t="n">
        <v>2000</v>
      </c>
      <c r="M888" s="6" t="n">
        <v>60</v>
      </c>
      <c r="N888" s="6" t="n">
        <v>20</v>
      </c>
      <c r="O888" s="6" t="n">
        <v>1</v>
      </c>
      <c r="P888" s="6" t="n">
        <v>5394</v>
      </c>
      <c r="Q888" s="6" t="n">
        <v>1</v>
      </c>
      <c r="R888">
        <f>M888+IF(N888&gt;1,N(O888)*(N888-1),0)</f>
        <v/>
      </c>
      <c r="S888">
        <f>IFERROR(L888*MAX(N888,1)/R888*IF(ISBLANK(K878),1,K878),0)</f>
        <v/>
      </c>
      <c r="AB888" s="7" t="inlineStr">
        <is>
          <t>^Warhead_Flame_Medium</t>
        </is>
      </c>
    </row>
    <row r="889">
      <c r="B889" s="7" t="inlineStr">
        <is>
          <t xml:space="preserve">  ↳ OIPlasmaFlamer</t>
        </is>
      </c>
      <c r="C889" s="7" t="inlineStr">
        <is>
          <t>Armament@UpgradePRIMARYFlame</t>
        </is>
      </c>
      <c r="L889" s="6" t="n">
        <v>4000</v>
      </c>
      <c r="M889" s="6" t="n">
        <v>60</v>
      </c>
      <c r="N889" s="6" t="n">
        <v>20</v>
      </c>
      <c r="O889" s="6" t="n">
        <v>1</v>
      </c>
      <c r="P889" s="6" t="n">
        <v>5394</v>
      </c>
      <c r="Q889" s="6" t="n">
        <v>1.25</v>
      </c>
      <c r="R889">
        <f>M889+IF(N889&gt;1,N(O889)*(N889-1),0)</f>
        <v/>
      </c>
      <c r="S889">
        <f>IFERROR(L889*MAX(N889,1)/R889*IF(ISBLANK(K878),1,K878),0)</f>
        <v/>
      </c>
      <c r="AB889" s="7" t="inlineStr">
        <is>
          <t>^Warhead_Chemical_Heavy, ^Warhead_Flame_Heavy</t>
        </is>
      </c>
    </row>
    <row r="890">
      <c r="B890" s="7" t="inlineStr">
        <is>
          <t xml:space="preserve">  ↳ OIPlasmaFlamer</t>
        </is>
      </c>
      <c r="C890" s="7" t="inlineStr">
        <is>
          <t>Armament@UpgradeSECONDARYFlame</t>
        </is>
      </c>
      <c r="L890" s="6" t="n">
        <v>4000</v>
      </c>
      <c r="M890" s="6" t="n">
        <v>60</v>
      </c>
      <c r="N890" s="6" t="n">
        <v>20</v>
      </c>
      <c r="O890" s="6" t="n">
        <v>1</v>
      </c>
      <c r="P890" s="6" t="n">
        <v>5394</v>
      </c>
      <c r="Q890" s="6" t="n">
        <v>1.25</v>
      </c>
      <c r="R890">
        <f>M890+IF(N890&gt;1,N(O890)*(N890-1),0)</f>
        <v/>
      </c>
      <c r="S890">
        <f>IFERROR(L890*MAX(N890,1)/R890*IF(ISBLANK(K878),1,K878),0)</f>
        <v/>
      </c>
      <c r="AB890" s="7" t="inlineStr">
        <is>
          <t>^Warhead_Chemical_Heavy, ^Warhead_Flame_Heavy</t>
        </is>
      </c>
    </row>
    <row r="891">
      <c r="A891" t="inlineStr">
        <is>
          <t>redalert</t>
        </is>
      </c>
      <c r="B891" t="inlineStr">
        <is>
          <t>japan_shogunexecutioner</t>
        </is>
      </c>
      <c r="C891" t="inlineStr">
        <is>
          <t>Shogun Executioner</t>
        </is>
      </c>
      <c r="D891" s="6" t="inlineStr">
        <is>
          <t>EpicVehicle</t>
        </is>
      </c>
      <c r="E891" s="6" t="n">
        <v>3000000</v>
      </c>
      <c r="F891" s="6" t="n">
        <v>65</v>
      </c>
      <c r="G891" t="inlineStr">
        <is>
          <t>Superheavy</t>
        </is>
      </c>
      <c r="H891" s="6" t="n">
        <v>0.75</v>
      </c>
      <c r="I891" s="6" t="n">
        <v>0.4</v>
      </c>
      <c r="J891" s="6" t="n">
        <v>1.25</v>
      </c>
      <c r="K891" s="6" t="n"/>
      <c r="P891">
        <f>MAX(P892)</f>
        <v/>
      </c>
      <c r="S891">
        <f>S892</f>
        <v/>
      </c>
      <c r="T891">
        <f>(E891/100000+F891/100+(P891/1000)*J891/5+S891/200)*200*I891*H891</f>
        <v/>
      </c>
      <c r="U891">
        <f>((E891*F891/25000)+((P891/1000)*J891*S891/2.5))*I891*H891</f>
        <v/>
      </c>
      <c r="V891">
        <f>(E891*F891*(P891/1000)*J891*S891*I891*H891)/12500000</f>
        <v/>
      </c>
      <c r="W891">
        <f>(((E891/4000000)+(F891/60)+(S891/20000)+((P891/8500)*J891))*10000/4+(((E891/4000000)*(F891/60))+(((P891/8500)*J891)*(S891/20000)))*10000/2+((E891/4000000)*(F891/60)*((P891/8500)*J891)*(S891/20000))*10000)*(H891/0.75)/3</f>
        <v/>
      </c>
      <c r="X891" s="6" t="n">
        <v>10000</v>
      </c>
      <c r="Y891">
        <f>IFERROR(W891-X891,"")</f>
        <v/>
      </c>
      <c r="Z891">
        <f>IFERROR(ABS(Y891)/MAX(X891,1),"")</f>
        <v/>
      </c>
      <c r="AA891">
        <f>IFERROR(ROUND(((3*X891-(((E891/4000000)+(F891/60)+(S891/20000))*10000/4+((E891/4000000)*(F891/60))*10000/2)*(H891/0.75))/(10000/4+((S891/20000))*10000/2+((E891/4000000)*(F891/60)*(S891/20000))*10000)*(H891/0.75)*8500)/J891,-1),"")</f>
        <v/>
      </c>
    </row>
    <row r="892">
      <c r="B892" s="7" t="inlineStr">
        <is>
          <t xml:space="preserve">  ↳ ExecutionerSword</t>
        </is>
      </c>
      <c r="C892" s="7" t="inlineStr">
        <is>
          <t>Armament</t>
        </is>
      </c>
      <c r="L892" s="6" t="n">
        <v>600000</v>
      </c>
      <c r="M892" s="6" t="n">
        <v>300</v>
      </c>
      <c r="N892" s="6" t="n">
        <v>1</v>
      </c>
      <c r="O892" s="6" t="n"/>
      <c r="P892" s="6" t="n">
        <v>3000</v>
      </c>
      <c r="Q892" s="6" t="n">
        <v>1</v>
      </c>
      <c r="R892">
        <f>M892+IF(N892&gt;1,N(O892)*(N892-1),0)</f>
        <v/>
      </c>
      <c r="S892">
        <f>IFERROR(L892*MAX(N892,1)/R892*IF(ISBLANK(K891),1,K891),0)</f>
        <v/>
      </c>
      <c r="AB892" s="7" t="inlineStr">
        <is>
          <t>^Warhead_Melee_Medium</t>
        </is>
      </c>
    </row>
    <row r="893">
      <c r="A893" t="inlineStr">
        <is>
          <t>redalert</t>
        </is>
      </c>
      <c r="B893" t="inlineStr">
        <is>
          <t>ra1_soviets_madtank</t>
        </is>
      </c>
      <c r="C893" t="inlineStr">
        <is>
          <t>MAD Tank</t>
        </is>
      </c>
      <c r="D893" s="6" t="inlineStr">
        <is>
          <t>EpicVehicle</t>
        </is>
      </c>
      <c r="E893" s="6" t="n">
        <v>300000</v>
      </c>
      <c r="F893" s="6" t="n">
        <v>60</v>
      </c>
      <c r="G893" t="inlineStr">
        <is>
          <t>Superheavy</t>
        </is>
      </c>
      <c r="H893" s="6" t="n">
        <v>0.4925</v>
      </c>
      <c r="I893" s="6" t="n">
        <v>1</v>
      </c>
      <c r="J893" s="6" t="n">
        <v>1</v>
      </c>
      <c r="K893" s="6" t="n"/>
      <c r="X893" s="6" t="n">
        <v>3000</v>
      </c>
    </row>
    <row r="894">
      <c r="B894" s="7" t="inlineStr">
        <is>
          <t xml:space="preserve">  ↳ MADTankTargeting</t>
        </is>
      </c>
      <c r="C894" s="7" t="inlineStr">
        <is>
          <t>Armament@PRIMARY</t>
        </is>
      </c>
      <c r="L894" s="6" t="n"/>
      <c r="M894" s="6" t="n"/>
      <c r="N894" s="6" t="n">
        <v>1</v>
      </c>
      <c r="O894" s="6" t="n"/>
      <c r="P894" s="6" t="n">
        <v>2500</v>
      </c>
      <c r="Q894" s="6" t="n">
        <v>1</v>
      </c>
      <c r="R894">
        <f>M894+IF(N894&gt;1,N(O894)*(N894-1),0)</f>
        <v/>
      </c>
      <c r="S894">
        <f>IFERROR(L894*MAX(N894,1)/R894*IF(ISBLANK(K893),1,K893),0)</f>
        <v/>
      </c>
      <c r="AB894" s="7" t="inlineStr">
        <is>
          <t>DemoTruckTargeting</t>
        </is>
      </c>
    </row>
    <row r="895">
      <c r="A895" t="inlineStr">
        <is>
          <t>redalert</t>
        </is>
      </c>
      <c r="B895" t="inlineStr">
        <is>
          <t>ra1_soviets_monstertank</t>
        </is>
      </c>
      <c r="C895" t="inlineStr">
        <is>
          <t>Monster Tank</t>
        </is>
      </c>
      <c r="D895" s="6" t="inlineStr">
        <is>
          <t>EpicVehicle</t>
        </is>
      </c>
      <c r="E895" s="6" t="n">
        <v>1000000</v>
      </c>
      <c r="F895" s="6" t="n">
        <v>45</v>
      </c>
      <c r="G895" t="inlineStr">
        <is>
          <t>Superheavy</t>
        </is>
      </c>
      <c r="H895" s="6" t="n">
        <v>0.75</v>
      </c>
      <c r="I895" s="6" t="n">
        <v>0.4</v>
      </c>
      <c r="J895" s="6" t="n">
        <v>1</v>
      </c>
      <c r="K895" s="6" t="n">
        <v>0.0105</v>
      </c>
      <c r="P895">
        <f>MAX(P896,P897,P898,P899,P900)</f>
        <v/>
      </c>
      <c r="S895">
        <f>S896+S897+S898+S899+S900</f>
        <v/>
      </c>
      <c r="T895">
        <f>(E895/100000+F895/100+(P895/1000)*J895/5+S895/200)*200*I895*H895</f>
        <v/>
      </c>
      <c r="U895">
        <f>((E895*F895/25000)+((P895/1000)*J895*S895/2.5))*I895*H895</f>
        <v/>
      </c>
      <c r="V895">
        <f>(E895*F895*(P895/1000)*J895*S895*I895*H895)/12500000</f>
        <v/>
      </c>
      <c r="W895">
        <f>(((E895/4000000)+(F895/60)+(S895/20000)+((P895/8500)*J895))*10000/4+(((E895/4000000)*(F895/60))+(((P895/8500)*J895)*(S895/20000)))*10000/2+((E895/4000000)*(F895/60)*((P895/8500)*J895)*(S895/20000))*10000)*(H895/0.75)/3</f>
        <v/>
      </c>
      <c r="X895" s="6" t="n">
        <v>10000</v>
      </c>
      <c r="Y895">
        <f>IFERROR(W895-X895,"")</f>
        <v/>
      </c>
      <c r="Z895">
        <f>IFERROR(ABS(Y895)/MAX(X895,1),"")</f>
        <v/>
      </c>
      <c r="AA895">
        <f>IFERROR(ROUND(((3*X895-(((E895/4000000)+(F895/60)+(S895/20000))*10000/4+((E895/4000000)*(F895/60))*10000/2)*(H895/0.75))/(10000/4+((S895/20000))*10000/2+((E895/4000000)*(F895/60)*(S895/20000))*10000)*(H895/0.75)*8500)/J895,-1),"")</f>
        <v/>
      </c>
    </row>
    <row r="896">
      <c r="B896" s="7" t="inlineStr">
        <is>
          <t xml:space="preserve">  ↳ MonsterTank120mm</t>
        </is>
      </c>
      <c r="C896" s="7" t="inlineStr">
        <is>
          <t>Armament@PRIMARY</t>
        </is>
      </c>
      <c r="L896" s="6" t="n">
        <v>80000</v>
      </c>
      <c r="M896" s="6" t="n">
        <v>103</v>
      </c>
      <c r="N896" s="6" t="n">
        <v>2</v>
      </c>
      <c r="O896" s="6" t="n">
        <v>32</v>
      </c>
      <c r="P896" s="6" t="n">
        <v>7833</v>
      </c>
      <c r="Q896" s="6" t="n">
        <v>1.25</v>
      </c>
      <c r="R896">
        <f>M896+IF(N896&gt;1,N(O896)*(N896-1),0)</f>
        <v/>
      </c>
      <c r="S896">
        <f>IFERROR(L896*MAX(N896,1)/R896*IF(ISBLANK(K895),1,K895),0)</f>
        <v/>
      </c>
      <c r="AB896" s="7" t="inlineStr">
        <is>
          <t>^Warhead_CannonHE_Heavy</t>
        </is>
      </c>
    </row>
    <row r="897">
      <c r="B897" s="7" t="inlineStr">
        <is>
          <t xml:space="preserve">  ↳ MonsterTank120mmThermobaric</t>
        </is>
      </c>
      <c r="C897" s="7" t="inlineStr">
        <is>
          <t>Armament@Upgrade</t>
        </is>
      </c>
      <c r="L897" s="6" t="n">
        <v>120000</v>
      </c>
      <c r="M897" s="6" t="n">
        <v>103</v>
      </c>
      <c r="N897" s="6" t="n">
        <v>2</v>
      </c>
      <c r="O897" s="6" t="n">
        <v>32</v>
      </c>
      <c r="P897" s="6" t="n">
        <v>7833</v>
      </c>
      <c r="Q897" s="6" t="n">
        <v>1.25</v>
      </c>
      <c r="R897">
        <f>M897+IF(N897&gt;1,N(O897)*(N897-1),0)</f>
        <v/>
      </c>
      <c r="S897">
        <f>IFERROR(L897*MAX(N897,1)/R897*IF(ISBLANK(K895),1,K895),0)</f>
        <v/>
      </c>
      <c r="AB897" s="7" t="inlineStr">
        <is>
          <t>^Warhead_Flame_Heavy, ^Warhead_CannonHE_Heavy</t>
        </is>
      </c>
    </row>
    <row r="898">
      <c r="B898" s="7" t="inlineStr">
        <is>
          <t xml:space="preserve">  ↳ MonsterTankTusk</t>
        </is>
      </c>
      <c r="C898" s="7" t="inlineStr">
        <is>
          <t>Armament@SECONDARY</t>
        </is>
      </c>
      <c r="L898" s="6" t="n">
        <v>40000</v>
      </c>
      <c r="M898" s="6" t="n">
        <v>125</v>
      </c>
      <c r="N898" s="6" t="n">
        <v>4</v>
      </c>
      <c r="O898" s="6" t="n">
        <v>3</v>
      </c>
      <c r="P898" s="6" t="n">
        <v>7833</v>
      </c>
      <c r="Q898" s="6" t="n">
        <v>1.25</v>
      </c>
      <c r="R898">
        <f>M898+IF(N898&gt;1,N(O898)*(N898-1),0)</f>
        <v/>
      </c>
      <c r="S898">
        <f>IFERROR(L898*MAX(N898,1)/R898*IF(ISBLANK(K895),1,K895),0)</f>
        <v/>
      </c>
      <c r="AB898" s="7" t="inlineStr">
        <is>
          <t>^Warhead_Demolition_Heavy, ^Warhead_MissileHE_Heavy</t>
        </is>
      </c>
    </row>
    <row r="899">
      <c r="B899" s="7" t="inlineStr">
        <is>
          <t xml:space="preserve">  ↳ MonsterTankTuskTesla</t>
        </is>
      </c>
      <c r="C899" s="7" t="inlineStr">
        <is>
          <t>Armament@TeslaSECONDARY</t>
        </is>
      </c>
      <c r="L899" s="6" t="n">
        <v>107000</v>
      </c>
      <c r="M899" s="6" t="n">
        <v>125</v>
      </c>
      <c r="N899" s="6" t="n">
        <v>4</v>
      </c>
      <c r="O899" s="6" t="n">
        <v>3</v>
      </c>
      <c r="P899" s="6" t="n">
        <v>7833</v>
      </c>
      <c r="Q899" s="6" t="n">
        <v>1</v>
      </c>
      <c r="R899">
        <f>M899+IF(N899&gt;1,N(O899)*(N899-1),0)</f>
        <v/>
      </c>
      <c r="S899">
        <f>IFERROR(L899*MAX(N899,1)/R899*IF(ISBLANK(K895),1,K895),0)</f>
        <v/>
      </c>
      <c r="AB899" s="7" t="inlineStr">
        <is>
          <t>^Grenade, ^LightFlameWeapon, ^TeslaWeapon, ^HeavyMissile, ^Effect_Tesla_Impact_RA2</t>
        </is>
      </c>
    </row>
    <row r="900">
      <c r="B900" s="7" t="inlineStr">
        <is>
          <t xml:space="preserve">  ↳ MonsterTankTuskThermobaric</t>
        </is>
      </c>
      <c r="C900" s="7" t="inlineStr">
        <is>
          <t>Armament@NukeSECONDARY</t>
        </is>
      </c>
      <c r="L900" s="6" t="n">
        <v>106000</v>
      </c>
      <c r="M900" s="6" t="n">
        <v>125</v>
      </c>
      <c r="N900" s="6" t="n">
        <v>4</v>
      </c>
      <c r="O900" s="6" t="n">
        <v>3</v>
      </c>
      <c r="P900" s="6" t="n">
        <v>7833</v>
      </c>
      <c r="Q900" s="6" t="n">
        <v>1</v>
      </c>
      <c r="R900">
        <f>M900+IF(N900&gt;1,N(O900)*(N900-1),0)</f>
        <v/>
      </c>
      <c r="S900">
        <f>IFERROR(L900*MAX(N900,1)/R900*IF(ISBLANK(K895),1,K895),0)</f>
        <v/>
      </c>
      <c r="AB900" s="7" t="inlineStr">
        <is>
          <t>^LightFlameWeapon, ^MediumFlameWeapon, ^HeavyFlameWeapon, ^Grenade, ^FlakWeapon, ^ShrapnelWeapon, ^MediumMissile, ^HeavyMissile</t>
        </is>
      </c>
    </row>
    <row r="901">
      <c r="A901" t="inlineStr">
        <is>
          <t>redalert</t>
        </is>
      </c>
      <c r="B901" t="inlineStr">
        <is>
          <t>ra1_allies_chronotank</t>
        </is>
      </c>
      <c r="C901" t="inlineStr">
        <is>
          <t>Chrono Tank</t>
        </is>
      </c>
      <c r="D901" s="6" t="inlineStr">
        <is>
          <t>EpicVehicle</t>
        </is>
      </c>
      <c r="E901" s="6" t="n">
        <v>75000</v>
      </c>
      <c r="F901" s="6" t="n">
        <v>100</v>
      </c>
      <c r="G901" t="inlineStr">
        <is>
          <t>Superheavy</t>
        </is>
      </c>
      <c r="H901" s="6" t="n">
        <v>0.75</v>
      </c>
      <c r="I901" s="6" t="n">
        <v>0.4</v>
      </c>
      <c r="J901" s="6" t="n">
        <v>2</v>
      </c>
      <c r="K901" s="6" t="n"/>
      <c r="P901">
        <f>MAX(P902,P903,P904,P905)</f>
        <v/>
      </c>
      <c r="S901">
        <f>S902+S903+S904+S905</f>
        <v/>
      </c>
      <c r="T901">
        <f>(E901/100000+F901/100+(P901/1000)*J901/5+S901/200)*200*I901*H901</f>
        <v/>
      </c>
      <c r="U901">
        <f>((E901*F901/25000)+((P901/1000)*J901*S901/2.5))*I901*H901</f>
        <v/>
      </c>
      <c r="V901">
        <f>(E901*F901*(P901/1000)*J901*S901*I901*H901)/12500000</f>
        <v/>
      </c>
      <c r="W901">
        <f>(((E901/4000000)+(F901/60)+(S901/20000)+((P901/8500)*J901))*10000/4+(((E901/4000000)*(F901/60))+(((P901/8500)*J901)*(S901/20000)))*10000/2+((E901/4000000)*(F901/60)*((P901/8500)*J901)*(S901/20000))*10000)*(H901/0.75)/3</f>
        <v/>
      </c>
      <c r="X901" s="6" t="n">
        <v>2000</v>
      </c>
      <c r="Y901">
        <f>IFERROR(W901-X901,"")</f>
        <v/>
      </c>
      <c r="Z901">
        <f>IFERROR(ABS(Y901)/MAX(X901,1),"")</f>
        <v/>
      </c>
      <c r="AA901">
        <f>IFERROR(ROUND(((3*X901-(((E901/4000000)+(F901/60)+(S901/20000))*10000/4+((E901/4000000)*(F901/60))*10000/2)*(H901/0.75))/(10000/4+((S901/20000))*10000/2+((E901/4000000)*(F901/60)*(S901/20000))*10000)*(H901/0.75)*8500)/J901,-1),"")</f>
        <v/>
      </c>
    </row>
    <row r="902">
      <c r="B902" s="7" t="inlineStr">
        <is>
          <t xml:space="preserve">  ↳ ChronoTusk</t>
        </is>
      </c>
      <c r="C902" s="7" t="inlineStr">
        <is>
          <t>Armament@PRIMARY</t>
        </is>
      </c>
      <c r="L902" s="6" t="n">
        <v>20000</v>
      </c>
      <c r="M902" s="6" t="n">
        <v>54</v>
      </c>
      <c r="N902" s="6" t="n">
        <v>4</v>
      </c>
      <c r="O902" s="6" t="n">
        <v>3</v>
      </c>
      <c r="P902" s="6" t="n">
        <v>6102</v>
      </c>
      <c r="Q902" s="6" t="n">
        <v>1</v>
      </c>
      <c r="R902">
        <f>M902+IF(N902&gt;1,N(O902)*(N902-1),0)</f>
        <v/>
      </c>
      <c r="S902">
        <f>IFERROR(L902*MAX(N902,1)/R902*IF(ISBLANK(K901),1,K901),0)</f>
        <v/>
      </c>
      <c r="AB902" s="7" t="inlineStr">
        <is>
          <t>^Grenade, ^FlakWeapon, ^Chaingun, ^HeavyMissile, ^MediumMissile</t>
        </is>
      </c>
    </row>
    <row r="903">
      <c r="B903" s="7" t="inlineStr">
        <is>
          <t xml:space="preserve">  ↳ ChronoTusk</t>
        </is>
      </c>
      <c r="C903" s="7" t="inlineStr">
        <is>
          <t>Armament@SECONDARY</t>
        </is>
      </c>
      <c r="L903" s="6" t="n">
        <v>20000</v>
      </c>
      <c r="M903" s="6" t="n">
        <v>54</v>
      </c>
      <c r="N903" s="6" t="n">
        <v>4</v>
      </c>
      <c r="O903" s="6" t="n">
        <v>3</v>
      </c>
      <c r="P903" s="6" t="n">
        <v>6102</v>
      </c>
      <c r="Q903" s="6" t="n">
        <v>1</v>
      </c>
      <c r="R903">
        <f>M903+IF(N903&gt;1,N(O903)*(N903-1),0)</f>
        <v/>
      </c>
      <c r="S903">
        <f>IFERROR(L903*MAX(N903,1)/R903*IF(ISBLANK(K901),1,K901),0)</f>
        <v/>
      </c>
      <c r="AB903" s="7" t="inlineStr">
        <is>
          <t>^Grenade, ^FlakWeapon, ^Chaingun, ^HeavyMissile, ^MediumMissile</t>
        </is>
      </c>
    </row>
    <row r="904">
      <c r="B904" s="7" t="inlineStr">
        <is>
          <t xml:space="preserve">  ↳ ChronoTuskCryo</t>
        </is>
      </c>
      <c r="C904" s="7" t="inlineStr">
        <is>
          <t>Armament@Upgrade</t>
        </is>
      </c>
      <c r="L904" s="6" t="n">
        <v>20000</v>
      </c>
      <c r="M904" s="6" t="n">
        <v>54</v>
      </c>
      <c r="N904" s="6" t="n">
        <v>4</v>
      </c>
      <c r="O904" s="6" t="n">
        <v>3</v>
      </c>
      <c r="P904" s="6" t="n">
        <v>6102</v>
      </c>
      <c r="Q904" s="6" t="n">
        <v>1</v>
      </c>
      <c r="R904">
        <f>M904+IF(N904&gt;1,N(O904)*(N904-1),0)</f>
        <v/>
      </c>
      <c r="S904">
        <f>IFERROR(L904*MAX(N904,1)/R904*IF(ISBLANK(K901),1,K901),0)</f>
        <v/>
      </c>
      <c r="AB904" s="7" t="inlineStr">
        <is>
          <t>ChronoTusk, ^CryoMissileProjectile</t>
        </is>
      </c>
    </row>
    <row r="905">
      <c r="B905" s="7" t="inlineStr">
        <is>
          <t xml:space="preserve">  ↳ ChronoTuskCryo</t>
        </is>
      </c>
      <c r="C905" s="7" t="inlineStr">
        <is>
          <t>Armament@UpgradeSECONDARY</t>
        </is>
      </c>
      <c r="L905" s="6" t="n">
        <v>20000</v>
      </c>
      <c r="M905" s="6" t="n">
        <v>54</v>
      </c>
      <c r="N905" s="6" t="n">
        <v>4</v>
      </c>
      <c r="O905" s="6" t="n">
        <v>3</v>
      </c>
      <c r="P905" s="6" t="n">
        <v>6102</v>
      </c>
      <c r="Q905" s="6" t="n">
        <v>1</v>
      </c>
      <c r="R905">
        <f>M905+IF(N905&gt;1,N(O905)*(N905-1),0)</f>
        <v/>
      </c>
      <c r="S905">
        <f>IFERROR(L905*MAX(N905,1)/R905*IF(ISBLANK(K901),1,K901),0)</f>
        <v/>
      </c>
      <c r="AB905" s="7" t="inlineStr">
        <is>
          <t>ChronoTusk, ^CryoMissileProjectile</t>
        </is>
      </c>
    </row>
    <row r="906">
      <c r="A906" t="inlineStr">
        <is>
          <t>tiberiansun</t>
        </is>
      </c>
      <c r="B906" t="inlineStr">
        <is>
          <t>cabal_coredefender</t>
        </is>
      </c>
      <c r="C906" t="inlineStr">
        <is>
          <t>Core Defender</t>
        </is>
      </c>
      <c r="D906" s="6" t="inlineStr">
        <is>
          <t>EpicVehicle</t>
        </is>
      </c>
      <c r="E906" s="6" t="n">
        <v>2000000</v>
      </c>
      <c r="F906" s="6" t="n">
        <v>50</v>
      </c>
      <c r="G906" t="inlineStr">
        <is>
          <t>Superheavy</t>
        </is>
      </c>
      <c r="H906" s="6" t="n">
        <v>1</v>
      </c>
      <c r="I906" s="6" t="n">
        <v>0.3</v>
      </c>
      <c r="J906" s="6" t="n">
        <v>1</v>
      </c>
      <c r="K906" s="6" t="n"/>
      <c r="P906">
        <f>MAX(P907,P908)</f>
        <v/>
      </c>
      <c r="S906">
        <f>S907+S908</f>
        <v/>
      </c>
      <c r="T906">
        <f>(E906/100000+F906/100+(P906/1000)*J906/5+S906/200)*200*I906*H906</f>
        <v/>
      </c>
      <c r="U906">
        <f>((E906*F906/25000)+((P906/1000)*J906*S906/2.5))*I906*H906</f>
        <v/>
      </c>
      <c r="V906">
        <f>(E906*F906*(P906/1000)*J906*S906*I906*H906)/12500000</f>
        <v/>
      </c>
      <c r="W906">
        <f>(((E906/4000000)+(F906/60)+(S906/20000)+((P906/8500)*J906))*10000/4+(((E906/4000000)*(F906/60))+(((P906/8500)*J906)*(S906/20000)))*10000/2+((E906/4000000)*(F906/60)*((P906/8500)*J906)*(S906/20000))*10000)*(H906/0.75)/3</f>
        <v/>
      </c>
      <c r="X906" s="6" t="n">
        <v>15000</v>
      </c>
      <c r="Y906">
        <f>IFERROR(W906-X906,"")</f>
        <v/>
      </c>
      <c r="Z906">
        <f>IFERROR(ABS(Y906)/MAX(X906,1),"")</f>
        <v/>
      </c>
      <c r="AA906">
        <f>IFERROR(ROUND(((3*X906-(((E906/4000000)+(F906/60)+(S906/20000))*10000/4+((E906/4000000)*(F906/60))*10000/2)*(H906/0.75))/(10000/4+((S906/20000))*10000/2+((E906/4000000)*(F906/60)*(S906/20000))*10000)*(H906/0.75)*8500)/J906,-1),"")</f>
        <v/>
      </c>
    </row>
    <row r="907">
      <c r="B907" s="7" t="inlineStr">
        <is>
          <t xml:space="preserve">  ↳ CabalCoreDefenderLaser</t>
        </is>
      </c>
      <c r="C907" s="7" t="inlineStr">
        <is>
          <t>Armament</t>
        </is>
      </c>
      <c r="L907" s="6" t="n">
        <v>160000</v>
      </c>
      <c r="M907" s="6" t="n">
        <v>70</v>
      </c>
      <c r="N907" s="6" t="n">
        <v>1</v>
      </c>
      <c r="O907" s="6" t="n"/>
      <c r="P907" s="6" t="n">
        <v>6332</v>
      </c>
      <c r="Q907" s="6" t="n">
        <v>1.25</v>
      </c>
      <c r="R907">
        <f>M907+IF(N907&gt;1,N(O907)*(N907-1),0)</f>
        <v/>
      </c>
      <c r="S907">
        <f>IFERROR(L907*MAX(N907,1)/R907*IF(ISBLANK(K906),1,K906),0)</f>
        <v/>
      </c>
      <c r="AB907" s="7" t="inlineStr">
        <is>
          <t>^Warhead_Laser_Heavy</t>
        </is>
      </c>
    </row>
    <row r="908">
      <c r="B908" s="7" t="inlineStr">
        <is>
          <t xml:space="preserve">  ↳ CabalCoreDefenderLaser</t>
        </is>
      </c>
      <c r="C908" s="7" t="inlineStr">
        <is>
          <t>Armament@RIGHT</t>
        </is>
      </c>
      <c r="L908" s="6" t="n">
        <v>160000</v>
      </c>
      <c r="M908" s="6" t="n">
        <v>70</v>
      </c>
      <c r="N908" s="6" t="n">
        <v>1</v>
      </c>
      <c r="O908" s="6" t="n"/>
      <c r="P908" s="6" t="n">
        <v>6332</v>
      </c>
      <c r="Q908" s="6" t="n">
        <v>1.25</v>
      </c>
      <c r="R908">
        <f>M908+IF(N908&gt;1,N(O908)*(N908-1),0)</f>
        <v/>
      </c>
      <c r="S908">
        <f>IFERROR(L908*MAX(N908,1)/R908*IF(ISBLANK(K906),1,K906),0)</f>
        <v/>
      </c>
      <c r="AB908" s="7" t="inlineStr">
        <is>
          <t>^Warhead_Laser_Heavy</t>
        </is>
      </c>
    </row>
    <row r="909">
      <c r="A909" t="inlineStr">
        <is>
          <t>tiberiansun</t>
        </is>
      </c>
      <c r="B909" t="inlineStr">
        <is>
          <t>ts_gdi_mammothmkii</t>
        </is>
      </c>
      <c r="C909" t="inlineStr">
        <is>
          <t>Mammoth MK. II</t>
        </is>
      </c>
      <c r="D909" s="6" t="inlineStr">
        <is>
          <t>EpicVehicle</t>
        </is>
      </c>
      <c r="E909" s="6" t="n">
        <v>1200000</v>
      </c>
      <c r="F909" s="6" t="n">
        <v>50</v>
      </c>
      <c r="G909" t="inlineStr">
        <is>
          <t>Superheavy</t>
        </is>
      </c>
      <c r="H909" s="6" t="n">
        <v>0.6471</v>
      </c>
      <c r="I909" s="6" t="n">
        <v>1</v>
      </c>
      <c r="J909" s="6" t="n">
        <v>1</v>
      </c>
      <c r="K909" s="6" t="n"/>
      <c r="P909">
        <f>MAX(P910,P911,P912,P913)</f>
        <v/>
      </c>
      <c r="S909">
        <f>S910+S911+S912+S913</f>
        <v/>
      </c>
      <c r="T909">
        <f>(E909/100000+F909/100+(P909/1000)*J909/5+S909/200)*200*I909*H909</f>
        <v/>
      </c>
      <c r="U909">
        <f>((E909*F909/25000)+((P909/1000)*J909*S909/2.5))*I909*H909</f>
        <v/>
      </c>
      <c r="V909">
        <f>(E909*F909*(P909/1000)*J909*S909*I909*H909)/12500000</f>
        <v/>
      </c>
      <c r="W909">
        <f>(((E909/4000000)+(F909/60)+(S909/20000)+((P909/8500)*J909))*10000/4+(((E909/4000000)*(F909/60))+(((P909/8500)*J909)*(S909/20000)))*10000/2+((E909/4000000)*(F909/60)*((P909/8500)*J909)*(S909/20000))*10000)*(H909/0.75)/3</f>
        <v/>
      </c>
      <c r="X909" s="6" t="n">
        <v>8000</v>
      </c>
      <c r="Y909">
        <f>IFERROR(W909-X909,"")</f>
        <v/>
      </c>
      <c r="Z909">
        <f>IFERROR(ABS(Y909)/MAX(X909,1),"")</f>
        <v/>
      </c>
      <c r="AA909">
        <f>IFERROR(ROUND(((3*X909-(((E909/4000000)+(F909/60)+(S909/20000))*10000/4+((E909/4000000)*(F909/60))*10000/2)*(H909/0.75))/(10000/4+((S909/20000))*10000/2+((E909/4000000)*(F909/60)*(S909/20000))*10000)*(H909/0.75)*8500)/J909,-1),"")</f>
        <v/>
      </c>
    </row>
    <row r="910">
      <c r="B910" s="7" t="inlineStr">
        <is>
          <t xml:space="preserve">  ↳ TSMechRailgunII</t>
        </is>
      </c>
      <c r="C910" s="7" t="inlineStr">
        <is>
          <t>Armament@RAILGUN</t>
        </is>
      </c>
      <c r="L910" s="6" t="n">
        <v>80000</v>
      </c>
      <c r="M910" s="6" t="n">
        <v>112</v>
      </c>
      <c r="N910" s="6" t="n">
        <v>2</v>
      </c>
      <c r="O910" s="6" t="n">
        <v>8</v>
      </c>
      <c r="P910" s="6" t="n">
        <v>8434</v>
      </c>
      <c r="Q910" s="6" t="n">
        <v>1.25</v>
      </c>
      <c r="R910">
        <f>M910+IF(N910&gt;1,N(O910)*(N910-1),0)</f>
        <v/>
      </c>
      <c r="S910">
        <f>IFERROR(L910*MAX(N910,1)/R910*IF(ISBLANK(K909),1,K909),0)</f>
        <v/>
      </c>
      <c r="AB910" s="7" t="inlineStr">
        <is>
          <t>^Warhead_Railgun_Heavy</t>
        </is>
      </c>
    </row>
    <row r="911">
      <c r="B911" s="7" t="inlineStr">
        <is>
          <t xml:space="preserve">  ↳ TSMammothTusk2II_AA</t>
        </is>
      </c>
      <c r="C911" s="7" t="inlineStr">
        <is>
          <t>Armament@MISSILES</t>
        </is>
      </c>
      <c r="L911" s="6" t="n">
        <v>60000</v>
      </c>
      <c r="M911" s="6" t="n">
        <v>92</v>
      </c>
      <c r="N911" s="6" t="n">
        <v>2</v>
      </c>
      <c r="O911" s="6" t="n">
        <v>8</v>
      </c>
      <c r="P911" s="6" t="n">
        <v>9388</v>
      </c>
      <c r="Q911" s="6" t="n">
        <v>1.25</v>
      </c>
      <c r="R911">
        <f>M911+IF(N911&gt;1,N(O911)*(N911-1),0)</f>
        <v/>
      </c>
      <c r="S911">
        <f>IFERROR(L911*MAX(N911,1)/R911*IF(ISBLANK(K909),1,K909),0)</f>
        <v/>
      </c>
      <c r="AB911" s="7" t="inlineStr">
        <is>
          <t>^Warhead_MissileAP_Heavy</t>
        </is>
      </c>
    </row>
    <row r="912">
      <c r="B912" s="7" t="inlineStr">
        <is>
          <t xml:space="preserve">  ↳ TSMechRailgunRailII</t>
        </is>
      </c>
      <c r="C912" s="7" t="inlineStr">
        <is>
          <t>Armament@UpgradeRAILGUN</t>
        </is>
      </c>
      <c r="L912" s="6" t="n">
        <v>80000</v>
      </c>
      <c r="M912" s="6" t="n">
        <v>72</v>
      </c>
      <c r="N912" s="6" t="n">
        <v>2</v>
      </c>
      <c r="O912" s="6" t="n">
        <v>8</v>
      </c>
      <c r="P912" s="6" t="n">
        <v>8434</v>
      </c>
      <c r="Q912" s="6" t="n">
        <v>1.25</v>
      </c>
      <c r="R912">
        <f>M912+IF(N912&gt;1,N(O912)*(N912-1),0)</f>
        <v/>
      </c>
      <c r="S912">
        <f>IFERROR(L912*MAX(N912,1)/R912*IF(ISBLANK(K909),1,K909),0)</f>
        <v/>
      </c>
      <c r="AB912" s="7" t="inlineStr">
        <is>
          <t>^Warhead_Railgun_Heavy</t>
        </is>
      </c>
    </row>
    <row r="913">
      <c r="B913" s="7" t="inlineStr">
        <is>
          <t xml:space="preserve">  ↳ TSMechMGII</t>
        </is>
      </c>
      <c r="C913" s="7" t="inlineStr">
        <is>
          <t>Armament@MG</t>
        </is>
      </c>
      <c r="L913" s="6" t="n">
        <v>16000</v>
      </c>
      <c r="M913" s="6" t="n">
        <v>8</v>
      </c>
      <c r="N913" s="6" t="n">
        <v>1</v>
      </c>
      <c r="O913" s="6" t="n"/>
      <c r="P913" s="6" t="n">
        <v>7002</v>
      </c>
      <c r="Q913" s="6" t="n">
        <v>1</v>
      </c>
      <c r="R913">
        <f>M913+IF(N913&gt;1,N(O913)*(N913-1),0)</f>
        <v/>
      </c>
      <c r="S913">
        <f>IFERROR(L913*MAX(N913,1)/R913*IF(ISBLANK(K909),1,K909),0)</f>
        <v/>
      </c>
      <c r="AB913" s="7" t="inlineStr">
        <is>
          <t>^Warhead_Bullet_Medium</t>
        </is>
      </c>
    </row>
    <row r="914">
      <c r="A914" t="inlineStr">
        <is>
          <t>tiberiansun</t>
        </is>
      </c>
      <c r="B914" t="inlineStr">
        <is>
          <t>ts_gdi_mammothprototype</t>
        </is>
      </c>
      <c r="C914" t="inlineStr">
        <is>
          <t>Mammoth Prototype</t>
        </is>
      </c>
      <c r="D914" s="6" t="inlineStr">
        <is>
          <t>EpicVehicle</t>
        </is>
      </c>
      <c r="E914" s="6" t="n">
        <v>800000</v>
      </c>
      <c r="F914" s="6" t="n">
        <v>50</v>
      </c>
      <c r="G914" t="inlineStr">
        <is>
          <t>Superheavy</t>
        </is>
      </c>
      <c r="H914" s="6" t="n">
        <v>0.6471</v>
      </c>
      <c r="I914" s="6" t="n">
        <v>1</v>
      </c>
      <c r="J914" s="6" t="n">
        <v>1</v>
      </c>
      <c r="K914" s="6" t="n"/>
      <c r="P914">
        <f>MAX(P915,P916,P917)</f>
        <v/>
      </c>
      <c r="S914">
        <f>S915+S916+S917</f>
        <v/>
      </c>
      <c r="T914">
        <f>(E914/100000+F914/100+(P914/1000)*J914/5+S914/200)*200*I914*H914</f>
        <v/>
      </c>
      <c r="U914">
        <f>((E914*F914/25000)+((P914/1000)*J914*S914/2.5))*I914*H914</f>
        <v/>
      </c>
      <c r="V914">
        <f>(E914*F914*(P914/1000)*J914*S914*I914*H914)/12500000</f>
        <v/>
      </c>
      <c r="W914">
        <f>(((E914/4000000)+(F914/60)+(S914/20000)+((P914/8500)*J914))*10000/4+(((E914/4000000)*(F914/60))+(((P914/8500)*J914)*(S914/20000)))*10000/2+((E914/4000000)*(F914/60)*((P914/8500)*J914)*(S914/20000))*10000)*(H914/0.75)/3</f>
        <v/>
      </c>
      <c r="X914" s="6" t="n">
        <v>4000</v>
      </c>
      <c r="Y914">
        <f>IFERROR(W914-X914,"")</f>
        <v/>
      </c>
      <c r="Z914">
        <f>IFERROR(ABS(Y914)/MAX(X914,1),"")</f>
        <v/>
      </c>
      <c r="AA914">
        <f>IFERROR(ROUND(((3*X914-(((E914/4000000)+(F914/60)+(S914/20000))*10000/4+((E914/4000000)*(F914/60))*10000/2)*(H914/0.75))/(10000/4+((S914/20000))*10000/2+((E914/4000000)*(F914/60)*(S914/20000))*10000)*(H914/0.75)*8500)/J914,-1),"")</f>
        <v/>
      </c>
    </row>
    <row r="915">
      <c r="B915" s="7" t="inlineStr">
        <is>
          <t xml:space="preserve">  ↳ TSMechRailgun</t>
        </is>
      </c>
      <c r="C915" s="7" t="inlineStr">
        <is>
          <t>Armament@RAILGUN</t>
        </is>
      </c>
      <c r="L915" s="6" t="n">
        <v>40000</v>
      </c>
      <c r="M915" s="6" t="n">
        <v>92</v>
      </c>
      <c r="N915" s="6" t="n">
        <v>2</v>
      </c>
      <c r="O915" s="6" t="n">
        <v>8</v>
      </c>
      <c r="P915" s="6" t="n">
        <v>8409</v>
      </c>
      <c r="Q915" s="6" t="n">
        <v>1.25</v>
      </c>
      <c r="R915">
        <f>M915+IF(N915&gt;1,N(O915)*(N915-1),0)</f>
        <v/>
      </c>
      <c r="S915">
        <f>IFERROR(L915*MAX(N915,1)/R915*IF(ISBLANK(K914),1,K914),0)</f>
        <v/>
      </c>
      <c r="AB915" s="7" t="inlineStr">
        <is>
          <t>^Warhead_Railgun_Heavy</t>
        </is>
      </c>
    </row>
    <row r="916">
      <c r="B916" s="7" t="inlineStr">
        <is>
          <t xml:space="preserve">  ↳ TSMammothTusk2</t>
        </is>
      </c>
      <c r="C916" s="7" t="inlineStr">
        <is>
          <t>Armament@MISSILES</t>
        </is>
      </c>
      <c r="L916" s="6" t="n">
        <v>42000</v>
      </c>
      <c r="M916" s="6" t="n">
        <v>92</v>
      </c>
      <c r="N916" s="6" t="n">
        <v>2</v>
      </c>
      <c r="O916" s="6" t="n">
        <v>8</v>
      </c>
      <c r="P916" s="6" t="n">
        <v>9332</v>
      </c>
      <c r="Q916" s="6" t="n">
        <v>1.25</v>
      </c>
      <c r="R916">
        <f>M916+IF(N916&gt;1,N(O916)*(N916-1),0)</f>
        <v/>
      </c>
      <c r="S916">
        <f>IFERROR(L916*MAX(N916,1)/R916*IF(ISBLANK(K914),1,K914),0)</f>
        <v/>
      </c>
      <c r="AB916" s="7" t="inlineStr">
        <is>
          <t>^Warhead_MissileAP_Heavy</t>
        </is>
      </c>
    </row>
    <row r="917">
      <c r="B917" s="7" t="inlineStr">
        <is>
          <t xml:space="preserve">  ↳ TSMechRailgunRail</t>
        </is>
      </c>
      <c r="C917" s="7" t="inlineStr">
        <is>
          <t>Armament@UpgradeRAILGUN</t>
        </is>
      </c>
      <c r="L917" s="6" t="n">
        <v>40000</v>
      </c>
      <c r="M917" s="6" t="n">
        <v>58</v>
      </c>
      <c r="N917" s="6" t="n">
        <v>2</v>
      </c>
      <c r="O917" s="6" t="n">
        <v>8</v>
      </c>
      <c r="P917" s="6" t="n">
        <v>8409</v>
      </c>
      <c r="Q917" s="6" t="n">
        <v>1.25</v>
      </c>
      <c r="R917">
        <f>M917+IF(N917&gt;1,N(O917)*(N917-1),0)</f>
        <v/>
      </c>
      <c r="S917">
        <f>IFERROR(L917*MAX(N917,1)/R917*IF(ISBLANK(K914),1,K914),0)</f>
        <v/>
      </c>
      <c r="AB917" s="7" t="inlineStr">
        <is>
          <t>^Warhead_Railgun_Heavy</t>
        </is>
      </c>
    </row>
    <row r="918">
      <c r="A918" t="inlineStr">
        <is>
          <t>tiberiansun</t>
        </is>
      </c>
      <c r="B918" t="inlineStr">
        <is>
          <t>forgotten_chemicalmammothtank</t>
        </is>
      </c>
      <c r="C918" t="inlineStr">
        <is>
          <t>actor_forgotten_chemicalmammothtank.name</t>
        </is>
      </c>
      <c r="D918" s="6" t="inlineStr">
        <is>
          <t>EpicVehicle</t>
        </is>
      </c>
      <c r="E918" s="6" t="n">
        <v>400000</v>
      </c>
      <c r="F918" s="6" t="n">
        <v>60</v>
      </c>
      <c r="G918" t="inlineStr">
        <is>
          <t>Superheavy</t>
        </is>
      </c>
      <c r="H918" s="6" t="n">
        <v>0.7269</v>
      </c>
      <c r="I918" s="6" t="n">
        <v>1</v>
      </c>
      <c r="J918" s="6" t="n">
        <v>1</v>
      </c>
      <c r="K918" s="6" t="n"/>
      <c r="P918">
        <f>MAX(P919,P920)</f>
        <v/>
      </c>
      <c r="S918">
        <f>S919+S920</f>
        <v/>
      </c>
      <c r="T918">
        <f>(E918/100000+F918/100+(P918/1000)*J918/5+S918/200)*200*I918*H918</f>
        <v/>
      </c>
      <c r="U918">
        <f>((E918*F918/25000)+((P918/1000)*J918*S918/2.5))*I918*H918</f>
        <v/>
      </c>
      <c r="V918">
        <f>(E918*F918*(P918/1000)*J918*S918*I918*H918)/12500000</f>
        <v/>
      </c>
      <c r="W918">
        <f>(((E918/4000000)+(F918/60)+(S918/20000)+((P918/8500)*J918))*10000/4+(((E918/4000000)*(F918/60))+(((P918/8500)*J918)*(S918/20000)))*10000/2+((E918/4000000)*(F918/60)*((P918/8500)*J918)*(S918/20000))*10000)*(H918/0.75)/3</f>
        <v/>
      </c>
      <c r="X918" s="6" t="n">
        <v>5000</v>
      </c>
      <c r="Y918">
        <f>IFERROR(W918-X918,"")</f>
        <v/>
      </c>
      <c r="Z918">
        <f>IFERROR(ABS(Y918)/MAX(X918,1),"")</f>
        <v/>
      </c>
      <c r="AA918">
        <f>IFERROR(ROUND(((3*X918-(((E918/4000000)+(F918/60)+(S918/20000))*10000/4+((E918/4000000)*(F918/60))*10000/2)*(H918/0.75))/(10000/4+((S918/20000))*10000/2+((E918/4000000)*(F918/60)*(S918/20000))*10000)*(H918/0.75)*8500)/J918,-1),"")</f>
        <v/>
      </c>
    </row>
    <row r="919">
      <c r="B919" s="7" t="inlineStr">
        <is>
          <t xml:space="preserve">  ↳ TS120mmxChem</t>
        </is>
      </c>
      <c r="C919" s="7" t="inlineStr">
        <is>
          <t>Armament@PRIMARY</t>
        </is>
      </c>
      <c r="L919" s="6" t="n">
        <v>80000</v>
      </c>
      <c r="M919" s="6" t="n">
        <v>60</v>
      </c>
      <c r="N919" s="6" t="n">
        <v>2</v>
      </c>
      <c r="O919" s="6" t="n">
        <v>4</v>
      </c>
      <c r="P919" s="6" t="n">
        <v>6172</v>
      </c>
      <c r="Q919" s="6" t="n">
        <v>1.25</v>
      </c>
      <c r="R919">
        <f>M919+IF(N919&gt;1,N(O919)*(N919-1),0)</f>
        <v/>
      </c>
      <c r="S919">
        <f>IFERROR(L919*MAX(N919,1)/R919*IF(ISBLANK(K918),1,K918),0)</f>
        <v/>
      </c>
      <c r="AB919" s="7" t="inlineStr">
        <is>
          <t>^Warhead_Demolition_Heavy, ^Warhead_Chemical_Heavy</t>
        </is>
      </c>
    </row>
    <row r="920">
      <c r="B920" s="7" t="inlineStr">
        <is>
          <t xml:space="preserve">  ↳ TSMammothTuskChem</t>
        </is>
      </c>
      <c r="C920" s="7" t="inlineStr">
        <is>
          <t>Armament@SECONDARY</t>
        </is>
      </c>
      <c r="L920" s="6" t="n">
        <v>40000</v>
      </c>
      <c r="M920" s="6" t="n">
        <v>48</v>
      </c>
      <c r="N920" s="6" t="n">
        <v>4</v>
      </c>
      <c r="O920" s="6" t="n">
        <v>6</v>
      </c>
      <c r="P920" s="6" t="n">
        <v>6172</v>
      </c>
      <c r="Q920" s="6" t="n">
        <v>1</v>
      </c>
      <c r="R920">
        <f>M920+IF(N920&gt;1,N(O920)*(N920-1),0)</f>
        <v/>
      </c>
      <c r="S920">
        <f>IFERROR(L920*MAX(N920,1)/R920*IF(ISBLANK(K918),1,K918),0)</f>
        <v/>
      </c>
      <c r="AB920" s="7" t="inlineStr">
        <is>
          <t>^HeavyMissile, ^HeavyChemicalWeapon</t>
        </is>
      </c>
    </row>
    <row r="921">
      <c r="A921" t="inlineStr">
        <is>
          <t>tiberiansun</t>
        </is>
      </c>
      <c r="B921" t="inlineStr">
        <is>
          <t>forgotten_experimentalmammothtank</t>
        </is>
      </c>
      <c r="C921" t="inlineStr">
        <is>
          <t>actor_forgotten_experimentalmammothtank.name</t>
        </is>
      </c>
      <c r="D921" s="6" t="inlineStr">
        <is>
          <t>EpicVehicle</t>
        </is>
      </c>
      <c r="E921" s="6" t="n">
        <v>1000000</v>
      </c>
      <c r="F921" s="6" t="n">
        <v>50</v>
      </c>
      <c r="G921" t="inlineStr">
        <is>
          <t>Superheavy</t>
        </is>
      </c>
      <c r="H921" s="6" t="n">
        <v>0.7269</v>
      </c>
      <c r="I921" s="6" t="n">
        <v>1</v>
      </c>
      <c r="J921" s="6" t="n">
        <v>1</v>
      </c>
      <c r="K921" s="6" t="n"/>
      <c r="P921">
        <f>MAX(P922,P923,P924)</f>
        <v/>
      </c>
      <c r="S921">
        <f>S922+S923+S924</f>
        <v/>
      </c>
      <c r="T921">
        <f>(E921/100000+F921/100+(P921/1000)*J921/5+S921/200)*200*I921*H921</f>
        <v/>
      </c>
      <c r="U921">
        <f>((E921*F921/25000)+((P921/1000)*J921*S921/2.5))*I921*H921</f>
        <v/>
      </c>
      <c r="V921">
        <f>(E921*F921*(P921/1000)*J921*S921*I921*H921)/12500000</f>
        <v/>
      </c>
      <c r="W921">
        <f>(((E921/4000000)+(F921/60)+(S921/20000)+((P921/8500)*J921))*10000/4+(((E921/4000000)*(F921/60))+(((P921/8500)*J921)*(S921/20000)))*10000/2+((E921/4000000)*(F921/60)*((P921/8500)*J921)*(S921/20000))*10000)*(H921/0.75)/3</f>
        <v/>
      </c>
      <c r="X921" s="6" t="n">
        <v>6000</v>
      </c>
      <c r="Y921">
        <f>IFERROR(W921-X921,"")</f>
        <v/>
      </c>
      <c r="Z921">
        <f>IFERROR(ABS(Y921)/MAX(X921,1),"")</f>
        <v/>
      </c>
      <c r="AA921">
        <f>IFERROR(ROUND(((3*X921-(((E921/4000000)+(F921/60)+(S921/20000))*10000/4+((E921/4000000)*(F921/60))*10000/2)*(H921/0.75))/(10000/4+((S921/20000))*10000/2+((E921/4000000)*(F921/60)*(S921/20000))*10000)*(H921/0.75)*8500)/J921,-1),"")</f>
        <v/>
      </c>
    </row>
    <row r="922">
      <c r="B922" s="7" t="inlineStr">
        <is>
          <t xml:space="preserve">  ↳ TS120mmx</t>
        </is>
      </c>
      <c r="C922" s="7" t="inlineStr">
        <is>
          <t>Armament@PRIMARY</t>
        </is>
      </c>
      <c r="L922" s="6" t="n">
        <v>63600</v>
      </c>
      <c r="M922" s="6" t="n">
        <v>52</v>
      </c>
      <c r="N922" s="6" t="n">
        <v>2</v>
      </c>
      <c r="O922" s="6" t="n">
        <v>4</v>
      </c>
      <c r="P922" s="6" t="n">
        <v>5677</v>
      </c>
      <c r="Q922" s="6" t="n">
        <v>1</v>
      </c>
      <c r="R922">
        <f>M922+IF(N922&gt;1,N(O922)*(N922-1),0)</f>
        <v/>
      </c>
      <c r="S922">
        <f>IFERROR(L922*MAX(N922,1)/R922*IF(ISBLANK(K921),1,K921),0)</f>
        <v/>
      </c>
      <c r="AB922" s="7" t="inlineStr">
        <is>
          <t>^Warhead_CannonHE_Medium, ^Warhead_Concussion_Medium</t>
        </is>
      </c>
    </row>
    <row r="923">
      <c r="B923" s="7" t="inlineStr">
        <is>
          <t xml:space="preserve">  ↳ TSChem120mmx</t>
        </is>
      </c>
      <c r="C923" s="7" t="inlineStr">
        <is>
          <t>Armament@UPGRADE</t>
        </is>
      </c>
      <c r="L923" s="6" t="n">
        <v>93600</v>
      </c>
      <c r="M923" s="6" t="n">
        <v>52</v>
      </c>
      <c r="N923" s="6" t="n">
        <v>2</v>
      </c>
      <c r="O923" s="6" t="n">
        <v>4</v>
      </c>
      <c r="P923" s="6" t="n">
        <v>5677</v>
      </c>
      <c r="Q923" s="6" t="n">
        <v>1</v>
      </c>
      <c r="R923">
        <f>M923+IF(N923&gt;1,N(O923)*(N923-1),0)</f>
        <v/>
      </c>
      <c r="S923">
        <f>IFERROR(L923*MAX(N923,1)/R923*IF(ISBLANK(K921),1,K921),0)</f>
        <v/>
      </c>
      <c r="AB923" s="7" t="inlineStr">
        <is>
          <t>^Warhead_CannonHE_Medium</t>
        </is>
      </c>
    </row>
    <row r="924">
      <c r="B924" s="7" t="inlineStr">
        <is>
          <t xml:space="preserve">  ↳ TSMammothTusk</t>
        </is>
      </c>
      <c r="C924" s="7" t="inlineStr">
        <is>
          <t>Armament@SECONDARY</t>
        </is>
      </c>
      <c r="L924" s="6" t="n">
        <v>60000</v>
      </c>
      <c r="M924" s="6" t="n">
        <v>62</v>
      </c>
      <c r="N924" s="6" t="n">
        <v>2</v>
      </c>
      <c r="O924" s="6" t="n">
        <v>8</v>
      </c>
      <c r="P924" s="6" t="n">
        <v>5677</v>
      </c>
      <c r="Q924" s="6" t="n">
        <v>1.25</v>
      </c>
      <c r="R924">
        <f>M924+IF(N924&gt;1,N(O924)*(N924-1),0)</f>
        <v/>
      </c>
      <c r="S924">
        <f>IFERROR(L924*MAX(N924,1)/R924*IF(ISBLANK(K921),1,K921),0)</f>
        <v/>
      </c>
      <c r="AB924" s="7" t="inlineStr">
        <is>
          <t>^Warhead_MissileAP_Heavy</t>
        </is>
      </c>
    </row>
    <row r="925">
      <c r="A925" t="inlineStr">
        <is>
          <t>tiberiansun</t>
        </is>
      </c>
      <c r="B925" t="inlineStr">
        <is>
          <t>forgotten_nomadbarracks</t>
        </is>
      </c>
      <c r="C925" t="inlineStr">
        <is>
          <t>actor_forgotten_nomadbarracks.name</t>
        </is>
      </c>
      <c r="D925" s="6" t="inlineStr">
        <is>
          <t>EpicVehicle</t>
        </is>
      </c>
      <c r="E925" s="6" t="n">
        <v>650000</v>
      </c>
      <c r="F925" s="6" t="n">
        <v>65</v>
      </c>
      <c r="G925" t="inlineStr">
        <is>
          <t>Superheavy</t>
        </is>
      </c>
      <c r="H925" s="6" t="n">
        <v>0.7269</v>
      </c>
      <c r="I925" s="6" t="n">
        <v>1</v>
      </c>
      <c r="J925" s="6" t="n">
        <v>1</v>
      </c>
      <c r="K925" s="6" t="n"/>
      <c r="P925">
        <f>MAX(P926)</f>
        <v/>
      </c>
      <c r="S925">
        <f>S926</f>
        <v/>
      </c>
      <c r="T925">
        <f>(E925/100000+F925/100+(P925/1000)*J925/5+S925/200)*200*I925*H925</f>
        <v/>
      </c>
      <c r="U925">
        <f>((E925*F925/25000)+((P925/1000)*J925*S925/2.5))*I925*H925</f>
        <v/>
      </c>
      <c r="V925">
        <f>(E925*F925*(P925/1000)*J925*S925*I925*H925)/12500000</f>
        <v/>
      </c>
      <c r="W925">
        <f>(((E925/4000000)+(F925/60)+(S925/20000)+((P925/8500)*J925))*10000/4+(((E925/4000000)*(F925/60))+(((P925/8500)*J925)*(S925/20000)))*10000/2+((E925/4000000)*(F925/60)*((P925/8500)*J925)*(S925/20000))*10000)*(H925/0.75)/3</f>
        <v/>
      </c>
      <c r="X925" s="6" t="n">
        <v>6500</v>
      </c>
      <c r="Y925">
        <f>IFERROR(W925-X925,"")</f>
        <v/>
      </c>
      <c r="Z925">
        <f>IFERROR(ABS(Y925)/MAX(X925,1),"")</f>
        <v/>
      </c>
      <c r="AA925">
        <f>IFERROR(ROUND(((3*X925-(((E925/4000000)+(F925/60)+(S925/20000))*10000/4+((E925/4000000)*(F925/60))*10000/2)*(H925/0.75))/(10000/4+((S925/20000))*10000/2+((E925/4000000)*(F925/60)*(S925/20000))*10000)*(H925/0.75)*8500)/J925,-1),"")</f>
        <v/>
      </c>
    </row>
    <row r="926">
      <c r="B926" s="7" t="inlineStr">
        <is>
          <t xml:space="preserve">  ↳ TSNomadGun</t>
        </is>
      </c>
      <c r="C926" s="7" t="inlineStr">
        <is>
          <t>Armament</t>
        </is>
      </c>
      <c r="L926" s="6" t="n">
        <v>8000</v>
      </c>
      <c r="M926" s="6" t="n">
        <v>6</v>
      </c>
      <c r="N926" s="6" t="n">
        <v>1</v>
      </c>
      <c r="O926" s="6" t="n"/>
      <c r="P926" s="6" t="n">
        <v>8301</v>
      </c>
      <c r="Q926" s="6" t="n">
        <v>1</v>
      </c>
      <c r="R926">
        <f>M926+IF(N926&gt;1,N(O926)*(N926-1),0)</f>
        <v/>
      </c>
      <c r="S926">
        <f>IFERROR(L926*MAX(N926,1)/R926*IF(ISBLANK(K925),1,K925),0)</f>
        <v/>
      </c>
      <c r="AB926" s="7" t="inlineStr">
        <is>
          <t>^Warhead_Bullet_Medium</t>
        </is>
      </c>
    </row>
    <row r="927">
      <c r="A927" t="inlineStr">
        <is>
          <t>redalert2mod</t>
        </is>
      </c>
      <c r="B927" t="inlineStr">
        <is>
          <t>latinsyndicate_nuketruck</t>
        </is>
      </c>
      <c r="C927" t="inlineStr">
        <is>
          <t>Nuke Truck</t>
        </is>
      </c>
      <c r="D927" s="6" t="inlineStr">
        <is>
          <t>EpicVehicle</t>
        </is>
      </c>
      <c r="E927" s="6" t="n">
        <v>60000</v>
      </c>
      <c r="F927" s="6" t="n">
        <v>100</v>
      </c>
      <c r="G927" t="inlineStr">
        <is>
          <t>Superheavy</t>
        </is>
      </c>
      <c r="H927" s="6" t="n">
        <v>0.4783</v>
      </c>
      <c r="I927" s="6" t="n">
        <v>1</v>
      </c>
      <c r="J927" s="6" t="n">
        <v>1</v>
      </c>
      <c r="K927" s="6" t="n"/>
      <c r="X927" s="6" t="n">
        <v>3000</v>
      </c>
    </row>
    <row r="928">
      <c r="B928" s="7" t="inlineStr">
        <is>
          <t xml:space="preserve">  ↳ DemoTruckTargeting</t>
        </is>
      </c>
      <c r="C928" s="7" t="inlineStr">
        <is>
          <t>Armament@PRIMARY</t>
        </is>
      </c>
      <c r="L928" s="6" t="n"/>
      <c r="M928" s="6" t="n"/>
      <c r="N928" s="6" t="n">
        <v>1</v>
      </c>
      <c r="O928" s="6" t="n"/>
      <c r="P928" s="6" t="n">
        <v>2000</v>
      </c>
      <c r="Q928" s="6" t="n">
        <v>1</v>
      </c>
      <c r="R928">
        <f>M928+IF(N928&gt;1,N(O928)*(N928-1),0)</f>
        <v/>
      </c>
      <c r="S928">
        <f>IFERROR(L928*MAX(N928,1)/R928*IF(ISBLANK(K927),1,K927),0)</f>
        <v/>
      </c>
      <c r="AB928" s="7" t="inlineStr"/>
    </row>
    <row r="929">
      <c r="A929" t="inlineStr">
        <is>
          <t>redalert2mod</t>
        </is>
      </c>
      <c r="B929" t="inlineStr">
        <is>
          <t>latinsyndicate_topolm</t>
        </is>
      </c>
      <c r="C929" t="inlineStr">
        <is>
          <t>Topol-M</t>
        </is>
      </c>
      <c r="D929" s="6" t="inlineStr">
        <is>
          <t>EpicVehicle</t>
        </is>
      </c>
      <c r="E929" s="6" t="n">
        <v>100000</v>
      </c>
      <c r="F929" s="6" t="n">
        <v>75</v>
      </c>
      <c r="G929" t="inlineStr">
        <is>
          <t>Superheavy</t>
        </is>
      </c>
      <c r="H929" s="6" t="n">
        <v>0.75</v>
      </c>
      <c r="I929" s="6" t="n">
        <v>0.5</v>
      </c>
      <c r="J929" s="6" t="n">
        <v>1</v>
      </c>
      <c r="K929" s="6" t="n"/>
      <c r="P929">
        <f>MAX(P931)</f>
        <v/>
      </c>
      <c r="S929">
        <f>S931</f>
        <v/>
      </c>
      <c r="T929">
        <f>(E929/100000+F929/100+(P929/1000)*J929/5+S929/200)*200*I929*H929</f>
        <v/>
      </c>
      <c r="U929">
        <f>((E929*F929/25000)+((P929/1000)*J929*S929/2.5))*I929*H929</f>
        <v/>
      </c>
      <c r="V929">
        <f>(E929*F929*(P929/1000)*J929*S929*I929*H929)/12500000</f>
        <v/>
      </c>
      <c r="W929">
        <f>(((E929/4000000)+(F929/60)+(S929/20000)+((P929/8500)*J929))*10000/4+(((E929/4000000)*(F929/60))+(((P929/8500)*J929)*(S929/20000)))*10000/2+((E929/4000000)*(F929/60)*((P929/8500)*J929)*(S929/20000))*10000)*(H929/0.75)/3</f>
        <v/>
      </c>
      <c r="X929" s="6" t="n">
        <v>6000</v>
      </c>
      <c r="Y929">
        <f>IFERROR(W929-X929,"")</f>
        <v/>
      </c>
      <c r="Z929">
        <f>IFERROR(ABS(Y929)/MAX(X929,1),"")</f>
        <v/>
      </c>
      <c r="AA929">
        <f>IFERROR(ROUND(((3*X929-(((E929/4000000)+(F929/60)+(S929/20000))*10000/4+((E929/4000000)*(F929/60))*10000/2)*(H929/0.75))/(10000/4+((S929/20000))*10000/2+((E929/4000000)*(F929/60)*(S929/20000))*10000)*(H929/0.75)*8500)/J929,-1),"")</f>
        <v/>
      </c>
    </row>
    <row r="930">
      <c r="B930" s="7" t="inlineStr">
        <is>
          <t xml:space="preserve">  ↳ RA2TOPOLCubaTarget</t>
        </is>
      </c>
      <c r="C930" s="7" t="inlineStr">
        <is>
          <t>Armament</t>
        </is>
      </c>
      <c r="L930" s="6" t="n"/>
      <c r="M930" s="6" t="n">
        <v>50</v>
      </c>
      <c r="N930" s="6" t="n">
        <v>1</v>
      </c>
      <c r="O930" s="6" t="n"/>
      <c r="P930" s="6" t="n">
        <v>32000</v>
      </c>
      <c r="Q930" s="6" t="n">
        <v>1</v>
      </c>
      <c r="R930">
        <f>M930+IF(N930&gt;1,N(O930)*(N930-1),0)</f>
        <v/>
      </c>
      <c r="S930">
        <f>IFERROR(L930*MAX(N930,1)/R930*IF(ISBLANK(K929),1,K929),0)</f>
        <v/>
      </c>
      <c r="AB930" s="7" t="inlineStr"/>
    </row>
    <row r="931">
      <c r="B931" s="7" t="inlineStr">
        <is>
          <t xml:space="preserve">  ↳ RA2TOPOLCuba</t>
        </is>
      </c>
      <c r="C931" s="7" t="inlineStr">
        <is>
          <t>Armament@Launch</t>
        </is>
      </c>
      <c r="L931" s="6" t="n">
        <v>120000</v>
      </c>
      <c r="M931" s="6" t="n">
        <v>500</v>
      </c>
      <c r="N931" s="6" t="n">
        <v>1</v>
      </c>
      <c r="O931" s="6" t="n"/>
      <c r="P931" s="6" t="n">
        <v>32000</v>
      </c>
      <c r="Q931" s="6" t="n">
        <v>1</v>
      </c>
      <c r="R931">
        <f>M931+IF(N931&gt;1,N(O931)*(N931-1),0)</f>
        <v/>
      </c>
      <c r="S931">
        <f>IFERROR(L931*MAX(N931,1)/R931*IF(ISBLANK(K929),1,K929),0)</f>
        <v/>
      </c>
      <c r="AB931" s="7" t="inlineStr">
        <is>
          <t>^NuclearWarhead, ^HeavyBomb, ^MediumFlameWeapon, ^ShrapnelWeapon, ^LightChemicalWeapon, ^Grenade</t>
        </is>
      </c>
    </row>
    <row r="932">
      <c r="A932" t="inlineStr">
        <is>
          <t>redalert2mod</t>
        </is>
      </c>
      <c r="B932" t="inlineStr">
        <is>
          <t>naxis_nokana</t>
        </is>
      </c>
      <c r="C932" t="inlineStr">
        <is>
          <t>Nokana</t>
        </is>
      </c>
      <c r="D932" s="6" t="inlineStr">
        <is>
          <t>EpicVehicle</t>
        </is>
      </c>
      <c r="E932" s="6" t="n">
        <v>450000</v>
      </c>
      <c r="F932" s="6" t="n">
        <v>60</v>
      </c>
      <c r="G932" t="inlineStr">
        <is>
          <t>Superheavy</t>
        </is>
      </c>
      <c r="H932" s="6" t="n">
        <v>0.4839</v>
      </c>
      <c r="I932" s="6" t="n">
        <v>1</v>
      </c>
      <c r="J932" s="6" t="n">
        <v>1</v>
      </c>
      <c r="K932" s="6" t="n"/>
      <c r="P932">
        <f>MAX(P933,P934,P935)</f>
        <v/>
      </c>
      <c r="S932">
        <f>S933+S934+S935</f>
        <v/>
      </c>
      <c r="T932">
        <f>(E932/100000+F932/100+(P932/1000)*J932/5+S932/200)*200*I932*H932</f>
        <v/>
      </c>
      <c r="U932">
        <f>((E932*F932/25000)+((P932/1000)*J932*S932/2.5))*I932*H932</f>
        <v/>
      </c>
      <c r="V932">
        <f>(E932*F932*(P932/1000)*J932*S932*I932*H932)/12500000</f>
        <v/>
      </c>
      <c r="W932">
        <f>(((E932/4000000)+(F932/60)+(S932/20000)+((P932/8500)*J932))*10000/4+(((E932/4000000)*(F932/60))+(((P932/8500)*J932)*(S932/20000)))*10000/2+((E932/4000000)*(F932/60)*((P932/8500)*J932)*(S932/20000))*10000)*(H932/0.75)/3</f>
        <v/>
      </c>
      <c r="X932" s="6" t="n">
        <v>3000</v>
      </c>
      <c r="Y932">
        <f>IFERROR(W932-X932,"")</f>
        <v/>
      </c>
      <c r="Z932">
        <f>IFERROR(ABS(Y932)/MAX(X932,1),"")</f>
        <v/>
      </c>
      <c r="AA932">
        <f>IFERROR(ROUND(((3*X932-(((E932/4000000)+(F932/60)+(S932/20000))*10000/4+((E932/4000000)*(F932/60))*10000/2)*(H932/0.75))/(10000/4+((S932/20000))*10000/2+((E932/4000000)*(F932/60)*(S932/20000))*10000)*(H932/0.75)*8500)/J932,-1),"")</f>
        <v/>
      </c>
    </row>
    <row r="933">
      <c r="B933" s="7" t="inlineStr">
        <is>
          <t xml:space="preserve">  ↳ NaxMausCannon</t>
        </is>
      </c>
      <c r="C933" s="7" t="inlineStr">
        <is>
          <t>Armament@AG</t>
        </is>
      </c>
      <c r="L933" s="6" t="n">
        <v>60000</v>
      </c>
      <c r="M933" s="6" t="n">
        <v>99</v>
      </c>
      <c r="N933" s="6" t="n">
        <v>1</v>
      </c>
      <c r="O933" s="6" t="n"/>
      <c r="P933" s="6" t="n">
        <v>6666</v>
      </c>
      <c r="Q933" s="6" t="n">
        <v>1</v>
      </c>
      <c r="R933">
        <f>M933+IF(N933&gt;1,N(O933)*(N933-1),0)</f>
        <v/>
      </c>
      <c r="S933">
        <f>IFERROR(L933*MAX(N933,1)/R933*IF(ISBLANK(K932),1,K932),0)</f>
        <v/>
      </c>
      <c r="AB933" s="7" t="inlineStr">
        <is>
          <t>^Warhead_CannonHE_Medium</t>
        </is>
      </c>
    </row>
    <row r="934">
      <c r="B934" s="7" t="inlineStr">
        <is>
          <t xml:space="preserve">  ↳ LatinBuggyRocket_elite</t>
        </is>
      </c>
      <c r="C934" s="7" t="inlineStr">
        <is>
          <t>Armament@RK</t>
        </is>
      </c>
      <c r="L934" s="6" t="n">
        <v>40000</v>
      </c>
      <c r="M934" s="6" t="n">
        <v>55</v>
      </c>
      <c r="N934" s="6" t="n">
        <v>2</v>
      </c>
      <c r="O934" s="6" t="n">
        <v>3</v>
      </c>
      <c r="P934" s="6" t="n">
        <v>7000</v>
      </c>
      <c r="Q934" s="6" t="n">
        <v>1</v>
      </c>
      <c r="R934">
        <f>M934+IF(N934&gt;1,N(O934)*(N934-1),0)</f>
        <v/>
      </c>
      <c r="S934">
        <f>IFERROR(L934*MAX(N934,1)/R934*IF(ISBLANK(K932),1,K932),0)</f>
        <v/>
      </c>
      <c r="AB934" s="7" t="inlineStr">
        <is>
          <t>^Warhead_Demolition_Light, ^Warhead_Concussion_Medium, ^Warhead_MissileAP_Light, ^Warhead_MissileAP_Medium</t>
        </is>
      </c>
    </row>
    <row r="935">
      <c r="B935" s="7" t="inlineStr">
        <is>
          <t xml:space="preserve">  ↳ SyndicateFireballLauncher</t>
        </is>
      </c>
      <c r="C935" s="7" t="inlineStr">
        <is>
          <t>Armament@Flam</t>
        </is>
      </c>
      <c r="L935" s="6" t="n">
        <v>6000</v>
      </c>
      <c r="M935" s="6" t="n">
        <v>44</v>
      </c>
      <c r="N935" s="6" t="n">
        <v>4</v>
      </c>
      <c r="O935" s="6" t="n">
        <v>4</v>
      </c>
      <c r="P935" s="6" t="n">
        <v>5555</v>
      </c>
      <c r="Q935" s="6" t="n">
        <v>1</v>
      </c>
      <c r="R935">
        <f>M935+IF(N935&gt;1,N(O935)*(N935-1),0)</f>
        <v/>
      </c>
      <c r="S935">
        <f>IFERROR(L935*MAX(N935,1)/R935*IF(ISBLANK(K932),1,K932),0)</f>
        <v/>
      </c>
      <c r="AB935" s="7" t="inlineStr">
        <is>
          <t>^Warhead_Flame_Light, ^Warhead_Flame_Medium, ^Warhead_Flame_Heavy</t>
        </is>
      </c>
    </row>
    <row r="936">
      <c r="A936" t="inlineStr">
        <is>
          <t>redalert2mod</t>
        </is>
      </c>
      <c r="B936" t="inlineStr">
        <is>
          <t>naxis_ratte</t>
        </is>
      </c>
      <c r="C936" t="inlineStr">
        <is>
          <t>Ratte</t>
        </is>
      </c>
      <c r="D936" s="6" t="inlineStr">
        <is>
          <t>EpicVehicle</t>
        </is>
      </c>
      <c r="E936" s="6" t="n">
        <v>2000000</v>
      </c>
      <c r="F936" s="6" t="n">
        <v>35</v>
      </c>
      <c r="G936" t="inlineStr">
        <is>
          <t>Superheavy</t>
        </is>
      </c>
      <c r="H936" s="6" t="n">
        <v>0.75</v>
      </c>
      <c r="I936" s="6" t="n">
        <v>0.4</v>
      </c>
      <c r="J936" s="6" t="n">
        <v>1</v>
      </c>
      <c r="K936" s="6" t="n"/>
      <c r="P936">
        <f>MAX(P937,P938,P939,P940)</f>
        <v/>
      </c>
      <c r="S936">
        <f>S937+S938+S939+S940</f>
        <v/>
      </c>
      <c r="T936">
        <f>(E936/100000+F936/100+(P936/1000)*J936/5+S936/200)*200*I936*H936</f>
        <v/>
      </c>
      <c r="U936">
        <f>((E936*F936/25000)+((P936/1000)*J936*S936/2.5))*I936*H936</f>
        <v/>
      </c>
      <c r="V936">
        <f>(E936*F936*(P936/1000)*J936*S936*I936*H936)/12500000</f>
        <v/>
      </c>
      <c r="W936">
        <f>(((E936/4000000)+(F936/60)+(S936/20000)+((P936/8500)*J936))*10000/4+(((E936/4000000)*(F936/60))+(((P936/8500)*J936)*(S936/20000)))*10000/2+((E936/4000000)*(F936/60)*((P936/8500)*J936)*(S936/20000))*10000)*(H936/0.75)/3</f>
        <v/>
      </c>
      <c r="X936" s="6" t="n">
        <v>8000</v>
      </c>
      <c r="Y936">
        <f>IFERROR(W936-X936,"")</f>
        <v/>
      </c>
      <c r="Z936">
        <f>IFERROR(ABS(Y936)/MAX(X936,1),"")</f>
        <v/>
      </c>
      <c r="AA936">
        <f>IFERROR(ROUND(((3*X936-(((E936/4000000)+(F936/60)+(S936/20000))*10000/4+((E936/4000000)*(F936/60))*10000/2)*(H936/0.75))/(10000/4+((S936/20000))*10000/2+((E936/4000000)*(F936/60)*(S936/20000))*10000)*(H936/0.75)*8500)/J936,-1),"")</f>
        <v/>
      </c>
    </row>
    <row r="937">
      <c r="B937" s="7" t="inlineStr">
        <is>
          <t xml:space="preserve">  ↳ NaxRatteCannon</t>
        </is>
      </c>
      <c r="C937" s="7" t="inlineStr">
        <is>
          <t>Armament</t>
        </is>
      </c>
      <c r="L937" s="6" t="n">
        <v>150000</v>
      </c>
      <c r="M937" s="6" t="n">
        <v>145</v>
      </c>
      <c r="N937" s="6" t="n">
        <v>2</v>
      </c>
      <c r="O937" s="6" t="n">
        <v>10</v>
      </c>
      <c r="P937" s="6" t="n">
        <v>6110</v>
      </c>
      <c r="Q937" s="6" t="n">
        <v>1</v>
      </c>
      <c r="R937">
        <f>M937+IF(N937&gt;1,N(O937)*(N937-1),0)</f>
        <v/>
      </c>
      <c r="S937">
        <f>IFERROR(L937*MAX(N937,1)/R937*IF(ISBLANK(K936),1,K936),0)</f>
        <v/>
      </c>
      <c r="AB937" s="7" t="inlineStr">
        <is>
          <t>^Warhead_CannonHE_Medium</t>
        </is>
      </c>
    </row>
    <row r="938">
      <c r="B938" s="7" t="inlineStr">
        <is>
          <t xml:space="preserve">  ↳ NaxRatteCannon_elite</t>
        </is>
      </c>
      <c r="C938" s="7" t="inlineStr">
        <is>
          <t>Armament@elite</t>
        </is>
      </c>
      <c r="L938" s="6" t="n">
        <v>150000</v>
      </c>
      <c r="M938" s="6" t="n">
        <v>145</v>
      </c>
      <c r="N938" s="6" t="n">
        <v>4</v>
      </c>
      <c r="O938" s="6" t="n">
        <v>3</v>
      </c>
      <c r="P938" s="6" t="n">
        <v>7110</v>
      </c>
      <c r="Q938" s="6" t="n">
        <v>1</v>
      </c>
      <c r="R938">
        <f>M938+IF(N938&gt;1,N(O938)*(N938-1),0)</f>
        <v/>
      </c>
      <c r="S938">
        <f>IFERROR(L938*MAX(N938,1)/R938*IF(ISBLANK(K936),1,K936),0)</f>
        <v/>
      </c>
      <c r="AB938" s="7" t="inlineStr">
        <is>
          <t>^Warhead_CannonHE_Medium</t>
        </is>
      </c>
    </row>
    <row r="939">
      <c r="B939" s="7" t="inlineStr">
        <is>
          <t xml:space="preserve">  ↳ NaxQuadCannon_AA_elite</t>
        </is>
      </c>
      <c r="C939" s="7" t="inlineStr">
        <is>
          <t>Armament@AA1</t>
        </is>
      </c>
      <c r="L939" s="6" t="n">
        <v>7000</v>
      </c>
      <c r="M939" s="6" t="n">
        <v>47</v>
      </c>
      <c r="N939" s="6" t="n">
        <v>8</v>
      </c>
      <c r="O939" s="6" t="n">
        <v>3</v>
      </c>
      <c r="P939" s="6" t="n">
        <v>9052</v>
      </c>
      <c r="Q939" s="6" t="n">
        <v>1</v>
      </c>
      <c r="R939">
        <f>M939+IF(N939&gt;1,N(O939)*(N939-1),0)</f>
        <v/>
      </c>
      <c r="S939">
        <f>IFERROR(L939*MAX(N939,1)/R939*IF(ISBLANK(K936),1,K936),0)</f>
        <v/>
      </c>
      <c r="AB939" s="7" t="inlineStr">
        <is>
          <t>^Warhead_Flak_Medium</t>
        </is>
      </c>
    </row>
    <row r="940">
      <c r="B940" s="7" t="inlineStr">
        <is>
          <t xml:space="preserve">  ↳ NaxQuadCannon_AA_elite</t>
        </is>
      </c>
      <c r="C940" s="7" t="inlineStr">
        <is>
          <t>Armament@AA2</t>
        </is>
      </c>
      <c r="L940" s="6" t="n">
        <v>7000</v>
      </c>
      <c r="M940" s="6" t="n">
        <v>47</v>
      </c>
      <c r="N940" s="6" t="n">
        <v>8</v>
      </c>
      <c r="O940" s="6" t="n">
        <v>3</v>
      </c>
      <c r="P940" s="6" t="n">
        <v>9052</v>
      </c>
      <c r="Q940" s="6" t="n">
        <v>1</v>
      </c>
      <c r="R940">
        <f>M940+IF(N940&gt;1,N(O940)*(N940-1),0)</f>
        <v/>
      </c>
      <c r="S940">
        <f>IFERROR(L940*MAX(N940,1)/R940*IF(ISBLANK(K936),1,K936),0)</f>
        <v/>
      </c>
      <c r="AB940" s="7" t="inlineStr">
        <is>
          <t>^Warhead_Flak_Medium</t>
        </is>
      </c>
    </row>
    <row r="941">
      <c r="A941" t="inlineStr">
        <is>
          <t>redalert2mod</t>
        </is>
      </c>
      <c r="B941" t="inlineStr">
        <is>
          <t>schwarzermond_dalek</t>
        </is>
      </c>
      <c r="C941" t="inlineStr">
        <is>
          <t>Dalek</t>
        </is>
      </c>
      <c r="D941" s="6" t="inlineStr">
        <is>
          <t>EpicVehicle</t>
        </is>
      </c>
      <c r="E941" s="6" t="n">
        <v>325000</v>
      </c>
      <c r="F941" s="6" t="n">
        <v>65</v>
      </c>
      <c r="G941" t="inlineStr">
        <is>
          <t>Superheavy</t>
        </is>
      </c>
      <c r="H941" s="6" t="n">
        <v>0.75</v>
      </c>
      <c r="I941" s="6" t="n">
        <v>0.4</v>
      </c>
      <c r="J941" s="6" t="n">
        <v>1</v>
      </c>
      <c r="K941" s="6" t="n">
        <v>0.005</v>
      </c>
      <c r="P941">
        <f>MAX(P942,P943)</f>
        <v/>
      </c>
      <c r="S941">
        <f>S942+S943</f>
        <v/>
      </c>
      <c r="T941">
        <f>(E941/100000+F941/100+(P941/1000)*J941/5+S941/200)*200*I941*H941</f>
        <v/>
      </c>
      <c r="U941">
        <f>((E941*F941/25000)+((P941/1000)*J941*S941/2.5))*I941*H941</f>
        <v/>
      </c>
      <c r="V941">
        <f>(E941*F941*(P941/1000)*J941*S941*I941*H941)/12500000</f>
        <v/>
      </c>
      <c r="W941">
        <f>(((E941/4000000)+(F941/60)+(S941/20000)+((P941/8500)*J941))*10000/4+(((E941/4000000)*(F941/60))+(((P941/8500)*J941)*(S941/20000)))*10000/2+((E941/4000000)*(F941/60)*((P941/8500)*J941)*(S941/20000))*10000)*(H941/0.75)/3</f>
        <v/>
      </c>
      <c r="X941" s="6" t="n">
        <v>9000</v>
      </c>
      <c r="Y941">
        <f>IFERROR(W941-X941,"")</f>
        <v/>
      </c>
      <c r="Z941">
        <f>IFERROR(ABS(Y941)/MAX(X941,1),"")</f>
        <v/>
      </c>
      <c r="AA941">
        <f>IFERROR(ROUND(((3*X941-(((E941/4000000)+(F941/60)+(S941/20000))*10000/4+((E941/4000000)*(F941/60))*10000/2)*(H941/0.75))/(10000/4+((S941/20000))*10000/2+((E941/4000000)*(F941/60)*(S941/20000))*10000)*(H941/0.75)*8500)/J941,-1),"")</f>
        <v/>
      </c>
    </row>
    <row r="942">
      <c r="B942" s="7" t="inlineStr">
        <is>
          <t xml:space="preserve">  ↳ DalekCannon</t>
        </is>
      </c>
      <c r="C942" s="7" t="inlineStr">
        <is>
          <t>Armament@PRIMARY</t>
        </is>
      </c>
      <c r="L942" s="6" t="n">
        <v>300000</v>
      </c>
      <c r="M942" s="6" t="n">
        <v>76</v>
      </c>
      <c r="N942" s="6" t="n">
        <v>1</v>
      </c>
      <c r="O942" s="6" t="n"/>
      <c r="P942" s="6" t="n">
        <v>8060</v>
      </c>
      <c r="Q942" s="6" t="n">
        <v>1</v>
      </c>
      <c r="R942">
        <f>M942+IF(N942&gt;1,N(O942)*(N942-1),0)</f>
        <v/>
      </c>
      <c r="S942">
        <f>IFERROR(L942*MAX(N942,1)/R942*IF(ISBLANK(K941),1,K941),0)</f>
        <v/>
      </c>
      <c r="AB942" s="7" t="inlineStr">
        <is>
          <t>^Warhead_Tesla_Heavy, ^Warhead_Laser_Heavy, ^Warhead_Railgun_Heavy</t>
        </is>
      </c>
    </row>
    <row r="943">
      <c r="B943" s="7" t="inlineStr">
        <is>
          <t xml:space="preserve">  ↳ DalekCannon_elite</t>
        </is>
      </c>
      <c r="C943" s="7" t="inlineStr">
        <is>
          <t>Armament@ELITE</t>
        </is>
      </c>
      <c r="L943" s="6" t="n">
        <v>600000</v>
      </c>
      <c r="M943" s="6" t="n">
        <v>76</v>
      </c>
      <c r="N943" s="6" t="n">
        <v>1</v>
      </c>
      <c r="O943" s="6" t="n"/>
      <c r="P943" s="6" t="n">
        <v>9060</v>
      </c>
      <c r="Q943" s="6" t="n">
        <v>1</v>
      </c>
      <c r="R943">
        <f>M943+IF(N943&gt;1,N(O943)*(N943-1),0)</f>
        <v/>
      </c>
      <c r="S943">
        <f>IFERROR(L943*MAX(N943,1)/R943*IF(ISBLANK(K941),1,K941),0)</f>
        <v/>
      </c>
      <c r="AB943" s="7" t="inlineStr">
        <is>
          <t>^Warhead_Tesla_Heavy, ^Warhead_Laser_Heavy, ^Warhead_Railgun_Heavy</t>
        </is>
      </c>
    </row>
    <row r="944">
      <c r="A944" t="inlineStr">
        <is>
          <t>redalert2mod</t>
        </is>
      </c>
      <c r="B944" t="inlineStr">
        <is>
          <t>futuretech_futuretank</t>
        </is>
      </c>
      <c r="C944" t="inlineStr">
        <is>
          <t>Future Tank</t>
        </is>
      </c>
      <c r="D944" s="6" t="inlineStr">
        <is>
          <t>EpicVehicle</t>
        </is>
      </c>
      <c r="E944" s="6" t="n">
        <v>650000</v>
      </c>
      <c r="F944" s="6" t="n">
        <v>45</v>
      </c>
      <c r="G944" t="inlineStr">
        <is>
          <t>Superheavy</t>
        </is>
      </c>
      <c r="H944" s="6" t="n">
        <v>0.75</v>
      </c>
      <c r="I944" s="6" t="n">
        <v>0.4</v>
      </c>
      <c r="J944" s="6" t="n">
        <v>1</v>
      </c>
      <c r="K944" s="6" t="n">
        <v>0.0025</v>
      </c>
      <c r="P944">
        <f>MAX(P945,P946)</f>
        <v/>
      </c>
      <c r="S944">
        <f>S945+S946</f>
        <v/>
      </c>
      <c r="T944">
        <f>(E944/100000+F944/100+(P944/1000)*J944/5+S944/200)*200*I944*H944</f>
        <v/>
      </c>
      <c r="U944">
        <f>((E944*F944/25000)+((P944/1000)*J944*S944/2.5))*I944*H944</f>
        <v/>
      </c>
      <c r="V944">
        <f>(E944*F944*(P944/1000)*J944*S944*I944*H944)/12500000</f>
        <v/>
      </c>
      <c r="W944">
        <f>(((E944/4000000)+(F944/60)+(S944/20000)+((P944/8500)*J944))*10000/4+(((E944/4000000)*(F944/60))+(((P944/8500)*J944)*(S944/20000)))*10000/2+((E944/4000000)*(F944/60)*((P944/8500)*J944)*(S944/20000))*10000)*(H944/0.75)/3</f>
        <v/>
      </c>
      <c r="X944" s="6" t="n">
        <v>10000</v>
      </c>
      <c r="Y944">
        <f>IFERROR(W944-X944,"")</f>
        <v/>
      </c>
      <c r="Z944">
        <f>IFERROR(ABS(Y944)/MAX(X944,1),"")</f>
        <v/>
      </c>
      <c r="AA944">
        <f>IFERROR(ROUND(((3*X944-(((E944/4000000)+(F944/60)+(S944/20000))*10000/4+((E944/4000000)*(F944/60))*10000/2)*(H944/0.75))/(10000/4+((S944/20000))*10000/2+((E944/4000000)*(F944/60)*(S944/20000))*10000)*(H944/0.75)*8500)/J944,-1),"")</f>
        <v/>
      </c>
    </row>
    <row r="945">
      <c r="B945" s="7" t="inlineStr">
        <is>
          <t xml:space="preserve">  ↳ FutureTankCannons</t>
        </is>
      </c>
      <c r="C945" s="7" t="inlineStr">
        <is>
          <t>Armament</t>
        </is>
      </c>
      <c r="L945" s="6" t="n">
        <v>600000</v>
      </c>
      <c r="M945" s="6" t="n">
        <v>65</v>
      </c>
      <c r="N945" s="6" t="n">
        <v>2</v>
      </c>
      <c r="O945" s="6" t="n">
        <v>10</v>
      </c>
      <c r="P945" s="6" t="n">
        <v>7500</v>
      </c>
      <c r="Q945" s="6" t="n">
        <v>1.25</v>
      </c>
      <c r="R945">
        <f>M945+IF(N945&gt;1,N(O945)*(N945-1),0)</f>
        <v/>
      </c>
      <c r="S945">
        <f>IFERROR(L945*MAX(N945,1)/R945*IF(ISBLANK(K944),1,K944),0)</f>
        <v/>
      </c>
      <c r="AB945" s="7" t="inlineStr">
        <is>
          <t>^Warhead_CannonHE_Heavy</t>
        </is>
      </c>
    </row>
    <row r="946">
      <c r="B946" s="7" t="inlineStr">
        <is>
          <t xml:space="preserve">  ↳ FutureTankCannons_elite</t>
        </is>
      </c>
      <c r="C946" s="7" t="inlineStr">
        <is>
          <t>Armament@elite</t>
        </is>
      </c>
      <c r="L946" s="6" t="n">
        <v>600000</v>
      </c>
      <c r="M946" s="6" t="n">
        <v>65</v>
      </c>
      <c r="N946" s="6" t="n">
        <v>4</v>
      </c>
      <c r="O946" s="6" t="n">
        <v>5</v>
      </c>
      <c r="P946" s="6" t="n">
        <v>8500</v>
      </c>
      <c r="Q946" s="6" t="n">
        <v>1.25</v>
      </c>
      <c r="R946">
        <f>M946+IF(N946&gt;1,N(O946)*(N946-1),0)</f>
        <v/>
      </c>
      <c r="S946">
        <f>IFERROR(L946*MAX(N946,1)/R946*IF(ISBLANK(K944),1,K944),0)</f>
        <v/>
      </c>
      <c r="AB946" s="7" t="inlineStr">
        <is>
          <t>^Warhead_CannonHE_Heavy</t>
        </is>
      </c>
    </row>
    <row r="947">
      <c r="A947" t="inlineStr">
        <is>
          <t>redalert2mod</t>
        </is>
      </c>
      <c r="B947" t="inlineStr">
        <is>
          <t>tkm_bigshiee</t>
        </is>
      </c>
      <c r="C947" t="inlineStr">
        <is>
          <t>Big Shiee</t>
        </is>
      </c>
      <c r="D947" s="6" t="inlineStr">
        <is>
          <t>EpicVehicle</t>
        </is>
      </c>
      <c r="E947" s="6" t="n">
        <v>500000</v>
      </c>
      <c r="F947" s="6" t="n">
        <v>50</v>
      </c>
      <c r="G947" t="inlineStr">
        <is>
          <t>Superheavy</t>
        </is>
      </c>
      <c r="H947" s="6" t="n">
        <v>0.4955</v>
      </c>
      <c r="I947" s="6" t="n">
        <v>1</v>
      </c>
      <c r="J947" s="6" t="n">
        <v>1</v>
      </c>
      <c r="K947" s="6" t="n"/>
      <c r="P947">
        <f>MAX(P948,P949,P950,P951,P952,P953,P954,P955)</f>
        <v/>
      </c>
      <c r="S947">
        <f>S948+S949+S950+S951+S952+S953+S954+S955</f>
        <v/>
      </c>
      <c r="T947">
        <f>(E947/100000+F947/100+(P947/1000)*J947/5+S947/200)*200*I947*H947</f>
        <v/>
      </c>
      <c r="U947">
        <f>((E947*F947/25000)+((P947/1000)*J947*S947/2.5))*I947*H947</f>
        <v/>
      </c>
      <c r="V947">
        <f>(E947*F947*(P947/1000)*J947*S947*I947*H947)/12500000</f>
        <v/>
      </c>
      <c r="W947">
        <f>(((E947/4000000)+(F947/60)+(S947/20000)+((P947/8500)*J947))*10000/4+(((E947/4000000)*(F947/60))+(((P947/8500)*J947)*(S947/20000)))*10000/2+((E947/4000000)*(F947/60)*((P947/8500)*J947)*(S947/20000))*10000)*(H947/0.75)/3</f>
        <v/>
      </c>
      <c r="X947" s="6" t="n">
        <v>5000</v>
      </c>
      <c r="Y947">
        <f>IFERROR(W947-X947,"")</f>
        <v/>
      </c>
      <c r="Z947">
        <f>IFERROR(ABS(Y947)/MAX(X947,1),"")</f>
        <v/>
      </c>
      <c r="AA947">
        <f>IFERROR(ROUND(((3*X947-(((E947/4000000)+(F947/60)+(S947/20000))*10000/4+((E947/4000000)*(F947/60))*10000/2)*(H947/0.75))/(10000/4+((S947/20000))*10000/2+((E947/4000000)*(F947/60)*(S947/20000))*10000)*(H947/0.75)*8500)/J947,-1),"")</f>
        <v/>
      </c>
    </row>
    <row r="948">
      <c r="B948" s="7" t="inlineStr">
        <is>
          <t xml:space="preserve">  ↳ BigShieeTusk</t>
        </is>
      </c>
      <c r="C948" s="7" t="inlineStr">
        <is>
          <t>Armament@PRIMARY</t>
        </is>
      </c>
      <c r="L948" s="6" t="n">
        <v>80000</v>
      </c>
      <c r="M948" s="6" t="n">
        <v>83</v>
      </c>
      <c r="N948" s="6" t="n">
        <v>2</v>
      </c>
      <c r="O948" s="6" t="n">
        <v>3</v>
      </c>
      <c r="P948" s="6" t="n">
        <v>7238</v>
      </c>
      <c r="Q948" s="6" t="n">
        <v>1.125</v>
      </c>
      <c r="R948">
        <f>M948+IF(N948&gt;1,N(O948)*(N948-1),0)</f>
        <v/>
      </c>
      <c r="S948">
        <f>IFERROR(L948*MAX(N948,1)/R948*IF(ISBLANK(K947),1,K947),0)</f>
        <v/>
      </c>
      <c r="AB948" s="7" t="inlineStr">
        <is>
          <t>^Warhead_MissileHE_Heavy, ^Warhead_Concussion_Medium</t>
        </is>
      </c>
    </row>
    <row r="949">
      <c r="B949" s="7" t="inlineStr">
        <is>
          <t xml:space="preserve">  ↳ SandmarineTuskCryo</t>
        </is>
      </c>
      <c r="C949" s="7" t="inlineStr">
        <is>
          <t>Armament@PRIMARYNATO</t>
        </is>
      </c>
      <c r="L949" s="6" t="n">
        <v>80000</v>
      </c>
      <c r="M949" s="6" t="n">
        <v>129</v>
      </c>
      <c r="N949" s="6" t="n">
        <v>3</v>
      </c>
      <c r="O949" s="6" t="n">
        <v>3</v>
      </c>
      <c r="P949" s="6" t="n">
        <v>6464</v>
      </c>
      <c r="Q949" s="6" t="n">
        <v>1.125</v>
      </c>
      <c r="R949">
        <f>M949+IF(N949&gt;1,N(O949)*(N949-1),0)</f>
        <v/>
      </c>
      <c r="S949">
        <f>IFERROR(L949*MAX(N949,1)/R949*IF(ISBLANK(K947),1,K947),0)</f>
        <v/>
      </c>
      <c r="AB949" s="7" t="inlineStr">
        <is>
          <t>^Warhead_MissileHE_Heavy, ^Warhead_Concussion_Medium</t>
        </is>
      </c>
    </row>
    <row r="950">
      <c r="B950" s="7" t="inlineStr">
        <is>
          <t xml:space="preserve">  ↳ SandmarineTuskCryo</t>
        </is>
      </c>
      <c r="C950" s="7" t="inlineStr">
        <is>
          <t>Armament@SECONDARYNATO</t>
        </is>
      </c>
      <c r="L950" s="6" t="n">
        <v>80000</v>
      </c>
      <c r="M950" s="6" t="n">
        <v>129</v>
      </c>
      <c r="N950" s="6" t="n">
        <v>3</v>
      </c>
      <c r="O950" s="6" t="n">
        <v>3</v>
      </c>
      <c r="P950" s="6" t="n">
        <v>6464</v>
      </c>
      <c r="Q950" s="6" t="n">
        <v>1.125</v>
      </c>
      <c r="R950">
        <f>M950+IF(N950&gt;1,N(O950)*(N950-1),0)</f>
        <v/>
      </c>
      <c r="S950">
        <f>IFERROR(L950*MAX(N950,1)/R950*IF(ISBLANK(K947),1,K947),0)</f>
        <v/>
      </c>
      <c r="AB950" s="7" t="inlineStr">
        <is>
          <t>^Warhead_MissileHE_Heavy, ^Warhead_Concussion_Medium</t>
        </is>
      </c>
    </row>
    <row r="951">
      <c r="B951" s="7" t="inlineStr">
        <is>
          <t xml:space="preserve">  ↳ SandmarineTuskTwin</t>
        </is>
      </c>
      <c r="C951" s="7" t="inlineStr">
        <is>
          <t>Armament@PRIMARYBEREZKA</t>
        </is>
      </c>
      <c r="L951" s="6" t="n">
        <v>60000</v>
      </c>
      <c r="M951" s="6" t="n">
        <v>54</v>
      </c>
      <c r="N951" s="6" t="n">
        <v>8</v>
      </c>
      <c r="O951" s="6" t="n">
        <v>3</v>
      </c>
      <c r="P951" s="6" t="n">
        <v>6102</v>
      </c>
      <c r="Q951" s="6" t="n">
        <v>1</v>
      </c>
      <c r="R951">
        <f>M951+IF(N951&gt;1,N(O951)*(N951-1),0)</f>
        <v/>
      </c>
      <c r="S951">
        <f>IFERROR(L951*MAX(N951,1)/R951*IF(ISBLANK(K947),1,K947),0)</f>
        <v/>
      </c>
      <c r="AB951" s="7" t="inlineStr">
        <is>
          <t>^Warhead_MissileHE_Heavy, ^Warhead_Concussion_Medium, ^Warhead_MissileAP_Medium</t>
        </is>
      </c>
    </row>
    <row r="952">
      <c r="B952" s="7" t="inlineStr">
        <is>
          <t xml:space="preserve">  ↳ SandmarineTuskTwin</t>
        </is>
      </c>
      <c r="C952" s="7" t="inlineStr">
        <is>
          <t>Armament@SECONDARYBEREZKA</t>
        </is>
      </c>
      <c r="L952" s="6" t="n">
        <v>60000</v>
      </c>
      <c r="M952" s="6" t="n">
        <v>54</v>
      </c>
      <c r="N952" s="6" t="n">
        <v>8</v>
      </c>
      <c r="O952" s="6" t="n">
        <v>3</v>
      </c>
      <c r="P952" s="6" t="n">
        <v>6102</v>
      </c>
      <c r="Q952" s="6" t="n">
        <v>1</v>
      </c>
      <c r="R952">
        <f>M952+IF(N952&gt;1,N(O952)*(N952-1),0)</f>
        <v/>
      </c>
      <c r="S952">
        <f>IFERROR(L952*MAX(N952,1)/R952*IF(ISBLANK(K947),1,K947),0)</f>
        <v/>
      </c>
      <c r="AB952" s="7" t="inlineStr">
        <is>
          <t>^Warhead_MissileHE_Heavy, ^Warhead_Concussion_Medium, ^Warhead_MissileAP_Medium</t>
        </is>
      </c>
    </row>
    <row r="953">
      <c r="B953" s="7" t="inlineStr">
        <is>
          <t xml:space="preserve">  ↳ SandmarineTuskFire</t>
        </is>
      </c>
      <c r="C953" s="7" t="inlineStr">
        <is>
          <t>Armament@PRIMARYTITAN</t>
        </is>
      </c>
      <c r="L953" s="6" t="n">
        <v>88000</v>
      </c>
      <c r="M953" s="6" t="n">
        <v>129</v>
      </c>
      <c r="N953" s="6" t="n">
        <v>3</v>
      </c>
      <c r="O953" s="6" t="n">
        <v>3</v>
      </c>
      <c r="P953" s="6" t="n">
        <v>6464</v>
      </c>
      <c r="Q953" s="6" t="n">
        <v>1</v>
      </c>
      <c r="R953">
        <f>M953+IF(N953&gt;1,N(O953)*(N953-1),0)</f>
        <v/>
      </c>
      <c r="S953">
        <f>IFERROR(L953*MAX(N953,1)/R953*IF(ISBLANK(K947),1,K947),0)</f>
        <v/>
      </c>
      <c r="AB953" s="7" t="inlineStr">
        <is>
          <t>^Warhead_MissileAP_Light, ^Warhead_Flame_Light, ^Warhead_MissileHE_Heavy, ^Warhead_Concussion_Medium</t>
        </is>
      </c>
    </row>
    <row r="954">
      <c r="B954" s="7" t="inlineStr">
        <is>
          <t xml:space="preserve">  ↳ SandmarineTuskFire</t>
        </is>
      </c>
      <c r="C954" s="7" t="inlineStr">
        <is>
          <t>Armament@SECONDARYTITAN</t>
        </is>
      </c>
      <c r="L954" s="6" t="n">
        <v>88000</v>
      </c>
      <c r="M954" s="6" t="n">
        <v>129</v>
      </c>
      <c r="N954" s="6" t="n">
        <v>3</v>
      </c>
      <c r="O954" s="6" t="n">
        <v>3</v>
      </c>
      <c r="P954" s="6" t="n">
        <v>6464</v>
      </c>
      <c r="Q954" s="6" t="n">
        <v>1</v>
      </c>
      <c r="R954">
        <f>M954+IF(N954&gt;1,N(O954)*(N954-1),0)</f>
        <v/>
      </c>
      <c r="S954">
        <f>IFERROR(L954*MAX(N954,1)/R954*IF(ISBLANK(K947),1,K947),0)</f>
        <v/>
      </c>
      <c r="AB954" s="7" t="inlineStr">
        <is>
          <t>^Warhead_MissileAP_Light, ^Warhead_Flame_Light, ^Warhead_MissileHE_Heavy, ^Warhead_Concussion_Medium</t>
        </is>
      </c>
    </row>
    <row r="955">
      <c r="B955" s="7" t="inlineStr">
        <is>
          <t xml:space="preserve">  ↳ bigshieemortar</t>
        </is>
      </c>
      <c r="C955" s="7" t="inlineStr">
        <is>
          <t>Armament@Mortar</t>
        </is>
      </c>
      <c r="L955" s="6" t="n">
        <v>160000</v>
      </c>
      <c r="M955" s="6" t="n">
        <v>86</v>
      </c>
      <c r="N955" s="6" t="n">
        <v>1</v>
      </c>
      <c r="O955" s="6" t="n"/>
      <c r="P955" s="6" t="n">
        <v>7238</v>
      </c>
      <c r="Q955" s="6" t="n">
        <v>1.125</v>
      </c>
      <c r="R955">
        <f>M955+IF(N955&gt;1,N(O955)*(N955-1),0)</f>
        <v/>
      </c>
      <c r="S955">
        <f>IFERROR(L955*MAX(N955,1)/R955*IF(ISBLANK(K947),1,K947),0)</f>
        <v/>
      </c>
      <c r="AB955" s="7" t="inlineStr">
        <is>
          <t>^Warhead_Demolition_Heavy, ^Warhead_Flame_Medium</t>
        </is>
      </c>
    </row>
    <row r="956">
      <c r="A956" t="inlineStr">
        <is>
          <t>redalert2mod</t>
        </is>
      </c>
      <c r="B956" t="inlineStr">
        <is>
          <t>tkm_sandmarine</t>
        </is>
      </c>
      <c r="C956" t="inlineStr">
        <is>
          <t>Sand Marine</t>
        </is>
      </c>
      <c r="D956" s="6" t="inlineStr">
        <is>
          <t>EpicVehicle</t>
        </is>
      </c>
      <c r="E956" s="6" t="n">
        <v>800000</v>
      </c>
      <c r="F956" s="6" t="n">
        <v>30</v>
      </c>
      <c r="G956" t="inlineStr">
        <is>
          <t>Superheavy</t>
        </is>
      </c>
      <c r="H956" s="6" t="n">
        <v>0.4955</v>
      </c>
      <c r="I956" s="6" t="n">
        <v>1</v>
      </c>
      <c r="J956" s="6" t="n">
        <v>1</v>
      </c>
      <c r="K956" s="6" t="n"/>
      <c r="P956">
        <f>MAX(P957,P958,P959,P960,P961,P962,P963,P964)</f>
        <v/>
      </c>
      <c r="S956">
        <f>S957+S958+S959+S960+S961+S962+S963+S964</f>
        <v/>
      </c>
      <c r="T956">
        <f>(E956/100000+F956/100+(P956/1000)*J956/5+S956/200)*200*I956*H956</f>
        <v/>
      </c>
      <c r="U956">
        <f>((E956*F956/25000)+((P956/1000)*J956*S956/2.5))*I956*H956</f>
        <v/>
      </c>
      <c r="V956">
        <f>(E956*F956*(P956/1000)*J956*S956*I956*H956)/12500000</f>
        <v/>
      </c>
      <c r="W956">
        <f>(((E956/4000000)+(F956/60)+(S956/20000)+((P956/8500)*J956))*10000/4+(((E956/4000000)*(F956/60))+(((P956/8500)*J956)*(S956/20000)))*10000/2+((E956/4000000)*(F956/60)*((P956/8500)*J956)*(S956/20000))*10000)*(H956/0.75)/3</f>
        <v/>
      </c>
      <c r="X956" s="6" t="n">
        <v>5000</v>
      </c>
      <c r="Y956">
        <f>IFERROR(W956-X956,"")</f>
        <v/>
      </c>
      <c r="Z956">
        <f>IFERROR(ABS(Y956)/MAX(X956,1),"")</f>
        <v/>
      </c>
      <c r="AA956">
        <f>IFERROR(ROUND(((3*X956-(((E956/4000000)+(F956/60)+(S956/20000))*10000/4+((E956/4000000)*(F956/60))*10000/2)*(H956/0.75))/(10000/4+((S956/20000))*10000/2+((E956/4000000)*(F956/60)*(S956/20000))*10000)*(H956/0.75)*8500)/J956,-1),"")</f>
        <v/>
      </c>
    </row>
    <row r="957">
      <c r="B957" s="7" t="inlineStr">
        <is>
          <t xml:space="preserve">  ↳ SandmarineTusk</t>
        </is>
      </c>
      <c r="C957" s="7" t="inlineStr">
        <is>
          <t>Armament@PRIMARY</t>
        </is>
      </c>
      <c r="L957" s="6" t="n">
        <v>80000</v>
      </c>
      <c r="M957" s="6" t="n">
        <v>129</v>
      </c>
      <c r="N957" s="6" t="n">
        <v>3</v>
      </c>
      <c r="O957" s="6" t="n">
        <v>3</v>
      </c>
      <c r="P957" s="6" t="n">
        <v>6464</v>
      </c>
      <c r="Q957" s="6" t="n">
        <v>1.125</v>
      </c>
      <c r="R957">
        <f>M957+IF(N957&gt;1,N(O957)*(N957-1),0)</f>
        <v/>
      </c>
      <c r="S957">
        <f>IFERROR(L957*MAX(N957,1)/R957*IF(ISBLANK(K956),1,K956),0)</f>
        <v/>
      </c>
      <c r="AB957" s="7" t="inlineStr">
        <is>
          <t>^Warhead_MissileHE_Heavy, ^Warhead_Concussion_Medium</t>
        </is>
      </c>
    </row>
    <row r="958">
      <c r="B958" s="7" t="inlineStr">
        <is>
          <t xml:space="preserve">  ↳ SandmarineTuskCryo</t>
        </is>
      </c>
      <c r="C958" s="7" t="inlineStr">
        <is>
          <t>Armament@PRIMARYNATO</t>
        </is>
      </c>
      <c r="L958" s="6" t="n">
        <v>80000</v>
      </c>
      <c r="M958" s="6" t="n">
        <v>129</v>
      </c>
      <c r="N958" s="6" t="n">
        <v>3</v>
      </c>
      <c r="O958" s="6" t="n">
        <v>3</v>
      </c>
      <c r="P958" s="6" t="n">
        <v>6464</v>
      </c>
      <c r="Q958" s="6" t="n">
        <v>1.125</v>
      </c>
      <c r="R958">
        <f>M958+IF(N958&gt;1,N(O958)*(N958-1),0)</f>
        <v/>
      </c>
      <c r="S958">
        <f>IFERROR(L958*MAX(N958,1)/R958*IF(ISBLANK(K956),1,K956),0)</f>
        <v/>
      </c>
      <c r="AB958" s="7" t="inlineStr">
        <is>
          <t>^Warhead_MissileHE_Heavy, ^Warhead_Concussion_Medium</t>
        </is>
      </c>
    </row>
    <row r="959">
      <c r="B959" s="7" t="inlineStr">
        <is>
          <t xml:space="preserve">  ↳ SandmarineTuskCryo</t>
        </is>
      </c>
      <c r="C959" s="7" t="inlineStr">
        <is>
          <t>Armament@SECONDARYNATO</t>
        </is>
      </c>
      <c r="L959" s="6" t="n">
        <v>80000</v>
      </c>
      <c r="M959" s="6" t="n">
        <v>129</v>
      </c>
      <c r="N959" s="6" t="n">
        <v>3</v>
      </c>
      <c r="O959" s="6" t="n">
        <v>3</v>
      </c>
      <c r="P959" s="6" t="n">
        <v>6464</v>
      </c>
      <c r="Q959" s="6" t="n">
        <v>1.125</v>
      </c>
      <c r="R959">
        <f>M959+IF(N959&gt;1,N(O959)*(N959-1),0)</f>
        <v/>
      </c>
      <c r="S959">
        <f>IFERROR(L959*MAX(N959,1)/R959*IF(ISBLANK(K956),1,K956),0)</f>
        <v/>
      </c>
      <c r="AB959" s="7" t="inlineStr">
        <is>
          <t>^Warhead_MissileHE_Heavy, ^Warhead_Concussion_Medium</t>
        </is>
      </c>
    </row>
    <row r="960">
      <c r="B960" s="7" t="inlineStr">
        <is>
          <t xml:space="preserve">  ↳ SandmarineTuskTwin</t>
        </is>
      </c>
      <c r="C960" s="7" t="inlineStr">
        <is>
          <t>Armament@PRIMARYBEREZKA</t>
        </is>
      </c>
      <c r="L960" s="6" t="n">
        <v>60000</v>
      </c>
      <c r="M960" s="6" t="n">
        <v>54</v>
      </c>
      <c r="N960" s="6" t="n">
        <v>8</v>
      </c>
      <c r="O960" s="6" t="n">
        <v>3</v>
      </c>
      <c r="P960" s="6" t="n">
        <v>6102</v>
      </c>
      <c r="Q960" s="6" t="n">
        <v>1</v>
      </c>
      <c r="R960">
        <f>M960+IF(N960&gt;1,N(O960)*(N960-1),0)</f>
        <v/>
      </c>
      <c r="S960">
        <f>IFERROR(L960*MAX(N960,1)/R960*IF(ISBLANK(K956),1,K956),0)</f>
        <v/>
      </c>
      <c r="AB960" s="7" t="inlineStr">
        <is>
          <t>^Warhead_MissileHE_Heavy, ^Warhead_Concussion_Medium, ^Warhead_MissileAP_Medium</t>
        </is>
      </c>
    </row>
    <row r="961">
      <c r="B961" s="7" t="inlineStr">
        <is>
          <t xml:space="preserve">  ↳ SandmarineTuskTwin</t>
        </is>
      </c>
      <c r="C961" s="7" t="inlineStr">
        <is>
          <t>Armament@SECONDARYBEREZKA</t>
        </is>
      </c>
      <c r="L961" s="6" t="n">
        <v>60000</v>
      </c>
      <c r="M961" s="6" t="n">
        <v>54</v>
      </c>
      <c r="N961" s="6" t="n">
        <v>8</v>
      </c>
      <c r="O961" s="6" t="n">
        <v>3</v>
      </c>
      <c r="P961" s="6" t="n">
        <v>6102</v>
      </c>
      <c r="Q961" s="6" t="n">
        <v>1</v>
      </c>
      <c r="R961">
        <f>M961+IF(N961&gt;1,N(O961)*(N961-1),0)</f>
        <v/>
      </c>
      <c r="S961">
        <f>IFERROR(L961*MAX(N961,1)/R961*IF(ISBLANK(K956),1,K956),0)</f>
        <v/>
      </c>
      <c r="AB961" s="7" t="inlineStr">
        <is>
          <t>^Warhead_MissileHE_Heavy, ^Warhead_Concussion_Medium, ^Warhead_MissileAP_Medium</t>
        </is>
      </c>
    </row>
    <row r="962">
      <c r="B962" s="7" t="inlineStr">
        <is>
          <t xml:space="preserve">  ↳ SandmarineTuskFire</t>
        </is>
      </c>
      <c r="C962" s="7" t="inlineStr">
        <is>
          <t>Armament@PRIMARYTITAN</t>
        </is>
      </c>
      <c r="L962" s="6" t="n">
        <v>88000</v>
      </c>
      <c r="M962" s="6" t="n">
        <v>129</v>
      </c>
      <c r="N962" s="6" t="n">
        <v>3</v>
      </c>
      <c r="O962" s="6" t="n">
        <v>3</v>
      </c>
      <c r="P962" s="6" t="n">
        <v>6464</v>
      </c>
      <c r="Q962" s="6" t="n">
        <v>1</v>
      </c>
      <c r="R962">
        <f>M962+IF(N962&gt;1,N(O962)*(N962-1),0)</f>
        <v/>
      </c>
      <c r="S962">
        <f>IFERROR(L962*MAX(N962,1)/R962*IF(ISBLANK(K956),1,K956),0)</f>
        <v/>
      </c>
      <c r="AB962" s="7" t="inlineStr">
        <is>
          <t>^Warhead_MissileAP_Light, ^Warhead_Flame_Light, ^Warhead_MissileHE_Heavy, ^Warhead_Concussion_Medium</t>
        </is>
      </c>
    </row>
    <row r="963">
      <c r="B963" s="7" t="inlineStr">
        <is>
          <t xml:space="preserve">  ↳ SandmarineTuskFire</t>
        </is>
      </c>
      <c r="C963" s="7" t="inlineStr">
        <is>
          <t>Armament@SECONDARYTITAN</t>
        </is>
      </c>
      <c r="L963" s="6" t="n">
        <v>88000</v>
      </c>
      <c r="M963" s="6" t="n">
        <v>129</v>
      </c>
      <c r="N963" s="6" t="n">
        <v>3</v>
      </c>
      <c r="O963" s="6" t="n">
        <v>3</v>
      </c>
      <c r="P963" s="6" t="n">
        <v>6464</v>
      </c>
      <c r="Q963" s="6" t="n">
        <v>1</v>
      </c>
      <c r="R963">
        <f>M963+IF(N963&gt;1,N(O963)*(N963-1),0)</f>
        <v/>
      </c>
      <c r="S963">
        <f>IFERROR(L963*MAX(N963,1)/R963*IF(ISBLANK(K956),1,K956),0)</f>
        <v/>
      </c>
      <c r="AB963" s="7" t="inlineStr">
        <is>
          <t>^Warhead_MissileAP_Light, ^Warhead_Flame_Light, ^Warhead_MissileHE_Heavy, ^Warhead_Concussion_Medium</t>
        </is>
      </c>
    </row>
    <row r="964">
      <c r="B964" s="7" t="inlineStr">
        <is>
          <t xml:space="preserve">  ↳ sandmarinemortar</t>
        </is>
      </c>
      <c r="C964" s="7" t="inlineStr">
        <is>
          <t>Armament@Mortar</t>
        </is>
      </c>
      <c r="L964" s="6" t="n">
        <v>240000</v>
      </c>
      <c r="M964" s="6" t="n">
        <v>135</v>
      </c>
      <c r="N964" s="6" t="n">
        <v>1</v>
      </c>
      <c r="O964" s="6" t="n"/>
      <c r="P964" s="6" t="n">
        <v>6464</v>
      </c>
      <c r="Q964" s="6" t="n">
        <v>1.125</v>
      </c>
      <c r="R964">
        <f>M964+IF(N964&gt;1,N(O964)*(N964-1),0)</f>
        <v/>
      </c>
      <c r="S964">
        <f>IFERROR(L964*MAX(N964,1)/R964*IF(ISBLANK(K956),1,K956),0)</f>
        <v/>
      </c>
      <c r="AB964" s="7" t="inlineStr">
        <is>
          <t>^Warhead_Demolition_Heavy, ^Warhead_Flame_Medium</t>
        </is>
      </c>
    </row>
    <row r="965">
      <c r="A965" t="inlineStr">
        <is>
          <t>redalert2mod</t>
        </is>
      </c>
      <c r="B965" t="inlineStr">
        <is>
          <t>tkm_t30</t>
        </is>
      </c>
      <c r="C965" t="inlineStr">
        <is>
          <t>T-30</t>
        </is>
      </c>
      <c r="D965" s="6" t="inlineStr">
        <is>
          <t>EpicVehicle</t>
        </is>
      </c>
      <c r="E965" s="6" t="n">
        <v>400000</v>
      </c>
      <c r="F965" s="6" t="n">
        <v>50</v>
      </c>
      <c r="G965" t="inlineStr">
        <is>
          <t>Superheavy</t>
        </is>
      </c>
      <c r="H965" s="6" t="n">
        <v>0.4955</v>
      </c>
      <c r="I965" s="6" t="n">
        <v>1</v>
      </c>
      <c r="J965" s="6" t="n">
        <v>1</v>
      </c>
      <c r="K965" s="6" t="n"/>
      <c r="P965">
        <f>MAX(P966)</f>
        <v/>
      </c>
      <c r="S965">
        <f>S966</f>
        <v/>
      </c>
      <c r="T965">
        <f>(E965/100000+F965/100+(P965/1000)*J965/5+S965/200)*200*I965*H965</f>
        <v/>
      </c>
      <c r="U965">
        <f>((E965*F965/25000)+((P965/1000)*J965*S965/2.5))*I965*H965</f>
        <v/>
      </c>
      <c r="V965">
        <f>(E965*F965*(P965/1000)*J965*S965*I965*H965)/12500000</f>
        <v/>
      </c>
      <c r="W965">
        <f>(((E965/4000000)+(F965/60)+(S965/20000)+((P965/8500)*J965))*10000/4+(((E965/4000000)*(F965/60))+(((P965/8500)*J965)*(S965/20000)))*10000/2+((E965/4000000)*(F965/60)*((P965/8500)*J965)*(S965/20000))*10000)*(H965/0.75)/3</f>
        <v/>
      </c>
      <c r="X965" s="6" t="n">
        <v>5000</v>
      </c>
      <c r="Y965">
        <f>IFERROR(W965-X965,"")</f>
        <v/>
      </c>
      <c r="Z965">
        <f>IFERROR(ABS(Y965)/MAX(X965,1),"")</f>
        <v/>
      </c>
      <c r="AA965">
        <f>IFERROR(ROUND(((3*X965-(((E965/4000000)+(F965/60)+(S965/20000))*10000/4+((E965/4000000)*(F965/60))*10000/2)*(H965/0.75))/(10000/4+((S965/20000))*10000/2+((E965/4000000)*(F965/60)*(S965/20000))*10000)*(H965/0.75)*8500)/J965,-1),"")</f>
        <v/>
      </c>
    </row>
    <row r="966">
      <c r="B966" s="7" t="inlineStr">
        <is>
          <t xml:space="preserve">  ↳ t30shell</t>
        </is>
      </c>
      <c r="C966" s="7" t="inlineStr">
        <is>
          <t>Armament</t>
        </is>
      </c>
      <c r="L966" s="6" t="n">
        <v>80000</v>
      </c>
      <c r="M966" s="6" t="n">
        <v>80</v>
      </c>
      <c r="N966" s="6" t="n">
        <v>1</v>
      </c>
      <c r="O966" s="6" t="n"/>
      <c r="P966" s="6" t="n">
        <v>22000</v>
      </c>
      <c r="Q966" s="6" t="n">
        <v>1.25</v>
      </c>
      <c r="R966">
        <f>M966+IF(N966&gt;1,N(O966)*(N966-1),0)</f>
        <v/>
      </c>
      <c r="S966">
        <f>IFERROR(L966*MAX(N966,1)/R966*IF(ISBLANK(K965),1,K965),0)</f>
        <v/>
      </c>
      <c r="AB966" s="7" t="inlineStr">
        <is>
          <t>^Warhead_Demolition_Heavy, ^Warhead_Railgun_Heavy</t>
        </is>
      </c>
    </row>
    <row r="967">
      <c r="A967" t="inlineStr">
        <is>
          <t>d2k</t>
        </is>
      </c>
      <c r="B967" t="inlineStr">
        <is>
          <t>ixian_ixprojector</t>
        </is>
      </c>
      <c r="C967" t="inlineStr">
        <is>
          <t>Ix Projector</t>
        </is>
      </c>
      <c r="D967" s="6" t="inlineStr">
        <is>
          <t>EpicVehicle</t>
        </is>
      </c>
      <c r="E967" s="6" t="n">
        <v>100000</v>
      </c>
      <c r="F967" s="6" t="n">
        <v>100</v>
      </c>
      <c r="G967" t="inlineStr">
        <is>
          <t>Superheavy</t>
        </is>
      </c>
      <c r="H967" s="6" t="n">
        <v>0.4925</v>
      </c>
      <c r="I967" s="6" t="n">
        <v>1</v>
      </c>
      <c r="J967" s="6" t="n">
        <v>1</v>
      </c>
      <c r="K967" s="6" t="n"/>
      <c r="P967">
        <f>MAX(P968,P969)</f>
        <v/>
      </c>
      <c r="S967">
        <f>S968+S969</f>
        <v/>
      </c>
      <c r="T967">
        <f>(E967/100000+F967/100+(P967/1000)*J967/5+S967/200)*200*I967*H967</f>
        <v/>
      </c>
      <c r="U967">
        <f>((E967*F967/25000)+((P967/1000)*J967*S967/2.5))*I967*H967</f>
        <v/>
      </c>
      <c r="V967">
        <f>(E967*F967*(P967/1000)*J967*S967*I967*H967)/12500000</f>
        <v/>
      </c>
      <c r="W967">
        <f>(((E967/4000000)+(F967/60)+(S967/20000)+((P967/8500)*J967))*10000/4+(((E967/4000000)*(F967/60))+(((P967/8500)*J967)*(S967/20000)))*10000/2+((E967/4000000)*(F967/60)*((P967/8500)*J967)*(S967/20000))*10000)*(H967/0.75)/3</f>
        <v/>
      </c>
      <c r="X967" s="6" t="n">
        <v>5000</v>
      </c>
      <c r="Y967">
        <f>IFERROR(W967-X967,"")</f>
        <v/>
      </c>
      <c r="Z967">
        <f>IFERROR(ABS(Y967)/MAX(X967,1),"")</f>
        <v/>
      </c>
      <c r="AA967">
        <f>IFERROR(ROUND(((3*X967-(((E967/4000000)+(F967/60)+(S967/20000))*10000/4+((E967/4000000)*(F967/60))*10000/2)*(H967/0.75))/(10000/4+((S967/20000))*10000/2+((E967/4000000)*(F967/60)*(S967/20000))*10000)*(H967/0.75)*8500)/J967,-1),"")</f>
        <v/>
      </c>
    </row>
    <row r="968">
      <c r="B968" s="7" t="inlineStr">
        <is>
          <t xml:space="preserve">  ↳ IxianCharge_EMP</t>
        </is>
      </c>
      <c r="C968" s="7" t="inlineStr">
        <is>
          <t>Armament@Anim</t>
        </is>
      </c>
      <c r="L968" s="6" t="n">
        <v>1</v>
      </c>
      <c r="M968" s="6" t="n">
        <v>3</v>
      </c>
      <c r="N968" s="6" t="n">
        <v>1</v>
      </c>
      <c r="O968" s="6" t="n"/>
      <c r="P968" s="6" t="n">
        <v>20000</v>
      </c>
      <c r="Q968" s="6" t="n">
        <v>1</v>
      </c>
      <c r="R968">
        <f>M968+IF(N968&gt;1,N(O968)*(N968-1),0)</f>
        <v/>
      </c>
      <c r="S968">
        <f>IFERROR(L968*MAX(N968,1)/R968*IF(ISBLANK(K967),1,K967),0)</f>
        <v/>
      </c>
      <c r="AB968" s="7" t="inlineStr"/>
    </row>
    <row r="969">
      <c r="B969" s="7" t="inlineStr">
        <is>
          <t xml:space="preserve">  ↳ IxianDisable_EMP</t>
        </is>
      </c>
      <c r="C969" s="7" t="inlineStr">
        <is>
          <t>Armament@End</t>
        </is>
      </c>
      <c r="L969" s="6" t="n">
        <v>2000</v>
      </c>
      <c r="M969" s="6" t="n">
        <v>4</v>
      </c>
      <c r="N969" s="6" t="n">
        <v>1</v>
      </c>
      <c r="O969" s="6" t="n"/>
      <c r="P969" s="6" t="n">
        <v>20000</v>
      </c>
      <c r="Q969" s="6" t="n">
        <v>1</v>
      </c>
      <c r="R969">
        <f>M969+IF(N969&gt;1,N(O969)*(N969-1),0)</f>
        <v/>
      </c>
      <c r="S969">
        <f>IFERROR(L969*MAX(N969,1)/R969*IF(ISBLANK(K967),1,K967),0)</f>
        <v/>
      </c>
      <c r="AB969" s="7" t="inlineStr">
        <is>
          <t>^Warhead_Tesla_Super</t>
        </is>
      </c>
    </row>
    <row r="970">
      <c r="A970" t="inlineStr">
        <is>
          <t>starcraft</t>
        </is>
      </c>
      <c r="B970" t="inlineStr">
        <is>
          <t>protoss_idol</t>
        </is>
      </c>
      <c r="C970" t="inlineStr">
        <is>
          <t>Idol</t>
        </is>
      </c>
      <c r="D970" s="6" t="inlineStr">
        <is>
          <t>EpicVehicle</t>
        </is>
      </c>
      <c r="E970" s="6" t="n">
        <v>350000</v>
      </c>
      <c r="F970" s="6" t="n">
        <v>40</v>
      </c>
      <c r="G970" t="inlineStr">
        <is>
          <t>Superheavy</t>
        </is>
      </c>
      <c r="H970" s="6" t="n">
        <v>0.75</v>
      </c>
      <c r="I970" s="6" t="n">
        <v>0.4</v>
      </c>
      <c r="J970" s="6" t="n">
        <v>1.25</v>
      </c>
      <c r="K970" s="6" t="n">
        <v>0.0223</v>
      </c>
      <c r="P970">
        <f>MAX(P971,P972,P973)</f>
        <v/>
      </c>
      <c r="S970">
        <f>S971+S972+S973</f>
        <v/>
      </c>
      <c r="T970">
        <f>(E970/100000+F970/100+(P970/1000)*J970/5+S970/200)*200*I970*H970</f>
        <v/>
      </c>
      <c r="U970">
        <f>((E970*F970/25000)+((P970/1000)*J970*S970/2.5))*I970*H970</f>
        <v/>
      </c>
      <c r="V970">
        <f>(E970*F970*(P970/1000)*J970*S970*I970*H970)/12500000</f>
        <v/>
      </c>
      <c r="W970">
        <f>(((E970/4000000)+(F970/60)+(S970/20000)+((P970/8500)*J970))*10000/4+(((E970/4000000)*(F970/60))+(((P970/8500)*J970)*(S970/20000)))*10000/2+((E970/4000000)*(F970/60)*((P970/8500)*J970)*(S970/20000))*10000)*(H970/0.75)/3</f>
        <v/>
      </c>
      <c r="X970" s="6" t="n">
        <v>2800</v>
      </c>
      <c r="Y970">
        <f>IFERROR(W970-X970,"")</f>
        <v/>
      </c>
      <c r="Z970">
        <f>IFERROR(ABS(Y970)/MAX(X970,1),"")</f>
        <v/>
      </c>
      <c r="AA970">
        <f>IFERROR(ROUND(((3*X970-(((E970/4000000)+(F970/60)+(S970/20000))*10000/4+((E970/4000000)*(F970/60))*10000/2)*(H970/0.75))/(10000/4+((S970/20000))*10000/2+((E970/4000000)*(F970/60)*(S970/20000))*10000)*(H970/0.75)*8500)/J970,-1),"")</f>
        <v/>
      </c>
    </row>
    <row r="971">
      <c r="B971" s="7" t="inlineStr">
        <is>
          <t xml:space="preserve">  ↳ WaveforceCannonChargedLaser</t>
        </is>
      </c>
      <c r="C971" s="7" t="inlineStr">
        <is>
          <t>Armament@Upgrade1</t>
        </is>
      </c>
      <c r="L971" s="6" t="n">
        <v>20000</v>
      </c>
      <c r="M971" s="6" t="n">
        <v>120</v>
      </c>
      <c r="N971" s="6" t="n">
        <v>1</v>
      </c>
      <c r="O971" s="6" t="n"/>
      <c r="P971" s="6" t="n">
        <v>9343</v>
      </c>
      <c r="Q971" s="6" t="n">
        <v>1.25</v>
      </c>
      <c r="R971">
        <f>M971+IF(N971&gt;1,N(O971)*(N971-1),0)</f>
        <v/>
      </c>
      <c r="S971">
        <f>IFERROR(L971*MAX(N971,1)/R971*IF(ISBLANK(K970),1,K970),0)</f>
        <v/>
      </c>
      <c r="AB971" s="7" t="inlineStr">
        <is>
          <t>^Warhead_MissileHE_Heavy, ^Warhead_Railgun_Heavy</t>
        </is>
      </c>
    </row>
    <row r="972">
      <c r="B972" s="7" t="inlineStr">
        <is>
          <t xml:space="preserve">  ↳ WaveforceCannonDistortedBeam1</t>
        </is>
      </c>
      <c r="C972" s="7" t="inlineStr">
        <is>
          <t>Armament@Upgrade2</t>
        </is>
      </c>
      <c r="L972" s="6" t="n">
        <v>20000</v>
      </c>
      <c r="M972" s="6" t="n">
        <v>120</v>
      </c>
      <c r="N972" s="6" t="n">
        <v>1</v>
      </c>
      <c r="O972" s="6" t="n"/>
      <c r="P972" s="6" t="n">
        <v>9343</v>
      </c>
      <c r="Q972" s="6" t="n">
        <v>1</v>
      </c>
      <c r="R972">
        <f>M972+IF(N972&gt;1,N(O972)*(N972-1),0)</f>
        <v/>
      </c>
      <c r="S972">
        <f>IFERROR(L972*MAX(N972,1)/R972*IF(ISBLANK(K970),1,K970),0)</f>
        <v/>
      </c>
      <c r="AB972" s="7" t="inlineStr">
        <is>
          <t>^TeslaWeapon, ^HeavyCannon</t>
        </is>
      </c>
    </row>
    <row r="973">
      <c r="B973" s="7" t="inlineStr">
        <is>
          <t xml:space="preserve">  ↳ WaveforceCannonDistortedBeam2</t>
        </is>
      </c>
      <c r="C973" s="7" t="inlineStr">
        <is>
          <t>Armament@Upgrade3</t>
        </is>
      </c>
      <c r="L973" s="6" t="n">
        <v>20000</v>
      </c>
      <c r="M973" s="6" t="n">
        <v>120</v>
      </c>
      <c r="N973" s="6" t="n">
        <v>1</v>
      </c>
      <c r="O973" s="6" t="n"/>
      <c r="P973" s="6" t="n">
        <v>9343</v>
      </c>
      <c r="Q973" s="6" t="n">
        <v>1.25</v>
      </c>
      <c r="R973">
        <f>M973+IF(N973&gt;1,N(O973)*(N973-1),0)</f>
        <v/>
      </c>
      <c r="S973">
        <f>IFERROR(L973*MAX(N973,1)/R973*IF(ISBLANK(K970),1,K970),0)</f>
        <v/>
      </c>
      <c r="AB973" s="7" t="inlineStr">
        <is>
          <t>^Warhead_Chemical_Heavy, ^Warhead_Flame_Heavy</t>
        </is>
      </c>
    </row>
    <row r="974">
      <c r="A974" t="inlineStr">
        <is>
          <t>starcraft</t>
        </is>
      </c>
      <c r="B974" t="inlineStr">
        <is>
          <t>zerg_hermit</t>
        </is>
      </c>
      <c r="C974" t="inlineStr">
        <is>
          <t>Hermit</t>
        </is>
      </c>
      <c r="D974" s="6" t="inlineStr">
        <is>
          <t>EpicVehicle</t>
        </is>
      </c>
      <c r="E974" s="6" t="n">
        <v>375000</v>
      </c>
      <c r="F974" s="6" t="n">
        <v>50</v>
      </c>
      <c r="G974" t="inlineStr">
        <is>
          <t>Superheavy</t>
        </is>
      </c>
      <c r="H974" s="6" t="n">
        <v>0.75</v>
      </c>
      <c r="I974" s="6" t="n">
        <v>0.4</v>
      </c>
      <c r="J974" s="6" t="n">
        <v>1</v>
      </c>
      <c r="K974" s="6" t="n">
        <v>0.004</v>
      </c>
      <c r="P974">
        <f>MAX(P975)</f>
        <v/>
      </c>
      <c r="S974">
        <f>S975</f>
        <v/>
      </c>
      <c r="T974">
        <f>(E974/100000+F974/100+(P974/1000)*J974/5+S974/200)*200*I974*H974</f>
        <v/>
      </c>
      <c r="U974">
        <f>((E974*F974/25000)+((P974/1000)*J974*S974/2.5))*I974*H974</f>
        <v/>
      </c>
      <c r="V974">
        <f>(E974*F974*(P974/1000)*J974*S974*I974*H974)/12500000</f>
        <v/>
      </c>
      <c r="W974">
        <f>(((E974/4000000)+(F974/60)+(S974/20000)+((P974/8500)*J974))*10000/4+(((E974/4000000)*(F974/60))+(((P974/8500)*J974)*(S974/20000)))*10000/2+((E974/4000000)*(F974/60)*((P974/8500)*J974)*(S974/20000))*10000)*(H974/0.75)/3</f>
        <v/>
      </c>
      <c r="X974" s="6" t="n">
        <v>6000</v>
      </c>
      <c r="Y974">
        <f>IFERROR(W974-X974,"")</f>
        <v/>
      </c>
      <c r="Z974">
        <f>IFERROR(ABS(Y974)/MAX(X974,1),"")</f>
        <v/>
      </c>
      <c r="AA974">
        <f>IFERROR(ROUND(((3*X974-(((E974/4000000)+(F974/60)+(S974/20000))*10000/4+((E974/4000000)*(F974/60))*10000/2)*(H974/0.75))/(10000/4+((S974/20000))*10000/2+((E974/4000000)*(F974/60)*(S974/20000))*10000)*(H974/0.75)*8500)/J974,-1),"")</f>
        <v/>
      </c>
    </row>
    <row r="975">
      <c r="B975" s="7" t="inlineStr">
        <is>
          <t xml:space="preserve">  ↳ HermitShoot</t>
        </is>
      </c>
      <c r="C975" s="7" t="inlineStr">
        <is>
          <t>Armament</t>
        </is>
      </c>
      <c r="L975" s="6" t="n">
        <v>12000</v>
      </c>
      <c r="M975" s="6" t="n">
        <v>30</v>
      </c>
      <c r="N975" s="6" t="n">
        <v>5</v>
      </c>
      <c r="O975" s="6" t="n">
        <v>0</v>
      </c>
      <c r="P975" s="6" t="n">
        <v>7120</v>
      </c>
      <c r="Q975" s="6" t="n">
        <v>1</v>
      </c>
      <c r="R975">
        <f>M975+IF(N975&gt;1,N(O975)*(N975-1),0)</f>
        <v/>
      </c>
      <c r="S975">
        <f>IFERROR(L975*MAX(N975,1)/R975*IF(ISBLANK(K974),1,K974),0)</f>
        <v/>
      </c>
      <c r="AB975" s="7" t="inlineStr">
        <is>
          <t>^Grenade, ^ShrapnelWeapon, ^HeavyBomb, ^MediumMissile, ^Chaingun, ^FlakWeapon</t>
        </is>
      </c>
    </row>
    <row r="976">
      <c r="A976" s="4" t="inlineStr">
        <is>
          <t>AntiAirVehicle</t>
        </is>
      </c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</row>
    <row r="977">
      <c r="A977" t="inlineStr">
        <is>
          <t>redalert</t>
        </is>
      </c>
      <c r="B977" t="inlineStr">
        <is>
          <t>japan_armoredcar</t>
        </is>
      </c>
      <c r="C977" t="inlineStr">
        <is>
          <t>Armored Car</t>
        </is>
      </c>
      <c r="D977" s="6" t="inlineStr">
        <is>
          <t>AntiAirVehicle</t>
        </is>
      </c>
      <c r="E977" s="6" t="n">
        <v>42500</v>
      </c>
      <c r="F977" s="6" t="n">
        <v>130</v>
      </c>
      <c r="G977" t="inlineStr">
        <is>
          <t>Medium</t>
        </is>
      </c>
      <c r="H977" s="6" t="n">
        <v>1</v>
      </c>
      <c r="I977" s="6" t="n">
        <v>1.25</v>
      </c>
      <c r="J977" s="6" t="n">
        <v>1</v>
      </c>
      <c r="K977" s="6" t="n">
        <v>0.0125</v>
      </c>
      <c r="P977">
        <f>MAX(P978,P979,P980,P981)</f>
        <v/>
      </c>
      <c r="S977">
        <f>S978+S979+S980+S981</f>
        <v/>
      </c>
      <c r="T977">
        <f>(E977/100000+F977/100+(P977/1000)*J977/5+S977/200)*200*I977*H977</f>
        <v/>
      </c>
      <c r="U977">
        <f>((E977*F977/25000)+((P977/1000)*J977*S977/2.5))*I977*H977</f>
        <v/>
      </c>
      <c r="V977">
        <f>(E977*F977*(P977/1000)*J977*S977*I977*H977)/12500000</f>
        <v/>
      </c>
      <c r="W977">
        <f>(((E977/170000)+(F977/110)+(S977/1250)+((P977/6000)*J977))*1000/4+(((E977/170000)*(F977/110))+(((P977/6000)*J977)*(S977/1250)))*1000/2+((E977/170000)*(F977/110)*((P977/6000)*J977)*(S977/1250))*1000)*(H977/1.0)/3</f>
        <v/>
      </c>
      <c r="X977" s="6" t="n">
        <v>700</v>
      </c>
      <c r="Y977">
        <f>IFERROR(W977-X977,"")</f>
        <v/>
      </c>
      <c r="Z977">
        <f>IFERROR(ABS(Y977)/MAX(X977,1),"")</f>
        <v/>
      </c>
      <c r="AA977">
        <f>IFERROR(ROUND(((3*X977-(((E977/170000)+(F977/110)+(S977/1250))*1000/4+((E977/170000)*(F977/110))*1000/2)*(H977/1.0))/(1000/4+((S977/1250))*1000/2+((E977/170000)*(F977/110)*(S977/1250))*1000)*(H977/1.0)*6000)/J977,-1),"")</f>
        <v/>
      </c>
    </row>
    <row r="978">
      <c r="B978" s="7" t="inlineStr">
        <is>
          <t xml:space="preserve">  ↳ ArmoredCarMG</t>
        </is>
      </c>
      <c r="C978" s="7" t="inlineStr">
        <is>
          <t>Armament@AG</t>
        </is>
      </c>
      <c r="L978" s="6" t="n">
        <v>16000</v>
      </c>
      <c r="M978" s="6" t="n">
        <v>8</v>
      </c>
      <c r="N978" s="6" t="n">
        <v>1</v>
      </c>
      <c r="O978" s="6" t="n"/>
      <c r="P978" s="6" t="n">
        <v>5012</v>
      </c>
      <c r="Q978" s="6" t="n">
        <v>1</v>
      </c>
      <c r="R978">
        <f>M978+IF(N978&gt;1,N(O978)*(N978-1),0)</f>
        <v/>
      </c>
      <c r="S978">
        <f>IFERROR(L978*MAX(N978,1)/R978*IF(ISBLANK(K977),1,K977),0)</f>
        <v/>
      </c>
      <c r="AB978" s="7" t="inlineStr">
        <is>
          <t>^ArrowWeapon, ^TankDestroyerCannon, ^SmallArms, ^Grenade, ^MediumCannon, ^MediumMissile, ^FlakWeapon, ^Chaingun</t>
        </is>
      </c>
    </row>
    <row r="979">
      <c r="B979" s="7" t="inlineStr">
        <is>
          <t xml:space="preserve">  ↳ ArmoredCarMG_AA</t>
        </is>
      </c>
      <c r="C979" s="7" t="inlineStr">
        <is>
          <t>Armament@AA</t>
        </is>
      </c>
      <c r="L979" s="6" t="n">
        <v>16000</v>
      </c>
      <c r="M979" s="6" t="n">
        <v>8</v>
      </c>
      <c r="N979" s="6" t="n">
        <v>1</v>
      </c>
      <c r="O979" s="6" t="n"/>
      <c r="P979" s="6" t="n">
        <v>7518</v>
      </c>
      <c r="Q979" s="6" t="n">
        <v>1</v>
      </c>
      <c r="R979">
        <f>M979+IF(N979&gt;1,N(O979)*(N979-1),0)</f>
        <v/>
      </c>
      <c r="S979">
        <f>IFERROR(L979*MAX(N979,1)/R979*IF(ISBLANK(K977),1,K977),0)</f>
        <v/>
      </c>
      <c r="AB979" s="7" t="inlineStr">
        <is>
          <t>ArmoredCarMG</t>
        </is>
      </c>
    </row>
    <row r="980">
      <c r="B980" s="7" t="inlineStr">
        <is>
          <t xml:space="preserve">  ↳ ArmoredCarMGWaveforce</t>
        </is>
      </c>
      <c r="C980" s="7" t="inlineStr">
        <is>
          <t>Armament@UpgradeAG</t>
        </is>
      </c>
      <c r="L980" s="6" t="n">
        <v>19000</v>
      </c>
      <c r="M980" s="6" t="n">
        <v>8</v>
      </c>
      <c r="N980" s="6" t="n">
        <v>1</v>
      </c>
      <c r="O980" s="6" t="n"/>
      <c r="P980" s="6" t="n">
        <v>5012</v>
      </c>
      <c r="Q980" s="6" t="n">
        <v>1.25</v>
      </c>
      <c r="R980">
        <f>M980+IF(N980&gt;1,N(O980)*(N980-1),0)</f>
        <v/>
      </c>
      <c r="S980">
        <f>IFERROR(L980*MAX(N980,1)/R980*IF(ISBLANK(K977),1,K977),0)</f>
        <v/>
      </c>
      <c r="AB980" s="7" t="inlineStr">
        <is>
          <t>^Warhead_Railgun_Heavy</t>
        </is>
      </c>
    </row>
    <row r="981">
      <c r="B981" s="7" t="inlineStr">
        <is>
          <t xml:space="preserve">  ↳ ArmoredCarMGAAWaveforce</t>
        </is>
      </c>
      <c r="C981" s="7" t="inlineStr">
        <is>
          <t>Armament@UpgradeAA</t>
        </is>
      </c>
      <c r="L981" s="6" t="n">
        <v>19000</v>
      </c>
      <c r="M981" s="6" t="n">
        <v>8</v>
      </c>
      <c r="N981" s="6" t="n">
        <v>1</v>
      </c>
      <c r="O981" s="6" t="n"/>
      <c r="P981" s="6" t="n">
        <v>7518</v>
      </c>
      <c r="Q981" s="6" t="n">
        <v>1.25</v>
      </c>
      <c r="R981">
        <f>M981+IF(N981&gt;1,N(O981)*(N981-1),0)</f>
        <v/>
      </c>
      <c r="S981">
        <f>IFERROR(L981*MAX(N981,1)/R981*IF(ISBLANK(K977),1,K977),0)</f>
        <v/>
      </c>
      <c r="AB981" s="7" t="inlineStr">
        <is>
          <t>^Warhead_Railgun_Heavy</t>
        </is>
      </c>
    </row>
    <row r="982">
      <c r="A982" t="inlineStr">
        <is>
          <t>redalert</t>
        </is>
      </c>
      <c r="B982" t="inlineStr">
        <is>
          <t>ra1_soviets_flaktruck</t>
        </is>
      </c>
      <c r="C982" t="inlineStr">
        <is>
          <t>Flak Truck</t>
        </is>
      </c>
      <c r="D982" s="6" t="inlineStr">
        <is>
          <t>AntiAirVehicle</t>
        </is>
      </c>
      <c r="E982" s="6" t="n">
        <v>30000</v>
      </c>
      <c r="F982" s="6" t="n">
        <v>120</v>
      </c>
      <c r="G982" t="inlineStr">
        <is>
          <t>Medium</t>
        </is>
      </c>
      <c r="H982" s="6" t="n">
        <v>1</v>
      </c>
      <c r="I982" s="6" t="n">
        <v>1.25</v>
      </c>
      <c r="J982" s="6" t="n">
        <v>1</v>
      </c>
      <c r="K982" s="6" t="n"/>
      <c r="P982">
        <f>MAX(P983,P984)</f>
        <v/>
      </c>
      <c r="S982">
        <f>S983+S984</f>
        <v/>
      </c>
      <c r="T982">
        <f>(E982/100000+F982/100+(P982/1000)*J982/5+S982/200)*200*I982*H982</f>
        <v/>
      </c>
      <c r="U982">
        <f>((E982*F982/25000)+((P982/1000)*J982*S982/2.5))*I982*H982</f>
        <v/>
      </c>
      <c r="V982">
        <f>(E982*F982*(P982/1000)*J982*S982*I982*H982)/12500000</f>
        <v/>
      </c>
      <c r="W982">
        <f>(((E982/170000)+(F982/110)+(S982/1250)+((P982/6000)*J982))*1000/4+(((E982/170000)*(F982/110))+(((P982/6000)*J982)*(S982/1250)))*1000/2+((E982/170000)*(F982/110)*((P982/6000)*J982)*(S982/1250))*1000)*(H982/1.0)/3</f>
        <v/>
      </c>
      <c r="X982" s="6" t="n">
        <v>800</v>
      </c>
      <c r="Y982">
        <f>IFERROR(W982-X982,"")</f>
        <v/>
      </c>
      <c r="Z982">
        <f>IFERROR(ABS(Y982)/MAX(X982,1),"")</f>
        <v/>
      </c>
      <c r="AA982">
        <f>IFERROR(ROUND(((3*X982-(((E982/170000)+(F982/110)+(S982/1250))*1000/4+((E982/170000)*(F982/110))*1000/2)*(H982/1.0))/(1000/4+((S982/1250))*1000/2+((E982/170000)*(F982/110)*(S982/1250))*1000)*(H982/1.0)*6000)/J982,-1),"")</f>
        <v/>
      </c>
    </row>
    <row r="983">
      <c r="B983" s="7" t="inlineStr">
        <is>
          <t xml:space="preserve">  ↳ FLAK-23-AA</t>
        </is>
      </c>
      <c r="C983" s="7" t="inlineStr">
        <is>
          <t>Armament@AA</t>
        </is>
      </c>
      <c r="L983" s="6" t="n">
        <v>4000</v>
      </c>
      <c r="M983" s="6" t="n">
        <v>5</v>
      </c>
      <c r="N983" s="6" t="n">
        <v>2</v>
      </c>
      <c r="O983" s="6" t="n"/>
      <c r="P983" s="6" t="n">
        <v>8118</v>
      </c>
      <c r="Q983" s="6" t="n">
        <v>1</v>
      </c>
      <c r="R983">
        <f>M983+IF(N983&gt;1,N(O983)*(N983-1),0)</f>
        <v/>
      </c>
      <c r="S983">
        <f>IFERROR(L983*MAX(N983,1)/R983*IF(ISBLANK(K982),1,K982),0)</f>
        <v/>
      </c>
      <c r="AB983" s="7" t="inlineStr">
        <is>
          <t>^Warhead_Bullet_Medium, ^Warhead_Flak_Medium</t>
        </is>
      </c>
    </row>
    <row r="984">
      <c r="B984" s="7" t="inlineStr">
        <is>
          <t xml:space="preserve">  ↳ FLAK-23-AG</t>
        </is>
      </c>
      <c r="C984" s="7" t="inlineStr">
        <is>
          <t>Armament@AG</t>
        </is>
      </c>
      <c r="L984" s="6" t="n">
        <v>4000</v>
      </c>
      <c r="M984" s="6" t="n">
        <v>5</v>
      </c>
      <c r="N984" s="6" t="n">
        <v>2</v>
      </c>
      <c r="O984" s="6" t="n"/>
      <c r="P984" s="6" t="n">
        <v>5412</v>
      </c>
      <c r="Q984" s="6" t="n">
        <v>1</v>
      </c>
      <c r="R984">
        <f>M984+IF(N984&gt;1,N(O984)*(N984-1),0)</f>
        <v/>
      </c>
      <c r="S984">
        <f>IFERROR(L984*MAX(N984,1)/R984*IF(ISBLANK(K982),1,K982),0)</f>
        <v/>
      </c>
      <c r="AB984" s="7" t="inlineStr">
        <is>
          <t>^Warhead_Bullet_Medium, ^Warhead_Flak_Medium</t>
        </is>
      </c>
    </row>
    <row r="985">
      <c r="A985" t="inlineStr">
        <is>
          <t>redalert</t>
        </is>
      </c>
      <c r="B985" t="inlineStr">
        <is>
          <t>ra1_soviets_gatlingtank</t>
        </is>
      </c>
      <c r="C985" t="inlineStr">
        <is>
          <t>Gatling Tank</t>
        </is>
      </c>
      <c r="D985" s="6" t="inlineStr">
        <is>
          <t>AntiAirVehicle</t>
        </is>
      </c>
      <c r="E985" s="6" t="n">
        <v>75000</v>
      </c>
      <c r="F985" s="6" t="n">
        <v>75</v>
      </c>
      <c r="G985" t="inlineStr">
        <is>
          <t>Medium</t>
        </is>
      </c>
      <c r="H985" s="6" t="n">
        <v>0.8919</v>
      </c>
      <c r="I985" s="6" t="n">
        <v>1</v>
      </c>
      <c r="J985" s="6" t="n">
        <v>1</v>
      </c>
      <c r="K985" s="6" t="n"/>
      <c r="P985">
        <f>MAX(P986,P987,P988,P989,P990,P991,P992,P993)</f>
        <v/>
      </c>
      <c r="S985">
        <f>S986+S987+S988+S989+S990+S991+S992+S993</f>
        <v/>
      </c>
      <c r="T985">
        <f>(E985/100000+F985/100+(P985/1000)*J985/5+S985/200)*200*I985*H985</f>
        <v/>
      </c>
      <c r="U985">
        <f>((E985*F985/25000)+((P985/1000)*J985*S985/2.5))*I985*H985</f>
        <v/>
      </c>
      <c r="V985">
        <f>(E985*F985*(P985/1000)*J985*S985*I985*H985)/12500000</f>
        <v/>
      </c>
      <c r="W985">
        <f>(((E985/170000)+(F985/110)+(S985/1250)+((P985/6000)*J985))*1000/4+(((E985/170000)*(F985/110))+(((P985/6000)*J985)*(S985/1250)))*1000/2+((E985/170000)*(F985/110)*((P985/6000)*J985)*(S985/1250))*1000)*(H985/1.0)/3</f>
        <v/>
      </c>
      <c r="X985" s="6" t="n">
        <v>1100</v>
      </c>
      <c r="Y985">
        <f>IFERROR(W985-X985,"")</f>
        <v/>
      </c>
      <c r="Z985">
        <f>IFERROR(ABS(Y985)/MAX(X985,1),"")</f>
        <v/>
      </c>
      <c r="AA985">
        <f>IFERROR(ROUND(((3*X985-(((E985/170000)+(F985/110)+(S985/1250))*1000/4+((E985/170000)*(F985/110))*1000/2)*(H985/1.0))/(1000/4+((S985/1250))*1000/2+((E985/170000)*(F985/110)*(S985/1250))*1000)*(H985/1.0)*6000)/J985,-1),"")</f>
        <v/>
      </c>
    </row>
    <row r="986">
      <c r="B986" s="7" t="inlineStr">
        <is>
          <t xml:space="preserve">  ↳ RAGatlingTankCannon</t>
        </is>
      </c>
      <c r="C986" s="7" t="inlineStr">
        <is>
          <t>Armament@AG</t>
        </is>
      </c>
      <c r="L986" s="6" t="n">
        <v>2000</v>
      </c>
      <c r="M986" s="6" t="n">
        <v>10</v>
      </c>
      <c r="N986" s="6" t="n">
        <v>1</v>
      </c>
      <c r="O986" s="6" t="n"/>
      <c r="P986" s="6" t="n">
        <v>5000</v>
      </c>
      <c r="Q986" s="6" t="n">
        <v>1</v>
      </c>
      <c r="R986">
        <f>M986+IF(N986&gt;1,N(O986)*(N986-1),0)</f>
        <v/>
      </c>
      <c r="S986">
        <f>IFERROR(L986*MAX(N986,1)/R986*IF(ISBLANK(K985),1,K985),0)</f>
        <v/>
      </c>
      <c r="AB986" s="7" t="inlineStr">
        <is>
          <t>^Warhead_Bullet_Medium</t>
        </is>
      </c>
    </row>
    <row r="987">
      <c r="B987" s="7" t="inlineStr">
        <is>
          <t xml:space="preserve">  ↳ RAGatlingTankCannon_AA</t>
        </is>
      </c>
      <c r="C987" s="7" t="inlineStr">
        <is>
          <t>Armament@AA</t>
        </is>
      </c>
      <c r="L987" s="6" t="n">
        <v>2000</v>
      </c>
      <c r="M987" s="6" t="n">
        <v>10</v>
      </c>
      <c r="N987" s="6" t="n">
        <v>1</v>
      </c>
      <c r="O987" s="6" t="n"/>
      <c r="P987" s="6" t="n">
        <v>7500</v>
      </c>
      <c r="Q987" s="6" t="n">
        <v>1</v>
      </c>
      <c r="R987">
        <f>M987+IF(N987&gt;1,N(O987)*(N987-1),0)</f>
        <v/>
      </c>
      <c r="S987">
        <f>IFERROR(L987*MAX(N987,1)/R987*IF(ISBLANK(K985),1,K985),0)</f>
        <v/>
      </c>
      <c r="AB987" s="7" t="inlineStr">
        <is>
          <t>^Warhead_Bullet_Medium</t>
        </is>
      </c>
    </row>
    <row r="988">
      <c r="B988" s="7" t="inlineStr">
        <is>
          <t xml:space="preserve">  ↳ IncendiaryRAGatlingTankCannon</t>
        </is>
      </c>
      <c r="C988" s="7" t="inlineStr">
        <is>
          <t>Armament@UpgradeAG</t>
        </is>
      </c>
      <c r="L988" s="6" t="n">
        <v>4000</v>
      </c>
      <c r="M988" s="6" t="n">
        <v>10</v>
      </c>
      <c r="N988" s="6" t="n">
        <v>1</v>
      </c>
      <c r="O988" s="6" t="n"/>
      <c r="P988" s="6" t="n">
        <v>5000</v>
      </c>
      <c r="Q988" s="6" t="n">
        <v>0.875</v>
      </c>
      <c r="R988">
        <f>M988+IF(N988&gt;1,N(O988)*(N988-1),0)</f>
        <v/>
      </c>
      <c r="S988">
        <f>IFERROR(L988*MAX(N988,1)/R988*IF(ISBLANK(K985),1,K985),0)</f>
        <v/>
      </c>
      <c r="AB988" s="7" t="inlineStr">
        <is>
          <t>^Warhead_Flame_Light, ^Warhead_Bullet_Medium</t>
        </is>
      </c>
    </row>
    <row r="989">
      <c r="B989" s="7" t="inlineStr">
        <is>
          <t xml:space="preserve">  ↳ IncendiaryRAGatlingTankCannon_AA</t>
        </is>
      </c>
      <c r="C989" s="7" t="inlineStr">
        <is>
          <t>Armament@UpgradeAA</t>
        </is>
      </c>
      <c r="L989" s="6" t="n">
        <v>4000</v>
      </c>
      <c r="M989" s="6" t="n">
        <v>10</v>
      </c>
      <c r="N989" s="6" t="n">
        <v>1</v>
      </c>
      <c r="O989" s="6" t="n"/>
      <c r="P989" s="6" t="n">
        <v>7500</v>
      </c>
      <c r="Q989" s="6" t="n">
        <v>0.875</v>
      </c>
      <c r="R989">
        <f>M989+IF(N989&gt;1,N(O989)*(N989-1),0)</f>
        <v/>
      </c>
      <c r="S989">
        <f>IFERROR(L989*MAX(N989,1)/R989*IF(ISBLANK(K985),1,K985),0)</f>
        <v/>
      </c>
      <c r="AB989" s="7" t="inlineStr">
        <is>
          <t>^Warhead_Flame_Light, ^Warhead_Bullet_Medium</t>
        </is>
      </c>
    </row>
    <row r="990">
      <c r="B990" s="7" t="inlineStr">
        <is>
          <t xml:space="preserve">  ↳ TeslaRAGatlingTankCannon</t>
        </is>
      </c>
      <c r="C990" s="7" t="inlineStr">
        <is>
          <t>Armament@TeslaUpgrade1</t>
        </is>
      </c>
      <c r="L990" s="6" t="n">
        <v>2000</v>
      </c>
      <c r="M990" s="6" t="n">
        <v>10</v>
      </c>
      <c r="N990" s="6" t="n">
        <v>1</v>
      </c>
      <c r="O990" s="6" t="n"/>
      <c r="P990" s="6" t="n">
        <v>5000</v>
      </c>
      <c r="Q990" s="6" t="n">
        <v>1.25</v>
      </c>
      <c r="R990">
        <f>M990+IF(N990&gt;1,N(O990)*(N990-1),0)</f>
        <v/>
      </c>
      <c r="S990">
        <f>IFERROR(L990*MAX(N990,1)/R990*IF(ISBLANK(K985),1,K985),0)</f>
        <v/>
      </c>
      <c r="AB990" s="7" t="inlineStr">
        <is>
          <t>^Warhead_Tesla_Heavy</t>
        </is>
      </c>
    </row>
    <row r="991">
      <c r="B991" s="7" t="inlineStr">
        <is>
          <t xml:space="preserve">  ↳ TeslaRAGatlingTankCannonArc</t>
        </is>
      </c>
      <c r="C991" s="7" t="inlineStr">
        <is>
          <t>Armament@TeslaUpgrade2</t>
        </is>
      </c>
      <c r="L991" s="6" t="n">
        <v>2000</v>
      </c>
      <c r="M991" s="6" t="n">
        <v>10</v>
      </c>
      <c r="N991" s="6" t="n">
        <v>1</v>
      </c>
      <c r="O991" s="6" t="n"/>
      <c r="P991" s="6" t="n">
        <v>5000</v>
      </c>
      <c r="Q991" s="6" t="n">
        <v>1.25</v>
      </c>
      <c r="R991">
        <f>M991+IF(N991&gt;1,N(O991)*(N991-1),0)</f>
        <v/>
      </c>
      <c r="S991">
        <f>IFERROR(L991*MAX(N991,1)/R991*IF(ISBLANK(K985),1,K985),0)</f>
        <v/>
      </c>
      <c r="AB991" s="7" t="inlineStr">
        <is>
          <t>^Warhead_Tesla_Heavy</t>
        </is>
      </c>
    </row>
    <row r="992">
      <c r="B992" s="7" t="inlineStr">
        <is>
          <t xml:space="preserve">  ↳ TeslaRAGatlingTankCannon_AA</t>
        </is>
      </c>
      <c r="C992" s="7" t="inlineStr">
        <is>
          <t>Armament@TeslaUpgrade1AA</t>
        </is>
      </c>
      <c r="L992" s="6" t="n">
        <v>2000</v>
      </c>
      <c r="M992" s="6" t="n">
        <v>10</v>
      </c>
      <c r="N992" s="6" t="n">
        <v>1</v>
      </c>
      <c r="O992" s="6" t="n"/>
      <c r="P992" s="6" t="n">
        <v>7500</v>
      </c>
      <c r="Q992" s="6" t="n">
        <v>1.25</v>
      </c>
      <c r="R992">
        <f>M992+IF(N992&gt;1,N(O992)*(N992-1),0)</f>
        <v/>
      </c>
      <c r="S992">
        <f>IFERROR(L992*MAX(N992,1)/R992*IF(ISBLANK(K985),1,K985),0)</f>
        <v/>
      </c>
      <c r="AB992" s="7" t="inlineStr">
        <is>
          <t>^Warhead_Tesla_Heavy</t>
        </is>
      </c>
    </row>
    <row r="993">
      <c r="B993" s="7" t="inlineStr">
        <is>
          <t xml:space="preserve">  ↳ TeslaRAGatlingTankCannonArc_AA</t>
        </is>
      </c>
      <c r="C993" s="7" t="inlineStr">
        <is>
          <t>Armament@TeslaUpgrade2AA</t>
        </is>
      </c>
      <c r="L993" s="6" t="n">
        <v>2000</v>
      </c>
      <c r="M993" s="6" t="n">
        <v>10</v>
      </c>
      <c r="N993" s="6" t="n">
        <v>1</v>
      </c>
      <c r="O993" s="6" t="n"/>
      <c r="P993" s="6" t="n">
        <v>7500</v>
      </c>
      <c r="Q993" s="6" t="n">
        <v>1.25</v>
      </c>
      <c r="R993">
        <f>M993+IF(N993&gt;1,N(O993)*(N993-1),0)</f>
        <v/>
      </c>
      <c r="S993">
        <f>IFERROR(L993*MAX(N993,1)/R993*IF(ISBLANK(K985),1,K985),0)</f>
        <v/>
      </c>
      <c r="AB993" s="7" t="inlineStr">
        <is>
          <t>^Warhead_Tesla_Heavy</t>
        </is>
      </c>
    </row>
    <row r="994">
      <c r="A994" t="inlineStr">
        <is>
          <t>redalert</t>
        </is>
      </c>
      <c r="B994" t="inlineStr">
        <is>
          <t>ra1_allies_alliedheavyaatank</t>
        </is>
      </c>
      <c r="C994" t="inlineStr">
        <is>
          <t>Allied Heavy AA Tank</t>
        </is>
      </c>
      <c r="D994" s="6" t="inlineStr">
        <is>
          <t>AntiAirVehicle</t>
        </is>
      </c>
      <c r="E994" s="6" t="n">
        <v>125000</v>
      </c>
      <c r="F994" s="6" t="n">
        <v>75</v>
      </c>
      <c r="G994" t="inlineStr">
        <is>
          <t>Medium</t>
        </is>
      </c>
      <c r="H994" s="6" t="n">
        <v>1</v>
      </c>
      <c r="I994" s="6" t="n">
        <v>1</v>
      </c>
      <c r="J994" s="6" t="n">
        <v>1.25</v>
      </c>
      <c r="K994" s="6" t="n">
        <v>0.0025</v>
      </c>
      <c r="P994">
        <f>MAX(P995,P996)</f>
        <v/>
      </c>
      <c r="S994">
        <f>S995+S996</f>
        <v/>
      </c>
      <c r="T994">
        <f>(E994/100000+F994/100+(P994/1000)*J994/5+S994/200)*200*I994*H994</f>
        <v/>
      </c>
      <c r="U994">
        <f>((E994*F994/25000)+((P994/1000)*J994*S994/2.5))*I994*H994</f>
        <v/>
      </c>
      <c r="V994">
        <f>(E994*F994*(P994/1000)*J994*S994*I994*H994)/12500000</f>
        <v/>
      </c>
      <c r="W994">
        <f>(((E994/170000)+(F994/110)+(S994/1250)+((P994/6000)*J994))*1000/4+(((E994/170000)*(F994/110))+(((P994/6000)*J994)*(S994/1250)))*1000/2+((E994/170000)*(F994/110)*((P994/6000)*J994)*(S994/1250))*1000)*(H994/1.0)/3</f>
        <v/>
      </c>
      <c r="X994" s="6" t="n">
        <v>1250</v>
      </c>
      <c r="Y994">
        <f>IFERROR(W994-X994,"")</f>
        <v/>
      </c>
      <c r="Z994">
        <f>IFERROR(ABS(Y994)/MAX(X994,1),"")</f>
        <v/>
      </c>
      <c r="AA994">
        <f>IFERROR(ROUND(((3*X994-(((E994/170000)+(F994/110)+(S994/1250))*1000/4+((E994/170000)*(F994/110))*1000/2)*(H994/1.0))/(1000/4+((S994/1250))*1000/2+((E994/170000)*(F994/110)*(S994/1250))*1000)*(H994/1.0)*6000)/J994,-1),"")</f>
        <v/>
      </c>
    </row>
    <row r="995">
      <c r="B995" s="7" t="inlineStr">
        <is>
          <t xml:space="preserve">  ↳ HeavyAATankCannonAG</t>
        </is>
      </c>
      <c r="C995" s="7" t="inlineStr">
        <is>
          <t>Armament@AG</t>
        </is>
      </c>
      <c r="L995" s="6" t="n">
        <v>8000</v>
      </c>
      <c r="M995" s="6" t="n">
        <v>10</v>
      </c>
      <c r="N995" s="6" t="n">
        <v>1</v>
      </c>
      <c r="O995" s="6" t="n"/>
      <c r="P995" s="6" t="n">
        <v>4746</v>
      </c>
      <c r="Q995" s="6" t="n">
        <v>1</v>
      </c>
      <c r="R995">
        <f>M995+IF(N995&gt;1,N(O995)*(N995-1),0)</f>
        <v/>
      </c>
      <c r="S995">
        <f>IFERROR(L995*MAX(N995,1)/R995*IF(ISBLANK(K994),1,K994),0)</f>
        <v/>
      </c>
      <c r="AB995" s="7" t="inlineStr">
        <is>
          <t>^LightMissile, ^FlakWeapon, ^SmallArms, ^Chaingun</t>
        </is>
      </c>
    </row>
    <row r="996">
      <c r="B996" s="7" t="inlineStr">
        <is>
          <t xml:space="preserve">  ↳ HeavyAATankCannon_AA</t>
        </is>
      </c>
      <c r="C996" s="7" t="inlineStr">
        <is>
          <t>Armament@AA</t>
        </is>
      </c>
      <c r="L996" s="6" t="n">
        <v>8000</v>
      </c>
      <c r="M996" s="6" t="n">
        <v>10</v>
      </c>
      <c r="N996" s="6" t="n">
        <v>1</v>
      </c>
      <c r="O996" s="6" t="n"/>
      <c r="P996" s="6" t="n">
        <v>7119</v>
      </c>
      <c r="Q996" s="6" t="n">
        <v>1</v>
      </c>
      <c r="R996">
        <f>M996+IF(N996&gt;1,N(O996)*(N996-1),0)</f>
        <v/>
      </c>
      <c r="S996">
        <f>IFERROR(L996*MAX(N996,1)/R996*IF(ISBLANK(K994),1,K994),0)</f>
        <v/>
      </c>
      <c r="AB996" s="7" t="inlineStr">
        <is>
          <t>HeavyAATankCannonAG</t>
        </is>
      </c>
    </row>
    <row r="997">
      <c r="A997" t="inlineStr">
        <is>
          <t>tiberiansun</t>
        </is>
      </c>
      <c r="B997" t="inlineStr">
        <is>
          <t>forgotten_m113adats</t>
        </is>
      </c>
      <c r="C997" t="inlineStr">
        <is>
          <t>actor_forgotten_m113adats.name</t>
        </is>
      </c>
      <c r="D997" s="6" t="inlineStr">
        <is>
          <t>AntiAirVehicle</t>
        </is>
      </c>
      <c r="E997" s="6" t="n">
        <v>50000</v>
      </c>
      <c r="F997" s="6" t="n">
        <v>70</v>
      </c>
      <c r="G997" t="inlineStr">
        <is>
          <t>Medium</t>
        </is>
      </c>
      <c r="H997" s="6" t="n">
        <v>1</v>
      </c>
      <c r="I997" s="6" t="n">
        <v>1</v>
      </c>
      <c r="J997" s="6" t="n">
        <v>1</v>
      </c>
      <c r="K997" s="6" t="n"/>
      <c r="P997">
        <f>MAX(P998,P999,P1000,P1001)</f>
        <v/>
      </c>
      <c r="S997">
        <f>S998+S999+S1000+S1001</f>
        <v/>
      </c>
      <c r="T997">
        <f>(E997/100000+F997/100+(P997/1000)*J997/5+S997/200)*200*I997*H997</f>
        <v/>
      </c>
      <c r="U997">
        <f>((E997*F997/25000)+((P997/1000)*J997*S997/2.5))*I997*H997</f>
        <v/>
      </c>
      <c r="V997">
        <f>(E997*F997*(P997/1000)*J997*S997*I997*H997)/12500000</f>
        <v/>
      </c>
      <c r="W997">
        <f>(((E997/170000)+(F997/110)+(S997/1250)+((P997/6000)*J997))*1000/4+(((E997/170000)*(F997/110))+(((P997/6000)*J997)*(S997/1250)))*1000/2+((E997/170000)*(F997/110)*((P997/6000)*J997)*(S997/1250))*1000)*(H997/1.0)/3</f>
        <v/>
      </c>
      <c r="X997" s="6" t="n">
        <v>950</v>
      </c>
      <c r="Y997">
        <f>IFERROR(W997-X997,"")</f>
        <v/>
      </c>
      <c r="Z997">
        <f>IFERROR(ABS(Y997)/MAX(X997,1),"")</f>
        <v/>
      </c>
      <c r="AA997">
        <f>IFERROR(ROUND(((3*X997-(((E997/170000)+(F997/110)+(S997/1250))*1000/4+((E997/170000)*(F997/110))*1000/2)*(H997/1.0))/(1000/4+((S997/1250))*1000/2+((E997/170000)*(F997/110)*(S997/1250))*1000)*(H997/1.0)*6000)/J997,-1),"")</f>
        <v/>
      </c>
    </row>
    <row r="998">
      <c r="B998" s="7" t="inlineStr">
        <is>
          <t xml:space="preserve">  ↳ TSAdatsMissile</t>
        </is>
      </c>
      <c r="C998" s="7" t="inlineStr">
        <is>
          <t>Armament@PRIMARY</t>
        </is>
      </c>
      <c r="L998" s="6" t="n">
        <v>8000</v>
      </c>
      <c r="M998" s="6" t="n">
        <v>54</v>
      </c>
      <c r="N998" s="6" t="n">
        <v>4</v>
      </c>
      <c r="O998" s="6" t="n">
        <v>2</v>
      </c>
      <c r="P998" s="6" t="n">
        <v>5606</v>
      </c>
      <c r="Q998" s="6" t="n">
        <v>0.875</v>
      </c>
      <c r="R998">
        <f>M998+IF(N998&gt;1,N(O998)*(N998-1),0)</f>
        <v/>
      </c>
      <c r="S998">
        <f>IFERROR(L998*MAX(N998,1)/R998*IF(ISBLANK(K997),1,K997),0)</f>
        <v/>
      </c>
      <c r="AB998" s="7" t="inlineStr">
        <is>
          <t>^Warhead_Flak_Medium, ^Warhead_MissileHE_Light</t>
        </is>
      </c>
    </row>
    <row r="999">
      <c r="B999" s="7" t="inlineStr">
        <is>
          <t xml:space="preserve">  ↳ TSAdatsMissile_AA</t>
        </is>
      </c>
      <c r="C999" s="7" t="inlineStr">
        <is>
          <t>Armament@SECONDARY</t>
        </is>
      </c>
      <c r="L999" s="6" t="n">
        <v>8000</v>
      </c>
      <c r="M999" s="6" t="n">
        <v>54</v>
      </c>
      <c r="N999" s="6" t="n">
        <v>4</v>
      </c>
      <c r="O999" s="6" t="n">
        <v>2</v>
      </c>
      <c r="P999" s="6" t="n">
        <v>8409</v>
      </c>
      <c r="Q999" s="6" t="n">
        <v>0.875</v>
      </c>
      <c r="R999">
        <f>M999+IF(N999&gt;1,N(O999)*(N999-1),0)</f>
        <v/>
      </c>
      <c r="S999">
        <f>IFERROR(L999*MAX(N999,1)/R999*IF(ISBLANK(K997),1,K997),0)</f>
        <v/>
      </c>
      <c r="AB999" s="7" t="inlineStr">
        <is>
          <t>^Warhead_Flak_Medium, ^Warhead_MissileHE_Light</t>
        </is>
      </c>
    </row>
    <row r="1000">
      <c r="B1000" s="7" t="inlineStr">
        <is>
          <t xml:space="preserve">  ↳ TSAdatsMissile</t>
        </is>
      </c>
      <c r="C1000" s="7" t="inlineStr">
        <is>
          <t>Armament@UPGRADE</t>
        </is>
      </c>
      <c r="L1000" s="6" t="n">
        <v>8000</v>
      </c>
      <c r="M1000" s="6" t="n">
        <v>54</v>
      </c>
      <c r="N1000" s="6" t="n">
        <v>4</v>
      </c>
      <c r="O1000" s="6" t="n">
        <v>2</v>
      </c>
      <c r="P1000" s="6" t="n">
        <v>5606</v>
      </c>
      <c r="Q1000" s="6" t="n">
        <v>0.875</v>
      </c>
      <c r="R1000">
        <f>M1000+IF(N1000&gt;1,N(O1000)*(N1000-1),0)</f>
        <v/>
      </c>
      <c r="S1000">
        <f>IFERROR(L1000*MAX(N1000,1)/R1000*IF(ISBLANK(K997),1,K997),0)</f>
        <v/>
      </c>
      <c r="AB1000" s="7" t="inlineStr">
        <is>
          <t>^Warhead_Flak_Medium, ^Warhead_MissileHE_Light</t>
        </is>
      </c>
    </row>
    <row r="1001">
      <c r="B1001" s="7" t="inlineStr">
        <is>
          <t xml:space="preserve">  ↳ TSAdatsMissile_AA</t>
        </is>
      </c>
      <c r="C1001" s="7" t="inlineStr">
        <is>
          <t>Armament@UPGRADEAA</t>
        </is>
      </c>
      <c r="L1001" s="6" t="n">
        <v>8000</v>
      </c>
      <c r="M1001" s="6" t="n">
        <v>54</v>
      </c>
      <c r="N1001" s="6" t="n">
        <v>4</v>
      </c>
      <c r="O1001" s="6" t="n">
        <v>2</v>
      </c>
      <c r="P1001" s="6" t="n">
        <v>8409</v>
      </c>
      <c r="Q1001" s="6" t="n">
        <v>0.875</v>
      </c>
      <c r="R1001">
        <f>M1001+IF(N1001&gt;1,N(O1001)*(N1001-1),0)</f>
        <v/>
      </c>
      <c r="S1001">
        <f>IFERROR(L1001*MAX(N1001,1)/R1001*IF(ISBLANK(K997),1,K997),0)</f>
        <v/>
      </c>
      <c r="AB1001" s="7" t="inlineStr">
        <is>
          <t>^Warhead_Flak_Medium, ^Warhead_MissileHE_Light</t>
        </is>
      </c>
    </row>
    <row r="1002">
      <c r="A1002" t="inlineStr">
        <is>
          <t>redalert2</t>
        </is>
      </c>
      <c r="B1002" t="inlineStr">
        <is>
          <t>ra2_soviets_flaktrack</t>
        </is>
      </c>
      <c r="C1002" t="inlineStr">
        <is>
          <t>Flak Track</t>
        </is>
      </c>
      <c r="D1002" s="6" t="inlineStr">
        <is>
          <t>AntiAirVehicle</t>
        </is>
      </c>
      <c r="E1002" s="6" t="n">
        <v>45000</v>
      </c>
      <c r="F1002" s="6" t="n">
        <v>95</v>
      </c>
      <c r="G1002" t="inlineStr">
        <is>
          <t>Medium</t>
        </is>
      </c>
      <c r="H1002" s="6" t="n">
        <v>1</v>
      </c>
      <c r="I1002" s="6" t="n">
        <v>1.25</v>
      </c>
      <c r="J1002" s="6" t="n">
        <v>1</v>
      </c>
      <c r="K1002" s="6" t="n">
        <v>0.0075</v>
      </c>
      <c r="P1002">
        <f>MAX(P1003,P1004,P1005,P1006)</f>
        <v/>
      </c>
      <c r="S1002">
        <f>S1003+S1004+S1005+S1006</f>
        <v/>
      </c>
      <c r="T1002">
        <f>(E1002/100000+F1002/100+(P1002/1000)*J1002/5+S1002/200)*200*I1002*H1002</f>
        <v/>
      </c>
      <c r="U1002">
        <f>((E1002*F1002/25000)+((P1002/1000)*J1002*S1002/2.5))*I1002*H1002</f>
        <v/>
      </c>
      <c r="V1002">
        <f>(E1002*F1002*(P1002/1000)*J1002*S1002*I1002*H1002)/12500000</f>
        <v/>
      </c>
      <c r="W1002">
        <f>(((E1002/170000)+(F1002/110)+(S1002/1250)+((P1002/6000)*J1002))*1000/4+(((E1002/170000)*(F1002/110))+(((P1002/6000)*J1002)*(S1002/1250)))*1000/2+((E1002/170000)*(F1002/110)*((P1002/6000)*J1002)*(S1002/1250))*1000)*(H1002/1.0)/3</f>
        <v/>
      </c>
      <c r="X1002" s="6" t="n">
        <v>900</v>
      </c>
      <c r="Y1002">
        <f>IFERROR(W1002-X1002,"")</f>
        <v/>
      </c>
      <c r="Z1002">
        <f>IFERROR(ABS(Y1002)/MAX(X1002,1),"")</f>
        <v/>
      </c>
      <c r="AA1002">
        <f>IFERROR(ROUND(((3*X1002-(((E1002/170000)+(F1002/110)+(S1002/1250))*1000/4+((E1002/170000)*(F1002/110))*1000/2)*(H1002/1.0))/(1000/4+((S1002/1250))*1000/2+((E1002/170000)*(F1002/110)*(S1002/1250))*1000)*(H1002/1.0)*6000)/J1002,-1),"")</f>
        <v/>
      </c>
    </row>
    <row r="1003">
      <c r="B1003" s="7" t="inlineStr">
        <is>
          <t xml:space="preserve">  ↳ RA2FlakTrackAAGun</t>
        </is>
      </c>
      <c r="C1003" s="7" t="inlineStr">
        <is>
          <t>Armament@AA</t>
        </is>
      </c>
      <c r="L1003" s="6" t="n">
        <v>8000</v>
      </c>
      <c r="M1003" s="6" t="n">
        <v>25</v>
      </c>
      <c r="N1003" s="6" t="n">
        <v>1</v>
      </c>
      <c r="O1003" s="6" t="n"/>
      <c r="P1003" s="6" t="n">
        <v>8292</v>
      </c>
      <c r="Q1003" s="6" t="n">
        <v>1</v>
      </c>
      <c r="R1003">
        <f>M1003+IF(N1003&gt;1,N(O1003)*(N1003-1),0)</f>
        <v/>
      </c>
      <c r="S1003">
        <f>IFERROR(L1003*MAX(N1003,1)/R1003*IF(ISBLANK(K1002),1,K1002),0)</f>
        <v/>
      </c>
      <c r="AB1003" s="7" t="inlineStr">
        <is>
          <t>^Warhead_Flak_Medium</t>
        </is>
      </c>
    </row>
    <row r="1004">
      <c r="B1004" s="7" t="inlineStr">
        <is>
          <t xml:space="preserve">  ↳ RA2FlakTrackGun</t>
        </is>
      </c>
      <c r="C1004" s="7" t="inlineStr">
        <is>
          <t>Armament@AG</t>
        </is>
      </c>
      <c r="L1004" s="6" t="n">
        <v>8000</v>
      </c>
      <c r="M1004" s="6" t="n">
        <v>18</v>
      </c>
      <c r="N1004" s="6" t="n">
        <v>1</v>
      </c>
      <c r="O1004" s="6" t="n"/>
      <c r="P1004" s="6" t="n">
        <v>5528</v>
      </c>
      <c r="Q1004" s="6" t="n">
        <v>1</v>
      </c>
      <c r="R1004">
        <f>M1004+IF(N1004&gt;1,N(O1004)*(N1004-1),0)</f>
        <v/>
      </c>
      <c r="S1004">
        <f>IFERROR(L1004*MAX(N1004,1)/R1004*IF(ISBLANK(K1002),1,K1002),0)</f>
        <v/>
      </c>
      <c r="AB1004" s="7" t="inlineStr">
        <is>
          <t>^Warhead_Flak_Medium</t>
        </is>
      </c>
    </row>
    <row r="1005">
      <c r="B1005" s="7" t="inlineStr">
        <is>
          <t xml:space="preserve">  ↳ RA2FlakTrackAAGun_elite</t>
        </is>
      </c>
      <c r="C1005" s="7" t="inlineStr">
        <is>
          <t>Armament@AAE</t>
        </is>
      </c>
      <c r="L1005" s="6" t="n">
        <v>8000</v>
      </c>
      <c r="M1005" s="6" t="n">
        <v>25</v>
      </c>
      <c r="N1005" s="6" t="n">
        <v>2</v>
      </c>
      <c r="O1005" s="6" t="n">
        <v>3</v>
      </c>
      <c r="P1005" s="6" t="n">
        <v>9292</v>
      </c>
      <c r="Q1005" s="6" t="n">
        <v>1</v>
      </c>
      <c r="R1005">
        <f>M1005+IF(N1005&gt;1,N(O1005)*(N1005-1),0)</f>
        <v/>
      </c>
      <c r="S1005">
        <f>IFERROR(L1005*MAX(N1005,1)/R1005*IF(ISBLANK(K1002),1,K1002),0)</f>
        <v/>
      </c>
      <c r="AB1005" s="7" t="inlineStr">
        <is>
          <t>^Warhead_Flak_Medium</t>
        </is>
      </c>
    </row>
    <row r="1006">
      <c r="B1006" s="7" t="inlineStr">
        <is>
          <t xml:space="preserve">  ↳ RA2FlakTrackGun_elite</t>
        </is>
      </c>
      <c r="C1006" s="7" t="inlineStr">
        <is>
          <t>Armament@AGE</t>
        </is>
      </c>
      <c r="L1006" s="6" t="n">
        <v>8000</v>
      </c>
      <c r="M1006" s="6" t="n">
        <v>18</v>
      </c>
      <c r="N1006" s="6" t="n">
        <v>2</v>
      </c>
      <c r="O1006" s="6" t="n">
        <v>3</v>
      </c>
      <c r="P1006" s="6" t="n">
        <v>6528</v>
      </c>
      <c r="Q1006" s="6" t="n">
        <v>1</v>
      </c>
      <c r="R1006">
        <f>M1006+IF(N1006&gt;1,N(O1006)*(N1006-1),0)</f>
        <v/>
      </c>
      <c r="S1006">
        <f>IFERROR(L1006*MAX(N1006,1)/R1006*IF(ISBLANK(K1002),1,K1002),0)</f>
        <v/>
      </c>
      <c r="AB1006" s="7" t="inlineStr">
        <is>
          <t>^Warhead_Flak_Medium</t>
        </is>
      </c>
    </row>
    <row r="1007">
      <c r="A1007" t="inlineStr">
        <is>
          <t>redalert2</t>
        </is>
      </c>
      <c r="B1007" t="inlineStr">
        <is>
          <t>yuri_gatlingtank</t>
        </is>
      </c>
      <c r="C1007" t="inlineStr">
        <is>
          <t>Yuri Gatling Tank</t>
        </is>
      </c>
      <c r="D1007" s="6" t="inlineStr">
        <is>
          <t>AntiAirVehicle</t>
        </is>
      </c>
      <c r="E1007" s="6" t="n">
        <v>45000</v>
      </c>
      <c r="F1007" s="6" t="n">
        <v>90</v>
      </c>
      <c r="G1007" t="inlineStr">
        <is>
          <t>Medium</t>
        </is>
      </c>
      <c r="H1007" s="6" t="n">
        <v>1</v>
      </c>
      <c r="I1007" s="6" t="n">
        <v>1</v>
      </c>
      <c r="J1007" s="6" t="n">
        <v>1.25</v>
      </c>
      <c r="K1007" s="6" t="n">
        <v>0.0075</v>
      </c>
      <c r="P1007">
        <f>MAX(P1008,P1009,P1010,P1011,P1012,P1013)</f>
        <v/>
      </c>
      <c r="S1007">
        <f>S1008+S1009+S1010+S1011+S1012+S1013</f>
        <v/>
      </c>
      <c r="T1007">
        <f>(E1007/100000+F1007/100+(P1007/1000)*J1007/5+S1007/200)*200*I1007*H1007</f>
        <v/>
      </c>
      <c r="U1007">
        <f>((E1007*F1007/25000)+((P1007/1000)*J1007*S1007/2.5))*I1007*H1007</f>
        <v/>
      </c>
      <c r="V1007">
        <f>(E1007*F1007*(P1007/1000)*J1007*S1007*I1007*H1007)/12500000</f>
        <v/>
      </c>
      <c r="W1007">
        <f>(((E1007/170000)+(F1007/110)+(S1007/1250)+((P1007/6000)*J1007))*1000/4+(((E1007/170000)*(F1007/110))+(((P1007/6000)*J1007)*(S1007/1250)))*1000/2+((E1007/170000)*(F1007/110)*((P1007/6000)*J1007)*(S1007/1250))*1000)*(H1007/1.0)/3</f>
        <v/>
      </c>
      <c r="X1007" s="6" t="n">
        <v>1100</v>
      </c>
      <c r="Y1007">
        <f>IFERROR(W1007-X1007,"")</f>
        <v/>
      </c>
      <c r="Z1007">
        <f>IFERROR(ABS(Y1007)/MAX(X1007,1),"")</f>
        <v/>
      </c>
      <c r="AA1007">
        <f>IFERROR(ROUND(((3*X1007-(((E1007/170000)+(F1007/110)+(S1007/1250))*1000/4+((E1007/170000)*(F1007/110))*1000/2)*(H1007/1.0))/(1000/4+((S1007/1250))*1000/2+((E1007/170000)*(F1007/110)*(S1007/1250))*1000)*(H1007/1.0)*6000)/J1007,-1),"")</f>
        <v/>
      </c>
    </row>
    <row r="1008">
      <c r="B1008" s="7" t="inlineStr">
        <is>
          <t xml:space="preserve">  ↳ RA2GattlingMG1</t>
        </is>
      </c>
      <c r="C1008" s="7" t="inlineStr">
        <is>
          <t>Armament@1</t>
        </is>
      </c>
      <c r="L1008" s="6" t="n">
        <v>4000</v>
      </c>
      <c r="M1008" s="6" t="n">
        <v>6</v>
      </c>
      <c r="N1008" s="6" t="n">
        <v>1</v>
      </c>
      <c r="O1008" s="6" t="n"/>
      <c r="P1008" s="6" t="n">
        <v>5000</v>
      </c>
      <c r="Q1008" s="6" t="n">
        <v>0.875</v>
      </c>
      <c r="R1008">
        <f>M1008+IF(N1008&gt;1,N(O1008)*(N1008-1),0)</f>
        <v/>
      </c>
      <c r="S1008">
        <f>IFERROR(L1008*MAX(N1008,1)/R1008*IF(ISBLANK(K1007),1,K1007),0)</f>
        <v/>
      </c>
      <c r="AB1008" s="7" t="inlineStr">
        <is>
          <t>^Warhead_Bullet_Light, ^Warhead_Bullet_Medium</t>
        </is>
      </c>
    </row>
    <row r="1009">
      <c r="B1009" s="7" t="inlineStr">
        <is>
          <t xml:space="preserve">  ↳ RA2GattlingMG2</t>
        </is>
      </c>
      <c r="C1009" s="7" t="inlineStr">
        <is>
          <t>Armament@2</t>
        </is>
      </c>
      <c r="L1009" s="6" t="n">
        <v>4000</v>
      </c>
      <c r="M1009" s="6" t="n">
        <v>4</v>
      </c>
      <c r="N1009" s="6" t="n">
        <v>1</v>
      </c>
      <c r="O1009" s="6" t="n"/>
      <c r="P1009" s="6" t="n">
        <v>5250</v>
      </c>
      <c r="Q1009" s="6" t="n">
        <v>0.875</v>
      </c>
      <c r="R1009">
        <f>M1009+IF(N1009&gt;1,N(O1009)*(N1009-1),0)</f>
        <v/>
      </c>
      <c r="S1009">
        <f>IFERROR(L1009*MAX(N1009,1)/R1009*IF(ISBLANK(K1007),1,K1007),0)</f>
        <v/>
      </c>
      <c r="AB1009" s="7" t="inlineStr">
        <is>
          <t>^Warhead_Bullet_Light, ^Warhead_Bullet_Medium</t>
        </is>
      </c>
    </row>
    <row r="1010">
      <c r="B1010" s="7" t="inlineStr">
        <is>
          <t xml:space="preserve">  ↳ RA2GattlingMG3</t>
        </is>
      </c>
      <c r="C1010" s="7" t="inlineStr">
        <is>
          <t>Armament@3</t>
        </is>
      </c>
      <c r="L1010" s="6" t="n">
        <v>4000</v>
      </c>
      <c r="M1010" s="6" t="n">
        <v>2</v>
      </c>
      <c r="N1010" s="6" t="n">
        <v>1</v>
      </c>
      <c r="O1010" s="6" t="n"/>
      <c r="P1010" s="6" t="n">
        <v>5500</v>
      </c>
      <c r="Q1010" s="6" t="n">
        <v>0.875</v>
      </c>
      <c r="R1010">
        <f>M1010+IF(N1010&gt;1,N(O1010)*(N1010-1),0)</f>
        <v/>
      </c>
      <c r="S1010">
        <f>IFERROR(L1010*MAX(N1010,1)/R1010*IF(ISBLANK(K1007),1,K1007),0)</f>
        <v/>
      </c>
      <c r="AB1010" s="7" t="inlineStr">
        <is>
          <t>^Warhead_Bullet_Light, ^Warhead_Bullet_Medium</t>
        </is>
      </c>
    </row>
    <row r="1011">
      <c r="B1011" s="7" t="inlineStr">
        <is>
          <t xml:space="preserve">  ↳ RA2GattlingMG1_AA</t>
        </is>
      </c>
      <c r="C1011" s="7" t="inlineStr">
        <is>
          <t>Armament@1AA</t>
        </is>
      </c>
      <c r="L1011" s="6" t="n">
        <v>8000</v>
      </c>
      <c r="M1011" s="6" t="n">
        <v>6</v>
      </c>
      <c r="N1011" s="6" t="n">
        <v>1</v>
      </c>
      <c r="O1011" s="6" t="n"/>
      <c r="P1011" s="6" t="n">
        <v>6750</v>
      </c>
      <c r="Q1011" s="6" t="n">
        <v>0.875</v>
      </c>
      <c r="R1011">
        <f>M1011+IF(N1011&gt;1,N(O1011)*(N1011-1),0)</f>
        <v/>
      </c>
      <c r="S1011">
        <f>IFERROR(L1011*MAX(N1011,1)/R1011*IF(ISBLANK(K1007),1,K1007),0)</f>
        <v/>
      </c>
      <c r="AB1011" s="7" t="inlineStr">
        <is>
          <t>^Warhead_Bullet_Light, ^Warhead_Bullet_Medium</t>
        </is>
      </c>
    </row>
    <row r="1012">
      <c r="B1012" s="7" t="inlineStr">
        <is>
          <t xml:space="preserve">  ↳ RA2GattlingMG2_AA</t>
        </is>
      </c>
      <c r="C1012" s="7" t="inlineStr">
        <is>
          <t>Armament@2AA</t>
        </is>
      </c>
      <c r="L1012" s="6" t="n">
        <v>8000</v>
      </c>
      <c r="M1012" s="6" t="n">
        <v>4</v>
      </c>
      <c r="N1012" s="6" t="n">
        <v>1</v>
      </c>
      <c r="O1012" s="6" t="n"/>
      <c r="P1012" s="6" t="n">
        <v>7500</v>
      </c>
      <c r="Q1012" s="6" t="n">
        <v>0.875</v>
      </c>
      <c r="R1012">
        <f>M1012+IF(N1012&gt;1,N(O1012)*(N1012-1),0)</f>
        <v/>
      </c>
      <c r="S1012">
        <f>IFERROR(L1012*MAX(N1012,1)/R1012*IF(ISBLANK(K1007),1,K1007),0)</f>
        <v/>
      </c>
      <c r="AB1012" s="7" t="inlineStr">
        <is>
          <t>^Warhead_Bullet_Light, ^Warhead_Bullet_Medium</t>
        </is>
      </c>
    </row>
    <row r="1013">
      <c r="B1013" s="7" t="inlineStr">
        <is>
          <t xml:space="preserve">  ↳ RA2GattlingMG3_AA</t>
        </is>
      </c>
      <c r="C1013" s="7" t="inlineStr">
        <is>
          <t>Armament@3AA</t>
        </is>
      </c>
      <c r="L1013" s="6" t="n">
        <v>8000</v>
      </c>
      <c r="M1013" s="6" t="n">
        <v>2</v>
      </c>
      <c r="N1013" s="6" t="n">
        <v>1</v>
      </c>
      <c r="O1013" s="6" t="n"/>
      <c r="P1013" s="6" t="n">
        <v>8250</v>
      </c>
      <c r="Q1013" s="6" t="n">
        <v>0.875</v>
      </c>
      <c r="R1013">
        <f>M1013+IF(N1013&gt;1,N(O1013)*(N1013-1),0)</f>
        <v/>
      </c>
      <c r="S1013">
        <f>IFERROR(L1013*MAX(N1013,1)/R1013*IF(ISBLANK(K1007),1,K1007),0)</f>
        <v/>
      </c>
      <c r="AB1013" s="7" t="inlineStr">
        <is>
          <t>^Warhead_Bullet_Light, ^Warhead_Bullet_Medium</t>
        </is>
      </c>
    </row>
    <row r="1014">
      <c r="A1014" t="inlineStr">
        <is>
          <t>redalert2mod</t>
        </is>
      </c>
      <c r="B1014" t="inlineStr">
        <is>
          <t>asianalliance_pulverizer</t>
        </is>
      </c>
      <c r="C1014" t="inlineStr">
        <is>
          <t>Pulverizer</t>
        </is>
      </c>
      <c r="D1014" s="6" t="inlineStr">
        <is>
          <t>AntiAirVehicle</t>
        </is>
      </c>
      <c r="E1014" s="6" t="n">
        <v>85000</v>
      </c>
      <c r="F1014" s="6" t="n">
        <v>65</v>
      </c>
      <c r="G1014" t="inlineStr">
        <is>
          <t>Medium</t>
        </is>
      </c>
      <c r="H1014" s="6" t="n">
        <v>1</v>
      </c>
      <c r="I1014" s="6" t="n">
        <v>1</v>
      </c>
      <c r="J1014" s="6" t="n">
        <v>1.25</v>
      </c>
      <c r="K1014" s="6" t="n"/>
      <c r="P1014">
        <f>MAX(P1015,P1016)</f>
        <v/>
      </c>
      <c r="S1014">
        <f>S1015+S1016</f>
        <v/>
      </c>
      <c r="T1014">
        <f>(E1014/100000+F1014/100+(P1014/1000)*J1014/5+S1014/200)*200*I1014*H1014</f>
        <v/>
      </c>
      <c r="U1014">
        <f>((E1014*F1014/25000)+((P1014/1000)*J1014*S1014/2.5))*I1014*H1014</f>
        <v/>
      </c>
      <c r="V1014">
        <f>(E1014*F1014*(P1014/1000)*J1014*S1014*I1014*H1014)/12500000</f>
        <v/>
      </c>
      <c r="W1014">
        <f>(((E1014/170000)+(F1014/110)+(S1014/1250)+((P1014/6000)*J1014))*1000/4+(((E1014/170000)*(F1014/110))+(((P1014/6000)*J1014)*(S1014/1250)))*1000/2+((E1014/170000)*(F1014/110)*((P1014/6000)*J1014)*(S1014/1250))*1000)*(H1014/1.0)/3</f>
        <v/>
      </c>
      <c r="X1014" s="6" t="n">
        <v>1400</v>
      </c>
      <c r="Y1014">
        <f>IFERROR(W1014-X1014,"")</f>
        <v/>
      </c>
      <c r="Z1014">
        <f>IFERROR(ABS(Y1014)/MAX(X1014,1),"")</f>
        <v/>
      </c>
      <c r="AA1014">
        <f>IFERROR(ROUND(((3*X1014-(((E1014/170000)+(F1014/110)+(S1014/1250))*1000/4+((E1014/170000)*(F1014/110))*1000/2)*(H1014/1.0))/(1000/4+((S1014/1250))*1000/2+((E1014/170000)*(F1014/110)*(S1014/1250))*1000)*(H1014/1.0)*6000)/J1014,-1),"")</f>
        <v/>
      </c>
    </row>
    <row r="1015">
      <c r="B1015" s="7" t="inlineStr">
        <is>
          <t xml:space="preserve">  ↳ AsianPulverizerGatling</t>
        </is>
      </c>
      <c r="C1015" s="7" t="inlineStr">
        <is>
          <t>Armament@1</t>
        </is>
      </c>
      <c r="L1015" s="6" t="n">
        <v>6000</v>
      </c>
      <c r="M1015" s="6" t="n">
        <v>12</v>
      </c>
      <c r="N1015" s="6" t="n">
        <v>1</v>
      </c>
      <c r="O1015" s="6" t="n"/>
      <c r="P1015" s="6" t="n">
        <v>5517</v>
      </c>
      <c r="Q1015" s="6" t="n">
        <v>1</v>
      </c>
      <c r="R1015">
        <f>M1015+IF(N1015&gt;1,N(O1015)*(N1015-1),0)</f>
        <v/>
      </c>
      <c r="S1015">
        <f>IFERROR(L1015*MAX(N1015,1)/R1015*IF(ISBLANK(K1014),1,K1014),0)</f>
        <v/>
      </c>
      <c r="AB1015" s="7" t="inlineStr">
        <is>
          <t>^Warhead_Bullet_Light, ^Warhead_CannonHE_Heavy, ^Warhead_Bullet_Medium</t>
        </is>
      </c>
    </row>
    <row r="1016">
      <c r="B1016" s="7" t="inlineStr">
        <is>
          <t xml:space="preserve">  ↳ AsianPulverizerGatling</t>
        </is>
      </c>
      <c r="C1016" s="7" t="inlineStr">
        <is>
          <t>Armament@2</t>
        </is>
      </c>
      <c r="L1016" s="6" t="n">
        <v>6000</v>
      </c>
      <c r="M1016" s="6" t="n">
        <v>12</v>
      </c>
      <c r="N1016" s="6" t="n">
        <v>1</v>
      </c>
      <c r="O1016" s="6" t="n"/>
      <c r="P1016" s="6" t="n">
        <v>5517</v>
      </c>
      <c r="Q1016" s="6" t="n">
        <v>1</v>
      </c>
      <c r="R1016">
        <f>M1016+IF(N1016&gt;1,N(O1016)*(N1016-1),0)</f>
        <v/>
      </c>
      <c r="S1016">
        <f>IFERROR(L1016*MAX(N1016,1)/R1016*IF(ISBLANK(K1014),1,K1014),0)</f>
        <v/>
      </c>
      <c r="AB1016" s="7" t="inlineStr">
        <is>
          <t>^Warhead_Bullet_Light, ^Warhead_CannonHE_Heavy, ^Warhead_Bullet_Medium</t>
        </is>
      </c>
    </row>
    <row r="1017">
      <c r="A1017" t="inlineStr">
        <is>
          <t>redalert2mod</t>
        </is>
      </c>
      <c r="B1017" t="inlineStr">
        <is>
          <t>steelconsortium_barracuda</t>
        </is>
      </c>
      <c r="C1017" t="inlineStr">
        <is>
          <t>Barracuda</t>
        </is>
      </c>
      <c r="D1017" s="6" t="inlineStr">
        <is>
          <t>AntiAirVehicle</t>
        </is>
      </c>
      <c r="E1017" s="6" t="n">
        <v>40000</v>
      </c>
      <c r="F1017" s="6" t="n">
        <v>80</v>
      </c>
      <c r="G1017" t="inlineStr">
        <is>
          <t>Medium</t>
        </is>
      </c>
      <c r="H1017" s="6" t="n">
        <v>1</v>
      </c>
      <c r="I1017" s="6" t="n">
        <v>1</v>
      </c>
      <c r="J1017" s="6" t="n">
        <v>1</v>
      </c>
      <c r="K1017" s="6" t="n">
        <v>0.005</v>
      </c>
      <c r="P1017">
        <f>MAX(P1018,P1019,P1020,P1021,P1022,P1023,P1024,P1025)</f>
        <v/>
      </c>
      <c r="S1017">
        <f>S1018+S1019+S1020+S1021+S1022+S1023+S1024+S1025</f>
        <v/>
      </c>
      <c r="T1017">
        <f>(E1017/100000+F1017/100+(P1017/1000)*J1017/5+S1017/200)*200*I1017*H1017</f>
        <v/>
      </c>
      <c r="U1017">
        <f>((E1017*F1017/25000)+((P1017/1000)*J1017*S1017/2.5))*I1017*H1017</f>
        <v/>
      </c>
      <c r="V1017">
        <f>(E1017*F1017*(P1017/1000)*J1017*S1017*I1017*H1017)/12500000</f>
        <v/>
      </c>
      <c r="W1017">
        <f>(((E1017/170000)+(F1017/110)+(S1017/1250)+((P1017/6000)*J1017))*1000/4+(((E1017/170000)*(F1017/110))+(((P1017/6000)*J1017)*(S1017/1250)))*1000/2+((E1017/170000)*(F1017/110)*((P1017/6000)*J1017)*(S1017/1250))*1000)*(H1017/1.0)/3</f>
        <v/>
      </c>
      <c r="X1017" s="6" t="n">
        <v>1100</v>
      </c>
      <c r="Y1017">
        <f>IFERROR(W1017-X1017,"")</f>
        <v/>
      </c>
      <c r="Z1017">
        <f>IFERROR(ABS(Y1017)/MAX(X1017,1),"")</f>
        <v/>
      </c>
      <c r="AA1017">
        <f>IFERROR(ROUND(((3*X1017-(((E1017/170000)+(F1017/110)+(S1017/1250))*1000/4+((E1017/170000)*(F1017/110))*1000/2)*(H1017/1.0))/(1000/4+((S1017/1250))*1000/2+((E1017/170000)*(F1017/110)*(S1017/1250))*1000)*(H1017/1.0)*6000)/J1017,-1),"")</f>
        <v/>
      </c>
    </row>
    <row r="1018">
      <c r="B1018" s="7" t="inlineStr">
        <is>
          <t xml:space="preserve">  ↳ SteelMantaHunterCannons</t>
        </is>
      </c>
      <c r="C1018" s="7" t="inlineStr">
        <is>
          <t>Armament@AG1</t>
        </is>
      </c>
      <c r="L1018" s="6" t="n">
        <v>4000</v>
      </c>
      <c r="M1018" s="6" t="n">
        <v>8</v>
      </c>
      <c r="N1018" s="6" t="n">
        <v>1</v>
      </c>
      <c r="O1018" s="6" t="n"/>
      <c r="P1018" s="6" t="n">
        <v>8000</v>
      </c>
      <c r="Q1018" s="6" t="n">
        <v>1</v>
      </c>
      <c r="R1018">
        <f>M1018+IF(N1018&gt;1,N(O1018)*(N1018-1),0)</f>
        <v/>
      </c>
      <c r="S1018">
        <f>IFERROR(L1018*MAX(N1018,1)/R1018*IF(ISBLANK(K1017),1,K1017),0)</f>
        <v/>
      </c>
      <c r="AB1018" s="7" t="inlineStr">
        <is>
          <t>^Warhead_Flak_Medium, ^Warhead_Bullet_Medium</t>
        </is>
      </c>
    </row>
    <row r="1019">
      <c r="B1019" s="7" t="inlineStr">
        <is>
          <t xml:space="preserve">  ↳ SteelMantaHunterCannons</t>
        </is>
      </c>
      <c r="C1019" s="7" t="inlineStr">
        <is>
          <t>Armament@AG2</t>
        </is>
      </c>
      <c r="L1019" s="6" t="n">
        <v>4000</v>
      </c>
      <c r="M1019" s="6" t="n">
        <v>8</v>
      </c>
      <c r="N1019" s="6" t="n">
        <v>1</v>
      </c>
      <c r="O1019" s="6" t="n"/>
      <c r="P1019" s="6" t="n">
        <v>8000</v>
      </c>
      <c r="Q1019" s="6" t="n">
        <v>1</v>
      </c>
      <c r="R1019">
        <f>M1019+IF(N1019&gt;1,N(O1019)*(N1019-1),0)</f>
        <v/>
      </c>
      <c r="S1019">
        <f>IFERROR(L1019*MAX(N1019,1)/R1019*IF(ISBLANK(K1017),1,K1017),0)</f>
        <v/>
      </c>
      <c r="AB1019" s="7" t="inlineStr">
        <is>
          <t>^Warhead_Flak_Medium, ^Warhead_Bullet_Medium</t>
        </is>
      </c>
    </row>
    <row r="1020">
      <c r="B1020" s="7" t="inlineStr">
        <is>
          <t xml:space="preserve">  ↳ SteelMantaHunterCannons_AA</t>
        </is>
      </c>
      <c r="C1020" s="7" t="inlineStr">
        <is>
          <t>Armament@AA1</t>
        </is>
      </c>
      <c r="L1020" s="6" t="n">
        <v>6000</v>
      </c>
      <c r="M1020" s="6" t="n">
        <v>12</v>
      </c>
      <c r="N1020" s="6" t="n">
        <v>1</v>
      </c>
      <c r="O1020" s="6" t="n"/>
      <c r="P1020" s="6" t="n">
        <v>12000</v>
      </c>
      <c r="Q1020" s="6" t="n">
        <v>1</v>
      </c>
      <c r="R1020">
        <f>M1020+IF(N1020&gt;1,N(O1020)*(N1020-1),0)</f>
        <v/>
      </c>
      <c r="S1020">
        <f>IFERROR(L1020*MAX(N1020,1)/R1020*IF(ISBLANK(K1017),1,K1017),0)</f>
        <v/>
      </c>
      <c r="AB1020" s="7" t="inlineStr">
        <is>
          <t>^Warhead_MissileAP_Medium, ^Warhead_Flak_Medium, ^Warhead_Bullet_Medium</t>
        </is>
      </c>
    </row>
    <row r="1021">
      <c r="B1021" s="7" t="inlineStr">
        <is>
          <t xml:space="preserve">  ↳ SteelMantaHunterCannons_AA</t>
        </is>
      </c>
      <c r="C1021" s="7" t="inlineStr">
        <is>
          <t>Armament@AA2</t>
        </is>
      </c>
      <c r="L1021" s="6" t="n">
        <v>6000</v>
      </c>
      <c r="M1021" s="6" t="n">
        <v>12</v>
      </c>
      <c r="N1021" s="6" t="n">
        <v>1</v>
      </c>
      <c r="O1021" s="6" t="n"/>
      <c r="P1021" s="6" t="n">
        <v>12000</v>
      </c>
      <c r="Q1021" s="6" t="n">
        <v>1</v>
      </c>
      <c r="R1021">
        <f>M1021+IF(N1021&gt;1,N(O1021)*(N1021-1),0)</f>
        <v/>
      </c>
      <c r="S1021">
        <f>IFERROR(L1021*MAX(N1021,1)/R1021*IF(ISBLANK(K1017),1,K1017),0)</f>
        <v/>
      </c>
      <c r="AB1021" s="7" t="inlineStr">
        <is>
          <t>^Warhead_MissileAP_Medium, ^Warhead_Flak_Medium, ^Warhead_Bullet_Medium</t>
        </is>
      </c>
    </row>
    <row r="1022">
      <c r="B1022" s="7" t="inlineStr">
        <is>
          <t xml:space="preserve">  ↳ SteelMantaHunterCannonsResonance</t>
        </is>
      </c>
      <c r="C1022" s="7" t="inlineStr">
        <is>
          <t>Armament@UpgradeAG1</t>
        </is>
      </c>
      <c r="L1022" s="6" t="n">
        <v>4000</v>
      </c>
      <c r="M1022" s="6" t="n">
        <v>8</v>
      </c>
      <c r="N1022" s="6" t="n">
        <v>1</v>
      </c>
      <c r="O1022" s="6" t="n"/>
      <c r="P1022" s="6" t="n">
        <v>8000</v>
      </c>
      <c r="Q1022" s="6" t="n">
        <v>1</v>
      </c>
      <c r="R1022">
        <f>M1022+IF(N1022&gt;1,N(O1022)*(N1022-1),0)</f>
        <v/>
      </c>
      <c r="S1022">
        <f>IFERROR(L1022*MAX(N1022,1)/R1022*IF(ISBLANK(K1017),1,K1017),0)</f>
        <v/>
      </c>
      <c r="AB1022" s="7" t="inlineStr">
        <is>
          <t>^Warhead_Flak_Medium, ^Warhead_Bullet_Medium</t>
        </is>
      </c>
    </row>
    <row r="1023">
      <c r="B1023" s="7" t="inlineStr">
        <is>
          <t xml:space="preserve">  ↳ SteelMantaHunterCannonsResonance</t>
        </is>
      </c>
      <c r="C1023" s="7" t="inlineStr">
        <is>
          <t>Armament@UpgradeAG2</t>
        </is>
      </c>
      <c r="L1023" s="6" t="n">
        <v>4000</v>
      </c>
      <c r="M1023" s="6" t="n">
        <v>8</v>
      </c>
      <c r="N1023" s="6" t="n">
        <v>1</v>
      </c>
      <c r="O1023" s="6" t="n"/>
      <c r="P1023" s="6" t="n">
        <v>8000</v>
      </c>
      <c r="Q1023" s="6" t="n">
        <v>1</v>
      </c>
      <c r="R1023">
        <f>M1023+IF(N1023&gt;1,N(O1023)*(N1023-1),0)</f>
        <v/>
      </c>
      <c r="S1023">
        <f>IFERROR(L1023*MAX(N1023,1)/R1023*IF(ISBLANK(K1017),1,K1017),0)</f>
        <v/>
      </c>
      <c r="AB1023" s="7" t="inlineStr">
        <is>
          <t>^Warhead_Flak_Medium, ^Warhead_Bullet_Medium</t>
        </is>
      </c>
    </row>
    <row r="1024">
      <c r="B1024" s="7" t="inlineStr">
        <is>
          <t xml:space="preserve">  ↳ SteelMantaHunterCannonsAAResonance_AA</t>
        </is>
      </c>
      <c r="C1024" s="7" t="inlineStr">
        <is>
          <t>Armament@UpgradeAA1</t>
        </is>
      </c>
      <c r="L1024" s="6" t="n">
        <v>6000</v>
      </c>
      <c r="M1024" s="6" t="n">
        <v>12</v>
      </c>
      <c r="N1024" s="6" t="n">
        <v>1</v>
      </c>
      <c r="O1024" s="6" t="n"/>
      <c r="P1024" s="6" t="n">
        <v>12000</v>
      </c>
      <c r="Q1024" s="6" t="n">
        <v>1</v>
      </c>
      <c r="R1024">
        <f>M1024+IF(N1024&gt;1,N(O1024)*(N1024-1),0)</f>
        <v/>
      </c>
      <c r="S1024">
        <f>IFERROR(L1024*MAX(N1024,1)/R1024*IF(ISBLANK(K1017),1,K1017),0)</f>
        <v/>
      </c>
      <c r="AB1024" s="7" t="inlineStr">
        <is>
          <t>^Warhead_MissileAP_Medium, ^Warhead_Flak_Medium, ^Warhead_Bullet_Medium</t>
        </is>
      </c>
    </row>
    <row r="1025">
      <c r="B1025" s="7" t="inlineStr">
        <is>
          <t xml:space="preserve">  ↳ SteelMantaHunterCannonsAAResonance_AA</t>
        </is>
      </c>
      <c r="C1025" s="7" t="inlineStr">
        <is>
          <t>Armament@UpgradeAA2</t>
        </is>
      </c>
      <c r="L1025" s="6" t="n">
        <v>6000</v>
      </c>
      <c r="M1025" s="6" t="n">
        <v>12</v>
      </c>
      <c r="N1025" s="6" t="n">
        <v>1</v>
      </c>
      <c r="O1025" s="6" t="n"/>
      <c r="P1025" s="6" t="n">
        <v>12000</v>
      </c>
      <c r="Q1025" s="6" t="n">
        <v>1</v>
      </c>
      <c r="R1025">
        <f>M1025+IF(N1025&gt;1,N(O1025)*(N1025-1),0)</f>
        <v/>
      </c>
      <c r="S1025">
        <f>IFERROR(L1025*MAX(N1025,1)/R1025*IF(ISBLANK(K1017),1,K1017),0)</f>
        <v/>
      </c>
      <c r="AB1025" s="7" t="inlineStr">
        <is>
          <t>^Warhead_MissileAP_Medium, ^Warhead_Flak_Medium, ^Warhead_Bullet_Medium</t>
        </is>
      </c>
    </row>
    <row r="1026">
      <c r="A1026" t="inlineStr">
        <is>
          <t>redalert2mod</t>
        </is>
      </c>
      <c r="B1026" t="inlineStr">
        <is>
          <t>latinsyndicate_diablo</t>
        </is>
      </c>
      <c r="C1026" t="inlineStr">
        <is>
          <t>Diablo</t>
        </is>
      </c>
      <c r="D1026" s="6" t="inlineStr">
        <is>
          <t>AntiAirVehicle</t>
        </is>
      </c>
      <c r="E1026" s="6" t="n">
        <v>45000</v>
      </c>
      <c r="F1026" s="6" t="n">
        <v>125</v>
      </c>
      <c r="G1026" t="inlineStr">
        <is>
          <t>Medium</t>
        </is>
      </c>
      <c r="H1026" s="6" t="n">
        <v>1</v>
      </c>
      <c r="I1026" s="6" t="n">
        <v>1</v>
      </c>
      <c r="J1026" s="6" t="n">
        <v>1</v>
      </c>
      <c r="K1026" s="6" t="n"/>
      <c r="P1026">
        <f>MAX(P1027,P1028,P1029,P1030)</f>
        <v/>
      </c>
      <c r="S1026">
        <f>S1027+S1028+S1029+S1030</f>
        <v/>
      </c>
      <c r="T1026">
        <f>(E1026/100000+F1026/100+(P1026/1000)*J1026/5+S1026/200)*200*I1026*H1026</f>
        <v/>
      </c>
      <c r="U1026">
        <f>((E1026*F1026/25000)+((P1026/1000)*J1026*S1026/2.5))*I1026*H1026</f>
        <v/>
      </c>
      <c r="V1026">
        <f>(E1026*F1026*(P1026/1000)*J1026*S1026*I1026*H1026)/12500000</f>
        <v/>
      </c>
      <c r="W1026">
        <f>(((E1026/170000)+(F1026/110)+(S1026/1250)+((P1026/6000)*J1026))*1000/4+(((E1026/170000)*(F1026/110))+(((P1026/6000)*J1026)*(S1026/1250)))*1000/2+((E1026/170000)*(F1026/110)*((P1026/6000)*J1026)*(S1026/1250))*1000)*(H1026/1.0)/3</f>
        <v/>
      </c>
      <c r="X1026" s="6" t="n">
        <v>1200</v>
      </c>
      <c r="Y1026">
        <f>IFERROR(W1026-X1026,"")</f>
        <v/>
      </c>
      <c r="Z1026">
        <f>IFERROR(ABS(Y1026)/MAX(X1026,1),"")</f>
        <v/>
      </c>
      <c r="AA1026">
        <f>IFERROR(ROUND(((3*X1026-(((E1026/170000)+(F1026/110)+(S1026/1250))*1000/4+((E1026/170000)*(F1026/110))*1000/2)*(H1026/1.0))/(1000/4+((S1026/1250))*1000/2+((E1026/170000)*(F1026/110)*(S1026/1250))*1000)*(H1026/1.0)*6000)/J1026,-1),"")</f>
        <v/>
      </c>
    </row>
    <row r="1027">
      <c r="B1027" s="7" t="inlineStr">
        <is>
          <t xml:space="preserve">  ↳ DiabloCannon</t>
        </is>
      </c>
      <c r="C1027" s="7" t="inlineStr">
        <is>
          <t>Armament</t>
        </is>
      </c>
      <c r="L1027" s="6" t="n">
        <v>8000</v>
      </c>
      <c r="M1027" s="6" t="n">
        <v>16</v>
      </c>
      <c r="N1027" s="6" t="n">
        <v>1</v>
      </c>
      <c r="O1027" s="6" t="n"/>
      <c r="P1027" s="6" t="n">
        <v>6300</v>
      </c>
      <c r="Q1027" s="6" t="n">
        <v>1</v>
      </c>
      <c r="R1027">
        <f>M1027+IF(N1027&gt;1,N(O1027)*(N1027-1),0)</f>
        <v/>
      </c>
      <c r="S1027">
        <f>IFERROR(L1027*MAX(N1027,1)/R1027*IF(ISBLANK(K1026),1,K1026),0)</f>
        <v/>
      </c>
      <c r="AB1027" s="7" t="inlineStr">
        <is>
          <t>^Warhead_Flak_Medium</t>
        </is>
      </c>
    </row>
    <row r="1028">
      <c r="B1028" s="7" t="inlineStr">
        <is>
          <t xml:space="preserve">  ↳ DiabloCannon_elite</t>
        </is>
      </c>
      <c r="C1028" s="7" t="inlineStr">
        <is>
          <t>Armament@Elite</t>
        </is>
      </c>
      <c r="L1028" s="6" t="n">
        <v>8000</v>
      </c>
      <c r="M1028" s="6" t="n">
        <v>16</v>
      </c>
      <c r="N1028" s="6" t="n">
        <v>2</v>
      </c>
      <c r="O1028" s="6" t="n">
        <v>3</v>
      </c>
      <c r="P1028" s="6" t="n">
        <v>7300</v>
      </c>
      <c r="Q1028" s="6" t="n">
        <v>1</v>
      </c>
      <c r="R1028">
        <f>M1028+IF(N1028&gt;1,N(O1028)*(N1028-1),0)</f>
        <v/>
      </c>
      <c r="S1028">
        <f>IFERROR(L1028*MAX(N1028,1)/R1028*IF(ISBLANK(K1026),1,K1026),0)</f>
        <v/>
      </c>
      <c r="AB1028" s="7" t="inlineStr">
        <is>
          <t>^Warhead_Flak_Medium</t>
        </is>
      </c>
    </row>
    <row r="1029">
      <c r="B1029" s="7" t="inlineStr">
        <is>
          <t xml:space="preserve">  ↳ DiabloCannon_AA</t>
        </is>
      </c>
      <c r="C1029" s="7" t="inlineStr">
        <is>
          <t>Armament@AA</t>
        </is>
      </c>
      <c r="L1029" s="6" t="n">
        <v>8000</v>
      </c>
      <c r="M1029" s="6" t="n">
        <v>16</v>
      </c>
      <c r="N1029" s="6" t="n">
        <v>1</v>
      </c>
      <c r="O1029" s="6" t="n"/>
      <c r="P1029" s="6" t="n">
        <v>9450</v>
      </c>
      <c r="Q1029" s="6" t="n">
        <v>1</v>
      </c>
      <c r="R1029">
        <f>M1029+IF(N1029&gt;1,N(O1029)*(N1029-1),0)</f>
        <v/>
      </c>
      <c r="S1029">
        <f>IFERROR(L1029*MAX(N1029,1)/R1029*IF(ISBLANK(K1026),1,K1026),0)</f>
        <v/>
      </c>
      <c r="AB1029" s="7" t="inlineStr">
        <is>
          <t>^Warhead_Flak_Medium</t>
        </is>
      </c>
    </row>
    <row r="1030">
      <c r="B1030" s="7" t="inlineStr">
        <is>
          <t xml:space="preserve">  ↳ DiabloCannonAAE_AA</t>
        </is>
      </c>
      <c r="C1030" s="7" t="inlineStr">
        <is>
          <t>Armament@AAE</t>
        </is>
      </c>
      <c r="L1030" s="6" t="n">
        <v>8000</v>
      </c>
      <c r="M1030" s="6" t="n">
        <v>16</v>
      </c>
      <c r="N1030" s="6" t="n">
        <v>2</v>
      </c>
      <c r="O1030" s="6" t="n">
        <v>3</v>
      </c>
      <c r="P1030" s="6" t="n">
        <v>10450</v>
      </c>
      <c r="Q1030" s="6" t="n">
        <v>1</v>
      </c>
      <c r="R1030">
        <f>M1030+IF(N1030&gt;1,N(O1030)*(N1030-1),0)</f>
        <v/>
      </c>
      <c r="S1030">
        <f>IFERROR(L1030*MAX(N1030,1)/R1030*IF(ISBLANK(K1026),1,K1026),0)</f>
        <v/>
      </c>
      <c r="AB1030" s="7" t="inlineStr">
        <is>
          <t>^Warhead_Flak_Medium</t>
        </is>
      </c>
    </row>
    <row r="1031">
      <c r="A1031" t="inlineStr">
        <is>
          <t>redalert2mod</t>
        </is>
      </c>
      <c r="B1031" t="inlineStr">
        <is>
          <t>naxis_kubelwagen</t>
        </is>
      </c>
      <c r="C1031" t="inlineStr">
        <is>
          <t>Kübelwagen</t>
        </is>
      </c>
      <c r="D1031" s="6" t="inlineStr">
        <is>
          <t>AntiAirVehicle</t>
        </is>
      </c>
      <c r="E1031" s="6" t="n">
        <v>50000</v>
      </c>
      <c r="F1031" s="6" t="n">
        <v>115</v>
      </c>
      <c r="G1031" t="inlineStr">
        <is>
          <t>Medium</t>
        </is>
      </c>
      <c r="H1031" s="6" t="n">
        <v>0.8639</v>
      </c>
      <c r="I1031" s="6" t="n">
        <v>1</v>
      </c>
      <c r="J1031" s="6" t="n">
        <v>1</v>
      </c>
      <c r="K1031" s="6" t="n"/>
      <c r="P1031">
        <f>MAX(P1032)</f>
        <v/>
      </c>
      <c r="S1031">
        <f>S1032</f>
        <v/>
      </c>
      <c r="T1031">
        <f>(E1031/100000+F1031/100+(P1031/1000)*J1031/5+S1031/200)*200*I1031*H1031</f>
        <v/>
      </c>
      <c r="U1031">
        <f>((E1031*F1031/25000)+((P1031/1000)*J1031*S1031/2.5))*I1031*H1031</f>
        <v/>
      </c>
      <c r="V1031">
        <f>(E1031*F1031*(P1031/1000)*J1031*S1031*I1031*H1031)/12500000</f>
        <v/>
      </c>
      <c r="W1031">
        <f>(((E1031/170000)+(F1031/110)+(S1031/1250)+((P1031/6000)*J1031))*1000/4+(((E1031/170000)*(F1031/110))+(((P1031/6000)*J1031)*(S1031/1250)))*1000/2+((E1031/170000)*(F1031/110)*((P1031/6000)*J1031)*(S1031/1250))*1000)*(H1031/1.0)/3</f>
        <v/>
      </c>
      <c r="X1031" s="6" t="n">
        <v>850</v>
      </c>
      <c r="Y1031">
        <f>IFERROR(W1031-X1031,"")</f>
        <v/>
      </c>
      <c r="Z1031">
        <f>IFERROR(ABS(Y1031)/MAX(X1031,1),"")</f>
        <v/>
      </c>
      <c r="AA1031">
        <f>IFERROR(ROUND(((3*X1031-(((E1031/170000)+(F1031/110)+(S1031/1250))*1000/4+((E1031/170000)*(F1031/110))*1000/2)*(H1031/1.0))/(1000/4+((S1031/1250))*1000/2+((E1031/170000)*(F1031/110)*(S1031/1250))*1000)*(H1031/1.0)*6000)/J1031,-1),"")</f>
        <v/>
      </c>
    </row>
    <row r="1032">
      <c r="B1032" s="7" t="inlineStr">
        <is>
          <t xml:space="preserve">  ↳ NaxiWW2KübelwagenMachinegun</t>
        </is>
      </c>
      <c r="C1032" s="7" t="inlineStr">
        <is>
          <t>Armament@AG</t>
        </is>
      </c>
      <c r="L1032" s="6" t="n">
        <v>4000</v>
      </c>
      <c r="M1032" s="6" t="n">
        <v>80</v>
      </c>
      <c r="N1032" s="6" t="n">
        <v>6</v>
      </c>
      <c r="O1032" s="6" t="n">
        <v>4</v>
      </c>
      <c r="P1032" s="6" t="n">
        <v>5757</v>
      </c>
      <c r="Q1032" s="6" t="n">
        <v>0.875</v>
      </c>
      <c r="R1032">
        <f>M1032+IF(N1032&gt;1,N(O1032)*(N1032-1),0)</f>
        <v/>
      </c>
      <c r="S1032">
        <f>IFERROR(L1032*MAX(N1032,1)/R1032*IF(ISBLANK(K1031),1,K1031),0)</f>
        <v/>
      </c>
      <c r="AB1032" s="7" t="inlineStr">
        <is>
          <t>^Warhead_Bullet_Light, ^Warhead_Bullet_Medium</t>
        </is>
      </c>
    </row>
    <row r="1033">
      <c r="A1033" t="inlineStr">
        <is>
          <t>redalert2mod</t>
        </is>
      </c>
      <c r="B1033" t="inlineStr">
        <is>
          <t>wirbelwind.nax</t>
        </is>
      </c>
      <c r="C1033" t="inlineStr">
        <is>
          <t>Wirbelwind</t>
        </is>
      </c>
      <c r="D1033" s="6" t="inlineStr">
        <is>
          <t>AntiAirVehicle</t>
        </is>
      </c>
      <c r="E1033" s="6" t="n">
        <v>87500</v>
      </c>
      <c r="F1033" s="6" t="n">
        <v>85</v>
      </c>
      <c r="G1033" t="inlineStr">
        <is>
          <t>Medium</t>
        </is>
      </c>
      <c r="H1033" s="6" t="n">
        <v>1</v>
      </c>
      <c r="I1033" s="6" t="n">
        <v>1</v>
      </c>
      <c r="J1033" s="6" t="n">
        <v>1</v>
      </c>
      <c r="K1033" s="6" t="n"/>
      <c r="P1033">
        <f>MAX(P1034,P1035,P1036,P1037)</f>
        <v/>
      </c>
      <c r="S1033">
        <f>S1034+S1035+S1036+S1037</f>
        <v/>
      </c>
      <c r="T1033">
        <f>(E1033/100000+F1033/100+(P1033/1000)*J1033/5+S1033/200)*200*I1033*H1033</f>
        <v/>
      </c>
      <c r="U1033">
        <f>((E1033*F1033/25000)+((P1033/1000)*J1033*S1033/2.5))*I1033*H1033</f>
        <v/>
      </c>
      <c r="V1033">
        <f>(E1033*F1033*(P1033/1000)*J1033*S1033*I1033*H1033)/12500000</f>
        <v/>
      </c>
      <c r="W1033">
        <f>(((E1033/170000)+(F1033/110)+(S1033/1250)+((P1033/6000)*J1033))*1000/4+(((E1033/170000)*(F1033/110))+(((P1033/6000)*J1033)*(S1033/1250)))*1000/2+((E1033/170000)*(F1033/110)*((P1033/6000)*J1033)*(S1033/1250))*1000)*(H1033/1.0)/3</f>
        <v/>
      </c>
      <c r="X1033" s="6" t="n">
        <v>1800</v>
      </c>
      <c r="Y1033">
        <f>IFERROR(W1033-X1033,"")</f>
        <v/>
      </c>
      <c r="Z1033">
        <f>IFERROR(ABS(Y1033)/MAX(X1033,1),"")</f>
        <v/>
      </c>
      <c r="AA1033">
        <f>IFERROR(ROUND(((3*X1033-(((E1033/170000)+(F1033/110)+(S1033/1250))*1000/4+((E1033/170000)*(F1033/110))*1000/2)*(H1033/1.0))/(1000/4+((S1033/1250))*1000/2+((E1033/170000)*(F1033/110)*(S1033/1250))*1000)*(H1033/1.0)*6000)/J1033,-1),"")</f>
        <v/>
      </c>
    </row>
    <row r="1034">
      <c r="B1034" s="7" t="inlineStr">
        <is>
          <t xml:space="preserve">  ↳ NaxQuadCannon</t>
        </is>
      </c>
      <c r="C1034" s="7" t="inlineStr">
        <is>
          <t>Armament</t>
        </is>
      </c>
      <c r="L1034" s="6" t="n">
        <v>7000</v>
      </c>
      <c r="M1034" s="6" t="n">
        <v>47</v>
      </c>
      <c r="N1034" s="6" t="n">
        <v>6</v>
      </c>
      <c r="O1034" s="6" t="n">
        <v>4</v>
      </c>
      <c r="P1034" s="6" t="n">
        <v>5368</v>
      </c>
      <c r="Q1034" s="6" t="n">
        <v>1</v>
      </c>
      <c r="R1034">
        <f>M1034+IF(N1034&gt;1,N(O1034)*(N1034-1),0)</f>
        <v/>
      </c>
      <c r="S1034">
        <f>IFERROR(L1034*MAX(N1034,1)/R1034*IF(ISBLANK(K1033),1,K1033),0)</f>
        <v/>
      </c>
      <c r="AB1034" s="7" t="inlineStr">
        <is>
          <t>^Warhead_Flak_Medium</t>
        </is>
      </c>
    </row>
    <row r="1035">
      <c r="B1035" s="7" t="inlineStr">
        <is>
          <t xml:space="preserve">  ↳ NaxQuadCannon_elite</t>
        </is>
      </c>
      <c r="C1035" s="7" t="inlineStr">
        <is>
          <t>Armament@elite</t>
        </is>
      </c>
      <c r="L1035" s="6" t="n">
        <v>7000</v>
      </c>
      <c r="M1035" s="6" t="n">
        <v>47</v>
      </c>
      <c r="N1035" s="6" t="n">
        <v>8</v>
      </c>
      <c r="O1035" s="6" t="n">
        <v>3</v>
      </c>
      <c r="P1035" s="6" t="n">
        <v>6368</v>
      </c>
      <c r="Q1035" s="6" t="n">
        <v>1</v>
      </c>
      <c r="R1035">
        <f>M1035+IF(N1035&gt;1,N(O1035)*(N1035-1),0)</f>
        <v/>
      </c>
      <c r="S1035">
        <f>IFERROR(L1035*MAX(N1035,1)/R1035*IF(ISBLANK(K1033),1,K1033),0)</f>
        <v/>
      </c>
      <c r="AB1035" s="7" t="inlineStr">
        <is>
          <t>^Warhead_Flak_Medium</t>
        </is>
      </c>
    </row>
    <row r="1036">
      <c r="B1036" s="7" t="inlineStr">
        <is>
          <t xml:space="preserve">  ↳ NaxQuadCannon_AA</t>
        </is>
      </c>
      <c r="C1036" s="7" t="inlineStr">
        <is>
          <t>Armament@AA</t>
        </is>
      </c>
      <c r="L1036" s="6" t="n">
        <v>7000</v>
      </c>
      <c r="M1036" s="6" t="n">
        <v>47</v>
      </c>
      <c r="N1036" s="6" t="n">
        <v>6</v>
      </c>
      <c r="O1036" s="6" t="n">
        <v>4</v>
      </c>
      <c r="P1036" s="6" t="n">
        <v>8052</v>
      </c>
      <c r="Q1036" s="6" t="n">
        <v>1</v>
      </c>
      <c r="R1036">
        <f>M1036+IF(N1036&gt;1,N(O1036)*(N1036-1),0)</f>
        <v/>
      </c>
      <c r="S1036">
        <f>IFERROR(L1036*MAX(N1036,1)/R1036*IF(ISBLANK(K1033),1,K1033),0)</f>
        <v/>
      </c>
      <c r="AB1036" s="7" t="inlineStr">
        <is>
          <t>^Warhead_Flak_Medium</t>
        </is>
      </c>
    </row>
    <row r="1037">
      <c r="B1037" s="7" t="inlineStr">
        <is>
          <t xml:space="preserve">  ↳ NaxQuadCannon_AA_elite</t>
        </is>
      </c>
      <c r="C1037" s="7" t="inlineStr">
        <is>
          <t>Armament@eliteAA</t>
        </is>
      </c>
      <c r="L1037" s="6" t="n">
        <v>7000</v>
      </c>
      <c r="M1037" s="6" t="n">
        <v>47</v>
      </c>
      <c r="N1037" s="6" t="n">
        <v>8</v>
      </c>
      <c r="O1037" s="6" t="n">
        <v>3</v>
      </c>
      <c r="P1037" s="6" t="n">
        <v>9052</v>
      </c>
      <c r="Q1037" s="6" t="n">
        <v>1</v>
      </c>
      <c r="R1037">
        <f>M1037+IF(N1037&gt;1,N(O1037)*(N1037-1),0)</f>
        <v/>
      </c>
      <c r="S1037">
        <f>IFERROR(L1037*MAX(N1037,1)/R1037*IF(ISBLANK(K1033),1,K1033),0)</f>
        <v/>
      </c>
      <c r="AB1037" s="7" t="inlineStr">
        <is>
          <t>^Warhead_Flak_Medium</t>
        </is>
      </c>
    </row>
    <row r="1038">
      <c r="A1038" t="inlineStr">
        <is>
          <t>redalert2mod</t>
        </is>
      </c>
      <c r="B1038" t="inlineStr">
        <is>
          <t>tkm_flakbus</t>
        </is>
      </c>
      <c r="C1038" t="inlineStr">
        <is>
          <t>Flak Bus</t>
        </is>
      </c>
      <c r="D1038" s="6" t="inlineStr">
        <is>
          <t>AntiAirVehicle</t>
        </is>
      </c>
      <c r="E1038" s="6" t="n">
        <v>120000</v>
      </c>
      <c r="F1038" s="6" t="n">
        <v>60</v>
      </c>
      <c r="G1038" t="inlineStr">
        <is>
          <t>Medium</t>
        </is>
      </c>
      <c r="H1038" s="6" t="n">
        <v>0.4955</v>
      </c>
      <c r="I1038" s="6" t="n">
        <v>1</v>
      </c>
      <c r="J1038" s="6" t="n">
        <v>1</v>
      </c>
      <c r="K1038" s="6" t="n"/>
      <c r="X1038" s="6" t="n">
        <v>1800</v>
      </c>
    </row>
    <row r="1039">
      <c r="A1039" s="4" t="inlineStr">
        <is>
          <t>MissileVehicle</t>
        </is>
      </c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5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</row>
    <row r="1040">
      <c r="A1040" t="inlineStr">
        <is>
          <t>tiberiandawn</t>
        </is>
      </c>
      <c r="B1040" t="inlineStr">
        <is>
          <t>td_gdi_mlrs</t>
        </is>
      </c>
      <c r="C1040" t="inlineStr">
        <is>
          <t>GDI MLRS</t>
        </is>
      </c>
      <c r="D1040" s="6" t="inlineStr">
        <is>
          <t>MissileVehicle</t>
        </is>
      </c>
      <c r="E1040" s="6" t="n">
        <v>25000</v>
      </c>
      <c r="F1040" s="6" t="n">
        <v>80</v>
      </c>
      <c r="G1040" t="inlineStr">
        <is>
          <t>Light</t>
        </is>
      </c>
      <c r="H1040" s="6" t="n">
        <v>1</v>
      </c>
      <c r="I1040" s="6" t="n">
        <v>1</v>
      </c>
      <c r="J1040" s="6" t="n">
        <v>1</v>
      </c>
      <c r="K1040" s="6" t="n"/>
      <c r="P1040">
        <f>MAX(P1041,P1042)</f>
        <v/>
      </c>
      <c r="S1040">
        <f>S1041+S1042</f>
        <v/>
      </c>
      <c r="T1040">
        <f>(E1040/100000+F1040/100+(P1040/1000)*J1040/5+S1040/200)*200*I1040*H1040</f>
        <v/>
      </c>
      <c r="U1040">
        <f>((E1040*F1040/25000)+((P1040/1000)*J1040*S1040/2.5))*I1040*H1040</f>
        <v/>
      </c>
      <c r="V1040">
        <f>(E1040*F1040*(P1040/1000)*J1040*S1040*I1040*H1040)/12500000</f>
        <v/>
      </c>
      <c r="W1040">
        <f>(((E1040/160000)+(F1040/100)+(S1040/1200)+((P1040/8000)*J1040))*1200/4+(((E1040/160000)*(F1040/100))+(((P1040/8000)*J1040)*(S1040/1200)))*1200/2+((E1040/160000)*(F1040/100)*((P1040/8000)*J1040)*(S1040/1200))*1200)*(H1040/1.0)/3</f>
        <v/>
      </c>
      <c r="X1040" s="6" t="n">
        <v>1000</v>
      </c>
      <c r="Y1040">
        <f>IFERROR(W1040-X1040,"")</f>
        <v/>
      </c>
      <c r="Z1040">
        <f>IFERROR(ABS(Y1040)/MAX(X1040,1),"")</f>
        <v/>
      </c>
      <c r="AA1040">
        <f>IFERROR(ROUND(((3*X1040-(((E1040/160000)+(F1040/100)+(S1040/1200))*1200/4+((E1040/160000)*(F1040/100))*1200/2)*(H1040/1.0))/(1200/4+((S1040/1200))*1200/2+((E1040/160000)*(F1040/100)*(S1040/1200))*1200)*(H1040/1.0)*8000)/J1040,-1),"")</f>
        <v/>
      </c>
    </row>
    <row r="1041">
      <c r="B1041" s="7" t="inlineStr">
        <is>
          <t xml:space="preserve">  ↳ 227mm</t>
        </is>
      </c>
      <c r="C1041" s="7" t="inlineStr">
        <is>
          <t>Armament@PRIMARY</t>
        </is>
      </c>
      <c r="L1041" s="6" t="n">
        <v>8000</v>
      </c>
      <c r="M1041" s="6" t="n">
        <v>111</v>
      </c>
      <c r="N1041" s="6" t="n">
        <v>6</v>
      </c>
      <c r="O1041" s="6" t="n">
        <v>5</v>
      </c>
      <c r="P1041" s="6" t="n">
        <v>9920</v>
      </c>
      <c r="Q1041" s="6" t="n">
        <v>1</v>
      </c>
      <c r="R1041">
        <f>M1041+IF(N1041&gt;1,N(O1041)*(N1041-1),0)</f>
        <v/>
      </c>
      <c r="S1041">
        <f>IFERROR(L1041*MAX(N1041,1)/R1041*IF(ISBLANK(K1040),1,K1040),0)</f>
        <v/>
      </c>
      <c r="AB1041" s="7" t="inlineStr">
        <is>
          <t>^FlakWeapon, ^Grenade, ^HeavyMissile, ^MediumMissile</t>
        </is>
      </c>
    </row>
    <row r="1042">
      <c r="B1042" s="7" t="inlineStr">
        <is>
          <t xml:space="preserve">  ↳ 227mmAMT</t>
        </is>
      </c>
      <c r="C1042" s="7" t="inlineStr">
        <is>
          <t>Armament@AdvancedMissileTargeting</t>
        </is>
      </c>
      <c r="L1042" s="6" t="n">
        <v>8000</v>
      </c>
      <c r="M1042" s="6" t="n">
        <v>111</v>
      </c>
      <c r="N1042" s="6" t="n">
        <v>6</v>
      </c>
      <c r="O1042" s="6" t="n">
        <v>5</v>
      </c>
      <c r="P1042" s="6" t="n">
        <v>9920</v>
      </c>
      <c r="Q1042" s="6" t="n">
        <v>1</v>
      </c>
      <c r="R1042">
        <f>M1042+IF(N1042&gt;1,N(O1042)*(N1042-1),0)</f>
        <v/>
      </c>
      <c r="S1042">
        <f>IFERROR(L1042*MAX(N1042,1)/R1042*IF(ISBLANK(K1040),1,K1040),0)</f>
        <v/>
      </c>
      <c r="AB1042" s="7" t="inlineStr">
        <is>
          <t>227mm, ^AMTProjectile</t>
        </is>
      </c>
    </row>
    <row r="1043">
      <c r="A1043" t="inlineStr">
        <is>
          <t>tiberiandawn</t>
        </is>
      </c>
      <c r="B1043" t="inlineStr">
        <is>
          <t>td_nod_chemicalattackbike</t>
        </is>
      </c>
      <c r="C1043" t="inlineStr">
        <is>
          <t>Chemical Attack Bike</t>
        </is>
      </c>
      <c r="D1043" s="6" t="inlineStr">
        <is>
          <t>MissileVehicle</t>
        </is>
      </c>
      <c r="E1043" s="6" t="n">
        <v>22500</v>
      </c>
      <c r="F1043" s="6" t="n">
        <v>175</v>
      </c>
      <c r="G1043" t="inlineStr">
        <is>
          <t>Light</t>
        </is>
      </c>
      <c r="H1043" s="6" t="n">
        <v>1</v>
      </c>
      <c r="I1043" s="6" t="n">
        <v>0.5</v>
      </c>
      <c r="J1043" s="6" t="n">
        <v>1</v>
      </c>
      <c r="K1043" s="6" t="n"/>
      <c r="P1043">
        <f>MAX(P1044,P1045)</f>
        <v/>
      </c>
      <c r="S1043">
        <f>S1044+S1045</f>
        <v/>
      </c>
      <c r="T1043">
        <f>(E1043/100000+F1043/100+(P1043/1000)*J1043/5+S1043/200)*200*I1043*H1043</f>
        <v/>
      </c>
      <c r="U1043">
        <f>((E1043*F1043/25000)+((P1043/1000)*J1043*S1043/2.5))*I1043*H1043</f>
        <v/>
      </c>
      <c r="V1043">
        <f>(E1043*F1043*(P1043/1000)*J1043*S1043*I1043*H1043)/12500000</f>
        <v/>
      </c>
      <c r="W1043">
        <f>(((E1043/160000)+(F1043/100)+(S1043/1200)+((P1043/8000)*J1043))*1200/4+(((E1043/160000)*(F1043/100))+(((P1043/8000)*J1043)*(S1043/1200)))*1200/2+((E1043/160000)*(F1043/100)*((P1043/8000)*J1043)*(S1043/1200))*1200)*(H1043/1.0)/3</f>
        <v/>
      </c>
      <c r="X1043" s="6" t="n">
        <v>750</v>
      </c>
      <c r="Y1043">
        <f>IFERROR(W1043-X1043,"")</f>
        <v/>
      </c>
      <c r="Z1043">
        <f>IFERROR(ABS(Y1043)/MAX(X1043,1),"")</f>
        <v/>
      </c>
      <c r="AA1043">
        <f>IFERROR(ROUND(((3*X1043-(((E1043/160000)+(F1043/100)+(S1043/1200))*1200/4+((E1043/160000)*(F1043/100))*1200/2)*(H1043/1.0))/(1200/4+((S1043/1200))*1200/2+((E1043/160000)*(F1043/100)*(S1043/1200))*1200)*(H1043/1.0)*8000)/J1043,-1),"")</f>
        <v/>
      </c>
    </row>
    <row r="1044">
      <c r="B1044" s="7" t="inlineStr">
        <is>
          <t xml:space="preserve">  ↳ PDLaserBike</t>
        </is>
      </c>
      <c r="C1044" s="7" t="inlineStr">
        <is>
          <t>Armament@pointdefense</t>
        </is>
      </c>
      <c r="L1044" s="6" t="n">
        <v>1</v>
      </c>
      <c r="M1044" s="6" t="n">
        <v>25</v>
      </c>
      <c r="N1044" s="6" t="n">
        <v>1</v>
      </c>
      <c r="O1044" s="6" t="n"/>
      <c r="P1044" s="6" t="n">
        <v>6000</v>
      </c>
      <c r="Q1044" s="6" t="n">
        <v>1</v>
      </c>
      <c r="R1044">
        <f>M1044+IF(N1044&gt;1,N(O1044)*(N1044-1),0)</f>
        <v/>
      </c>
      <c r="S1044">
        <f>IFERROR(L1044*MAX(N1044,1)/R1044*IF(ISBLANK(K1043),1,K1043),0)</f>
        <v/>
      </c>
      <c r="AB1044" s="7" t="inlineStr">
        <is>
          <t>PDLaser</t>
        </is>
      </c>
    </row>
    <row r="1045">
      <c r="B1045" s="7" t="inlineStr">
        <is>
          <t xml:space="preserve">  ↳ ChemicalBikeRockets</t>
        </is>
      </c>
      <c r="C1045" s="7" t="inlineStr">
        <is>
          <t>Armament</t>
        </is>
      </c>
      <c r="L1045" s="6" t="n">
        <v>32000</v>
      </c>
      <c r="M1045" s="6" t="n">
        <v>70</v>
      </c>
      <c r="N1045" s="6" t="n">
        <v>2</v>
      </c>
      <c r="O1045" s="6" t="n">
        <v>10</v>
      </c>
      <c r="P1045" s="6" t="n">
        <v>6000</v>
      </c>
      <c r="Q1045" s="6" t="n">
        <v>1</v>
      </c>
      <c r="R1045">
        <f>M1045+IF(N1045&gt;1,N(O1045)*(N1045-1),0)</f>
        <v/>
      </c>
      <c r="S1045">
        <f>IFERROR(L1045*MAX(N1045,1)/R1045*IF(ISBLANK(K1043),1,K1043),0)</f>
        <v/>
      </c>
      <c r="AB1045" s="7" t="inlineStr">
        <is>
          <t>^TankDestroyerCannon, ^LightChemicalWeapon, ^FlakWeapon, ^MediumMissile</t>
        </is>
      </c>
    </row>
    <row r="1046">
      <c r="A1046" t="inlineStr">
        <is>
          <t>tiberiandawn</t>
        </is>
      </c>
      <c r="B1046" t="inlineStr">
        <is>
          <t>td_nod_reconbike</t>
        </is>
      </c>
      <c r="C1046" t="inlineStr">
        <is>
          <t>Recon Bike</t>
        </is>
      </c>
      <c r="D1046" s="6" t="inlineStr">
        <is>
          <t>MissileVehicle</t>
        </is>
      </c>
      <c r="E1046" s="6" t="n">
        <v>17500</v>
      </c>
      <c r="F1046" s="6" t="n">
        <v>200</v>
      </c>
      <c r="G1046" t="inlineStr">
        <is>
          <t>Light</t>
        </is>
      </c>
      <c r="H1046" s="6" t="n">
        <v>1</v>
      </c>
      <c r="I1046" s="6" t="n">
        <v>0.5</v>
      </c>
      <c r="J1046" s="6" t="n">
        <v>1</v>
      </c>
      <c r="K1046" s="6" t="n"/>
      <c r="P1046">
        <f>MAX(P1047,P1048)</f>
        <v/>
      </c>
      <c r="S1046">
        <f>S1047+S1048</f>
        <v/>
      </c>
      <c r="T1046">
        <f>(E1046/100000+F1046/100+(P1046/1000)*J1046/5+S1046/200)*200*I1046*H1046</f>
        <v/>
      </c>
      <c r="U1046">
        <f>((E1046*F1046/25000)+((P1046/1000)*J1046*S1046/2.5))*I1046*H1046</f>
        <v/>
      </c>
      <c r="V1046">
        <f>(E1046*F1046*(P1046/1000)*J1046*S1046*I1046*H1046)/12500000</f>
        <v/>
      </c>
      <c r="W1046">
        <f>(((E1046/160000)+(F1046/100)+(S1046/1200)+((P1046/8000)*J1046))*1200/4+(((E1046/160000)*(F1046/100))+(((P1046/8000)*J1046)*(S1046/1200)))*1200/2+((E1046/160000)*(F1046/100)*((P1046/8000)*J1046)*(S1046/1200))*1200)*(H1046/1.0)/3</f>
        <v/>
      </c>
      <c r="X1046" s="6" t="n">
        <v>500</v>
      </c>
      <c r="Y1046">
        <f>IFERROR(W1046-X1046,"")</f>
        <v/>
      </c>
      <c r="Z1046">
        <f>IFERROR(ABS(Y1046)/MAX(X1046,1),"")</f>
        <v/>
      </c>
      <c r="AA1046">
        <f>IFERROR(ROUND(((3*X1046-(((E1046/160000)+(F1046/100)+(S1046/1200))*1200/4+((E1046/160000)*(F1046/100))*1200/2)*(H1046/1.0))/(1200/4+((S1046/1200))*1200/2+((E1046/160000)*(F1046/100)*(S1046/1200))*1200)*(H1046/1.0)*8000)/J1046,-1),"")</f>
        <v/>
      </c>
    </row>
    <row r="1047">
      <c r="B1047" s="7" t="inlineStr">
        <is>
          <t xml:space="preserve">  ↳ PDLaserBike</t>
        </is>
      </c>
      <c r="C1047" s="7" t="inlineStr">
        <is>
          <t>Armament@pointdefense</t>
        </is>
      </c>
      <c r="L1047" s="6" t="n">
        <v>1</v>
      </c>
      <c r="M1047" s="6" t="n">
        <v>25</v>
      </c>
      <c r="N1047" s="6" t="n">
        <v>1</v>
      </c>
      <c r="O1047" s="6" t="n"/>
      <c r="P1047" s="6" t="n">
        <v>6000</v>
      </c>
      <c r="Q1047" s="6" t="n">
        <v>1</v>
      </c>
      <c r="R1047">
        <f>M1047+IF(N1047&gt;1,N(O1047)*(N1047-1),0)</f>
        <v/>
      </c>
      <c r="S1047">
        <f>IFERROR(L1047*MAX(N1047,1)/R1047*IF(ISBLANK(K1046),1,K1046),0)</f>
        <v/>
      </c>
      <c r="AB1047" s="7" t="inlineStr">
        <is>
          <t>PDLaser</t>
        </is>
      </c>
    </row>
    <row r="1048">
      <c r="B1048" s="7" t="inlineStr">
        <is>
          <t xml:space="preserve">  ↳ BikeRockets</t>
        </is>
      </c>
      <c r="C1048" s="7" t="inlineStr">
        <is>
          <t>Armament</t>
        </is>
      </c>
      <c r="L1048" s="6" t="n">
        <v>16000</v>
      </c>
      <c r="M1048" s="6" t="n">
        <v>55</v>
      </c>
      <c r="N1048" s="6" t="n">
        <v>2</v>
      </c>
      <c r="O1048" s="6" t="n">
        <v>10</v>
      </c>
      <c r="P1048" s="6" t="n">
        <v>6000</v>
      </c>
      <c r="Q1048" s="6" t="n">
        <v>1</v>
      </c>
      <c r="R1048">
        <f>M1048+IF(N1048&gt;1,N(O1048)*(N1048-1),0)</f>
        <v/>
      </c>
      <c r="S1048">
        <f>IFERROR(L1048*MAX(N1048,1)/R1048*IF(ISBLANK(K1046),1,K1046),0)</f>
        <v/>
      </c>
      <c r="AB1048" s="7" t="inlineStr">
        <is>
          <t>^TankDestroyerCannon, ^ShrapnelWeapon, ^FlakWeapon, ^LightMissile</t>
        </is>
      </c>
    </row>
    <row r="1049">
      <c r="A1049" t="inlineStr">
        <is>
          <t>tiberiandawn</t>
        </is>
      </c>
      <c r="B1049" t="inlineStr">
        <is>
          <t>td_nod_stealthtank</t>
        </is>
      </c>
      <c r="C1049" t="inlineStr">
        <is>
          <t>Stealth Tank</t>
        </is>
      </c>
      <c r="D1049" s="6" t="inlineStr">
        <is>
          <t>MissileVehicle</t>
        </is>
      </c>
      <c r="E1049" s="6" t="n">
        <v>25000</v>
      </c>
      <c r="F1049" s="6" t="n">
        <v>150</v>
      </c>
      <c r="G1049" t="inlineStr">
        <is>
          <t>Light</t>
        </is>
      </c>
      <c r="H1049" s="6" t="n">
        <v>0.3882</v>
      </c>
      <c r="I1049" s="6" t="n">
        <v>1</v>
      </c>
      <c r="J1049" s="6" t="n">
        <v>1</v>
      </c>
      <c r="K1049" s="6" t="n">
        <v>0.013</v>
      </c>
      <c r="P1049">
        <f>MAX(P1050,P1051)</f>
        <v/>
      </c>
      <c r="S1049">
        <f>S1050+S1051</f>
        <v/>
      </c>
      <c r="T1049">
        <f>(E1049/100000+F1049/100+(P1049/1000)*J1049/5+S1049/200)*200*I1049*H1049</f>
        <v/>
      </c>
      <c r="U1049">
        <f>((E1049*F1049/25000)+((P1049/1000)*J1049*S1049/2.5))*I1049*H1049</f>
        <v/>
      </c>
      <c r="V1049">
        <f>(E1049*F1049*(P1049/1000)*J1049*S1049*I1049*H1049)/12500000</f>
        <v/>
      </c>
      <c r="W1049">
        <f>(((E1049/160000)+(F1049/100)+(S1049/1200)+((P1049/8000)*J1049))*1200/4+(((E1049/160000)*(F1049/100))+(((P1049/8000)*J1049)*(S1049/1200)))*1200/2+((E1049/160000)*(F1049/100)*((P1049/8000)*J1049)*(S1049/1200))*1200)*(H1049/1.0)/3</f>
        <v/>
      </c>
      <c r="X1049" s="6" t="n">
        <v>900</v>
      </c>
      <c r="Y1049">
        <f>IFERROR(W1049-X1049,"")</f>
        <v/>
      </c>
      <c r="Z1049">
        <f>IFERROR(ABS(Y1049)/MAX(X1049,1),"")</f>
        <v/>
      </c>
      <c r="AA1049">
        <f>IFERROR(ROUND(((3*X1049-(((E1049/160000)+(F1049/100)+(S1049/1200))*1200/4+((E1049/160000)*(F1049/100))*1200/2)*(H1049/1.0))/(1200/4+((S1049/1200))*1200/2+((E1049/160000)*(F1049/100)*(S1049/1200))*1200)*(H1049/1.0)*8000)/J1049,-1),"")</f>
        <v/>
      </c>
    </row>
    <row r="1050">
      <c r="B1050" s="7" t="inlineStr">
        <is>
          <t xml:space="preserve">  ↳ StealthTankMissiles</t>
        </is>
      </c>
      <c r="C1050" s="7" t="inlineStr">
        <is>
          <t>Armament</t>
        </is>
      </c>
      <c r="L1050" s="6" t="n">
        <v>12000</v>
      </c>
      <c r="M1050" s="6" t="n">
        <v>58</v>
      </c>
      <c r="N1050" s="6" t="n">
        <v>2</v>
      </c>
      <c r="O1050" s="6" t="n">
        <v>8</v>
      </c>
      <c r="P1050" s="6" t="n">
        <v>7432</v>
      </c>
      <c r="Q1050" s="6" t="n">
        <v>1</v>
      </c>
      <c r="R1050">
        <f>M1050+IF(N1050&gt;1,N(O1050)*(N1050-1),0)</f>
        <v/>
      </c>
      <c r="S1050">
        <f>IFERROR(L1050*MAX(N1050,1)/R1050*IF(ISBLANK(K1049),1,K1049),0)</f>
        <v/>
      </c>
      <c r="AB1050" s="7" t="inlineStr">
        <is>
          <t>^Warhead_MissileAP_Medium</t>
        </is>
      </c>
    </row>
    <row r="1051">
      <c r="B1051" s="7" t="inlineStr">
        <is>
          <t xml:space="preserve">  ↳ StealthTankMissilesBlackMarket</t>
        </is>
      </c>
      <c r="C1051" s="7" t="inlineStr">
        <is>
          <t>Armament@Upgrade</t>
        </is>
      </c>
      <c r="L1051" s="6" t="n">
        <v>12000</v>
      </c>
      <c r="M1051" s="6" t="n">
        <v>58</v>
      </c>
      <c r="N1051" s="6" t="n">
        <v>2</v>
      </c>
      <c r="O1051" s="6" t="n">
        <v>8</v>
      </c>
      <c r="P1051" s="6" t="n">
        <v>7432</v>
      </c>
      <c r="Q1051" s="6" t="n">
        <v>1</v>
      </c>
      <c r="R1051">
        <f>M1051+IF(N1051&gt;1,N(O1051)*(N1051-1),0)</f>
        <v/>
      </c>
      <c r="S1051">
        <f>IFERROR(L1051*MAX(N1051,1)/R1051*IF(ISBLANK(K1049),1,K1049),0)</f>
        <v/>
      </c>
      <c r="AB1051" s="7" t="inlineStr">
        <is>
          <t>^Warhead_MissileAP_Medium</t>
        </is>
      </c>
    </row>
    <row r="1052">
      <c r="A1052" t="inlineStr">
        <is>
          <t>tiberiansun</t>
        </is>
      </c>
      <c r="B1052" t="inlineStr">
        <is>
          <t>ts_nod_attackcycle</t>
        </is>
      </c>
      <c r="C1052" t="inlineStr">
        <is>
          <t>Attack Cycle</t>
        </is>
      </c>
      <c r="D1052" s="6" t="inlineStr">
        <is>
          <t>MissileVehicle</t>
        </is>
      </c>
      <c r="E1052" s="6" t="n">
        <v>20000</v>
      </c>
      <c r="F1052" s="6" t="n">
        <v>170</v>
      </c>
      <c r="G1052" t="inlineStr">
        <is>
          <t>Light</t>
        </is>
      </c>
      <c r="H1052" s="6" t="n">
        <v>1</v>
      </c>
      <c r="I1052" s="6" t="n">
        <v>0.5</v>
      </c>
      <c r="J1052" s="6" t="n">
        <v>1</v>
      </c>
      <c r="K1052" s="6" t="n"/>
      <c r="P1052">
        <f>MAX(P1053,P1054)</f>
        <v/>
      </c>
      <c r="S1052">
        <f>S1053+S1054</f>
        <v/>
      </c>
      <c r="T1052">
        <f>(E1052/100000+F1052/100+(P1052/1000)*J1052/5+S1052/200)*200*I1052*H1052</f>
        <v/>
      </c>
      <c r="U1052">
        <f>((E1052*F1052/25000)+((P1052/1000)*J1052*S1052/2.5))*I1052*H1052</f>
        <v/>
      </c>
      <c r="V1052">
        <f>(E1052*F1052*(P1052/1000)*J1052*S1052*I1052*H1052)/12500000</f>
        <v/>
      </c>
      <c r="W1052">
        <f>(((E1052/160000)+(F1052/100)+(S1052/1200)+((P1052/8000)*J1052))*1200/4+(((E1052/160000)*(F1052/100))+(((P1052/8000)*J1052)*(S1052/1200)))*1200/2+((E1052/160000)*(F1052/100)*((P1052/8000)*J1052)*(S1052/1200))*1200)*(H1052/1.0)/3</f>
        <v/>
      </c>
      <c r="X1052" s="6" t="n">
        <v>550</v>
      </c>
      <c r="Y1052">
        <f>IFERROR(W1052-X1052,"")</f>
        <v/>
      </c>
      <c r="Z1052">
        <f>IFERROR(ABS(Y1052)/MAX(X1052,1),"")</f>
        <v/>
      </c>
      <c r="AA1052">
        <f>IFERROR(ROUND(((3*X1052-(((E1052/160000)+(F1052/100)+(S1052/1200))*1200/4+((E1052/160000)*(F1052/100))*1200/2)*(H1052/1.0))/(1200/4+((S1052/1200))*1200/2+((E1052/160000)*(F1052/100)*(S1052/1200))*1200)*(H1052/1.0)*8000)/J1052,-1),"")</f>
        <v/>
      </c>
    </row>
    <row r="1053">
      <c r="B1053" s="7" t="inlineStr">
        <is>
          <t xml:space="preserve">  ↳ TSBikeMissile</t>
        </is>
      </c>
      <c r="C1053" s="7" t="inlineStr">
        <is>
          <t>Armament@PRIMARY</t>
        </is>
      </c>
      <c r="L1053" s="6" t="n">
        <v>12000</v>
      </c>
      <c r="M1053" s="6" t="n">
        <v>40</v>
      </c>
      <c r="N1053" s="6" t="n">
        <v>2</v>
      </c>
      <c r="O1053" s="6" t="n">
        <v>5</v>
      </c>
      <c r="P1053" s="6" t="n">
        <v>6554</v>
      </c>
      <c r="Q1053" s="6" t="n">
        <v>0.875</v>
      </c>
      <c r="R1053">
        <f>M1053+IF(N1053&gt;1,N(O1053)*(N1053-1),0)</f>
        <v/>
      </c>
      <c r="S1053">
        <f>IFERROR(L1053*MAX(N1053,1)/R1053*IF(ISBLANK(K1052),1,K1052),0)</f>
        <v/>
      </c>
      <c r="AB1053" s="7" t="inlineStr">
        <is>
          <t>^Warhead_MissileHE_Light, ^Warhead_MissileHE_Medium</t>
        </is>
      </c>
    </row>
    <row r="1054">
      <c r="B1054" s="7" t="inlineStr">
        <is>
          <t xml:space="preserve">  ↳ TSBikeTibMissile</t>
        </is>
      </c>
      <c r="C1054" s="7" t="inlineStr">
        <is>
          <t>Armament@UPGRADE</t>
        </is>
      </c>
      <c r="L1054" s="6" t="n">
        <v>16000</v>
      </c>
      <c r="M1054" s="6" t="n">
        <v>40</v>
      </c>
      <c r="N1054" s="6" t="n">
        <v>2</v>
      </c>
      <c r="O1054" s="6" t="n">
        <v>5</v>
      </c>
      <c r="P1054" s="6" t="n">
        <v>6554</v>
      </c>
      <c r="Q1054" s="6" t="n">
        <v>1</v>
      </c>
      <c r="R1054">
        <f>M1054+IF(N1054&gt;1,N(O1054)*(N1054-1),0)</f>
        <v/>
      </c>
      <c r="S1054">
        <f>IFERROR(L1054*MAX(N1054,1)/R1054*IF(ISBLANK(K1052),1,K1052),0)</f>
        <v/>
      </c>
      <c r="AB1054" s="7" t="inlineStr">
        <is>
          <t>^LightChemicalWeapon, ^MediumChemicalWeapon, ^LightMissile, ^MediumMissile</t>
        </is>
      </c>
    </row>
    <row r="1055">
      <c r="A1055" t="inlineStr">
        <is>
          <t>tiberiansun</t>
        </is>
      </c>
      <c r="B1055" t="inlineStr">
        <is>
          <t>ts_gdi_hovermlrs</t>
        </is>
      </c>
      <c r="C1055" t="inlineStr">
        <is>
          <t>Hover MLRS</t>
        </is>
      </c>
      <c r="D1055" s="6" t="inlineStr">
        <is>
          <t>MissileVehicle</t>
        </is>
      </c>
      <c r="E1055" s="6" t="n">
        <v>30000</v>
      </c>
      <c r="F1055" s="6" t="n">
        <v>80</v>
      </c>
      <c r="G1055" t="inlineStr">
        <is>
          <t>Light</t>
        </is>
      </c>
      <c r="H1055" s="6" t="n">
        <v>1</v>
      </c>
      <c r="I1055" s="6" t="n">
        <v>1</v>
      </c>
      <c r="J1055" s="6" t="n">
        <v>1</v>
      </c>
      <c r="K1055" s="6" t="n"/>
      <c r="P1055">
        <f>MAX(P1056)</f>
        <v/>
      </c>
      <c r="S1055">
        <f>S1056</f>
        <v/>
      </c>
      <c r="T1055">
        <f>(E1055/100000+F1055/100+(P1055/1000)*J1055/5+S1055/200)*200*I1055*H1055</f>
        <v/>
      </c>
      <c r="U1055">
        <f>((E1055*F1055/25000)+((P1055/1000)*J1055*S1055/2.5))*I1055*H1055</f>
        <v/>
      </c>
      <c r="V1055">
        <f>(E1055*F1055*(P1055/1000)*J1055*S1055*I1055*H1055)/12500000</f>
        <v/>
      </c>
      <c r="W1055">
        <f>(((E1055/160000)+(F1055/100)+(S1055/1200)+((P1055/8000)*J1055))*1200/4+(((E1055/160000)*(F1055/100))+(((P1055/8000)*J1055)*(S1055/1200)))*1200/2+((E1055/160000)*(F1055/100)*((P1055/8000)*J1055)*(S1055/1200))*1200)*(H1055/1.0)/3</f>
        <v/>
      </c>
      <c r="X1055" s="6" t="n">
        <v>900</v>
      </c>
      <c r="Y1055">
        <f>IFERROR(W1055-X1055,"")</f>
        <v/>
      </c>
      <c r="Z1055">
        <f>IFERROR(ABS(Y1055)/MAX(X1055,1),"")</f>
        <v/>
      </c>
      <c r="AA1055">
        <f>IFERROR(ROUND(((3*X1055-(((E1055/160000)+(F1055/100)+(S1055/1200))*1200/4+((E1055/160000)*(F1055/100))*1200/2)*(H1055/1.0))/(1200/4+((S1055/1200))*1200/2+((E1055/160000)*(F1055/100)*(S1055/1200))*1200)*(H1055/1.0)*8000)/J1055,-1),"")</f>
        <v/>
      </c>
    </row>
    <row r="1056">
      <c r="B1056" s="7" t="inlineStr">
        <is>
          <t xml:space="preserve">  ↳ TSHoverMissile</t>
        </is>
      </c>
      <c r="C1056" s="7" t="inlineStr">
        <is>
          <t>Armament</t>
        </is>
      </c>
      <c r="L1056" s="6" t="n">
        <v>12000</v>
      </c>
      <c r="M1056" s="6" t="n">
        <v>60</v>
      </c>
      <c r="N1056" s="6" t="n">
        <v>2</v>
      </c>
      <c r="O1056" s="6" t="n">
        <v>8</v>
      </c>
      <c r="P1056" s="6" t="n">
        <v>8159</v>
      </c>
      <c r="Q1056" s="6" t="n">
        <v>1</v>
      </c>
      <c r="R1056">
        <f>M1056+IF(N1056&gt;1,N(O1056)*(N1056-1),0)</f>
        <v/>
      </c>
      <c r="S1056">
        <f>IFERROR(L1056*MAX(N1056,1)/R1056*IF(ISBLANK(K1055),1,K1055),0)</f>
        <v/>
      </c>
      <c r="AB1056" s="7" t="inlineStr">
        <is>
          <t>^FlakWeapon, ^MediumMissile, ^ShrapnelWeapon</t>
        </is>
      </c>
    </row>
    <row r="1057">
      <c r="A1057" t="inlineStr">
        <is>
          <t>redalert2mod</t>
        </is>
      </c>
      <c r="B1057" t="inlineStr">
        <is>
          <t>asianalliance_type89mlrs</t>
        </is>
      </c>
      <c r="C1057" t="inlineStr">
        <is>
          <t>Type 89 MLRS</t>
        </is>
      </c>
      <c r="D1057" s="6" t="inlineStr">
        <is>
          <t>MissileVehicle</t>
        </is>
      </c>
      <c r="E1057" s="6" t="n">
        <v>40000</v>
      </c>
      <c r="F1057" s="6" t="n">
        <v>80</v>
      </c>
      <c r="G1057" t="inlineStr">
        <is>
          <t>Light</t>
        </is>
      </c>
      <c r="H1057" s="6" t="n">
        <v>0.75</v>
      </c>
      <c r="I1057" s="6" t="n">
        <v>1</v>
      </c>
      <c r="J1057" s="6" t="n">
        <v>1.25</v>
      </c>
      <c r="K1057" s="6" t="n"/>
      <c r="P1057">
        <f>MAX(P1058)</f>
        <v/>
      </c>
      <c r="S1057">
        <f>S1058</f>
        <v/>
      </c>
      <c r="T1057">
        <f>(E1057/100000+F1057/100+(P1057/1000)*J1057/5+S1057/200)*200*I1057*H1057</f>
        <v/>
      </c>
      <c r="U1057">
        <f>((E1057*F1057/25000)+((P1057/1000)*J1057*S1057/2.5))*I1057*H1057</f>
        <v/>
      </c>
      <c r="V1057">
        <f>(E1057*F1057*(P1057/1000)*J1057*S1057*I1057*H1057)/12500000</f>
        <v/>
      </c>
      <c r="W1057">
        <f>(((E1057/160000)+(F1057/100)+(S1057/1200)+((P1057/8000)*J1057))*1200/4+(((E1057/160000)*(F1057/100))+(((P1057/8000)*J1057)*(S1057/1200)))*1200/2+((E1057/160000)*(F1057/100)*((P1057/8000)*J1057)*(S1057/1200))*1200)*(H1057/1.0)/3</f>
        <v/>
      </c>
      <c r="X1057" s="6" t="n">
        <v>1200</v>
      </c>
      <c r="Y1057">
        <f>IFERROR(W1057-X1057,"")</f>
        <v/>
      </c>
      <c r="Z1057">
        <f>IFERROR(ABS(Y1057)/MAX(X1057,1),"")</f>
        <v/>
      </c>
      <c r="AA1057">
        <f>IFERROR(ROUND(((3*X1057-(((E1057/160000)+(F1057/100)+(S1057/1200))*1200/4+((E1057/160000)*(F1057/100))*1200/2)*(H1057/1.0))/(1200/4+((S1057/1200))*1200/2+((E1057/160000)*(F1057/100)*(S1057/1200))*1200)*(H1057/1.0)*8000)/J1057,-1),"")</f>
        <v/>
      </c>
    </row>
    <row r="1058">
      <c r="B1058" s="7" t="inlineStr">
        <is>
          <t xml:space="preserve">  ↳ AsianMLRS</t>
        </is>
      </c>
      <c r="C1058" s="7" t="inlineStr">
        <is>
          <t>Armament@PRIMARY</t>
        </is>
      </c>
      <c r="L1058" s="6" t="n">
        <v>8000</v>
      </c>
      <c r="M1058" s="6" t="n">
        <v>16</v>
      </c>
      <c r="N1058" s="6" t="n">
        <v>1</v>
      </c>
      <c r="O1058" s="6" t="n"/>
      <c r="P1058" s="6" t="n">
        <v>8500</v>
      </c>
      <c r="Q1058" s="6" t="n">
        <v>0.875</v>
      </c>
      <c r="R1058">
        <f>M1058+IF(N1058&gt;1,N(O1058)*(N1058-1),0)</f>
        <v/>
      </c>
      <c r="S1058">
        <f>IFERROR(L1058*MAX(N1058,1)/R1058*IF(ISBLANK(K1057),1,K1057),0)</f>
        <v/>
      </c>
      <c r="AB1058" s="7" t="inlineStr">
        <is>
          <t>^Warhead_Demolition_Light, ^Warhead_MissileAP_Medium</t>
        </is>
      </c>
    </row>
    <row r="1059">
      <c r="A1059" t="inlineStr">
        <is>
          <t>redalert2mod</t>
        </is>
      </c>
      <c r="B1059" t="inlineStr">
        <is>
          <t>latinsyndicate_lars</t>
        </is>
      </c>
      <c r="C1059" t="inlineStr">
        <is>
          <t>LARS</t>
        </is>
      </c>
      <c r="D1059" s="6" t="inlineStr">
        <is>
          <t>MissileVehicle</t>
        </is>
      </c>
      <c r="E1059" s="6" t="n">
        <v>47500</v>
      </c>
      <c r="F1059" s="6" t="n">
        <v>70</v>
      </c>
      <c r="G1059" t="inlineStr">
        <is>
          <t>Light</t>
        </is>
      </c>
      <c r="H1059" s="6" t="n">
        <v>0.75</v>
      </c>
      <c r="I1059" s="6" t="n">
        <v>1</v>
      </c>
      <c r="J1059" s="6" t="n">
        <v>1</v>
      </c>
      <c r="K1059" s="6" t="n">
        <v>0.0125</v>
      </c>
      <c r="P1059">
        <f>MAX(P1060,P1061)</f>
        <v/>
      </c>
      <c r="S1059">
        <f>S1060+S1061</f>
        <v/>
      </c>
      <c r="T1059">
        <f>(E1059/100000+F1059/100+(P1059/1000)*J1059/5+S1059/200)*200*I1059*H1059</f>
        <v/>
      </c>
      <c r="U1059">
        <f>((E1059*F1059/25000)+((P1059/1000)*J1059*S1059/2.5))*I1059*H1059</f>
        <v/>
      </c>
      <c r="V1059">
        <f>(E1059*F1059*(P1059/1000)*J1059*S1059*I1059*H1059)/12500000</f>
        <v/>
      </c>
      <c r="W1059">
        <f>(((E1059/160000)+(F1059/100)+(S1059/1200)+((P1059/8000)*J1059))*1200/4+(((E1059/160000)*(F1059/100))+(((P1059/8000)*J1059)*(S1059/1200)))*1200/2+((E1059/160000)*(F1059/100)*((P1059/8000)*J1059)*(S1059/1200))*1200)*(H1059/1.0)/3</f>
        <v/>
      </c>
      <c r="X1059" s="6" t="n">
        <v>1300</v>
      </c>
      <c r="Y1059">
        <f>IFERROR(W1059-X1059,"")</f>
        <v/>
      </c>
      <c r="Z1059">
        <f>IFERROR(ABS(Y1059)/MAX(X1059,1),"")</f>
        <v/>
      </c>
      <c r="AA1059">
        <f>IFERROR(ROUND(((3*X1059-(((E1059/160000)+(F1059/100)+(S1059/1200))*1200/4+((E1059/160000)*(F1059/100))*1200/2)*(H1059/1.0))/(1200/4+((S1059/1200))*1200/2+((E1059/160000)*(F1059/100)*(S1059/1200))*1200)*(H1059/1.0)*8000)/J1059,-1),"")</f>
        <v/>
      </c>
    </row>
    <row r="1060">
      <c r="B1060" s="7" t="inlineStr">
        <is>
          <t xml:space="preserve">  ↳ RA2LarsRocket</t>
        </is>
      </c>
      <c r="C1060" s="7" t="inlineStr">
        <is>
          <t>Armament</t>
        </is>
      </c>
      <c r="L1060" s="6" t="n">
        <v>10000</v>
      </c>
      <c r="M1060" s="6" t="n">
        <v>139</v>
      </c>
      <c r="N1060" s="6" t="n">
        <v>10</v>
      </c>
      <c r="O1060" s="6" t="n">
        <v>4</v>
      </c>
      <c r="P1060" s="6" t="n">
        <v>10130</v>
      </c>
      <c r="Q1060" s="6" t="n">
        <v>1.125</v>
      </c>
      <c r="R1060">
        <f>M1060+IF(N1060&gt;1,N(O1060)*(N1060-1),0)</f>
        <v/>
      </c>
      <c r="S1060">
        <f>IFERROR(L1060*MAX(N1060,1)/R1060*IF(ISBLANK(K1059),1,K1059),0)</f>
        <v/>
      </c>
      <c r="AB1060" s="7" t="inlineStr">
        <is>
          <t>^Warhead_MissileAP_Heavy, ^Warhead_MissileAP_Medium</t>
        </is>
      </c>
    </row>
    <row r="1061">
      <c r="B1061" s="7" t="inlineStr">
        <is>
          <t xml:space="preserve">  ↳ RA2LarsRocket</t>
        </is>
      </c>
      <c r="C1061" s="7" t="inlineStr">
        <is>
          <t>Armament@PRIMARYELITE</t>
        </is>
      </c>
      <c r="L1061" s="6" t="n">
        <v>10000</v>
      </c>
      <c r="M1061" s="6" t="n">
        <v>139</v>
      </c>
      <c r="N1061" s="6" t="n">
        <v>10</v>
      </c>
      <c r="O1061" s="6" t="n">
        <v>4</v>
      </c>
      <c r="P1061" s="6" t="n">
        <v>10130</v>
      </c>
      <c r="Q1061" s="6" t="n">
        <v>1.125</v>
      </c>
      <c r="R1061">
        <f>M1061+IF(N1061&gt;1,N(O1061)*(N1061-1),0)</f>
        <v/>
      </c>
      <c r="S1061">
        <f>IFERROR(L1061*MAX(N1061,1)/R1061*IF(ISBLANK(K1059),1,K1059),0)</f>
        <v/>
      </c>
      <c r="AB1061" s="7" t="inlineStr">
        <is>
          <t>^Warhead_MissileAP_Heavy, ^Warhead_MissileAP_Medium</t>
        </is>
      </c>
    </row>
    <row r="1062">
      <c r="A1062" t="inlineStr">
        <is>
          <t>redalert2mod</t>
        </is>
      </c>
      <c r="B1062" t="inlineStr">
        <is>
          <t>tkm_stryker</t>
        </is>
      </c>
      <c r="C1062" t="inlineStr">
        <is>
          <t>TKM Stryker</t>
        </is>
      </c>
      <c r="D1062" s="6" t="inlineStr">
        <is>
          <t>MissileVehicle</t>
        </is>
      </c>
      <c r="E1062" s="6" t="n">
        <v>80000</v>
      </c>
      <c r="F1062" s="6" t="n">
        <v>105</v>
      </c>
      <c r="G1062" t="inlineStr">
        <is>
          <t>Light</t>
        </is>
      </c>
      <c r="H1062" s="6" t="n">
        <v>0.7082000000000001</v>
      </c>
      <c r="I1062" s="6" t="n">
        <v>1</v>
      </c>
      <c r="J1062" s="6" t="n">
        <v>1</v>
      </c>
      <c r="K1062" s="6" t="n"/>
      <c r="P1062">
        <f>MAX(P1063,P1064,P1065)</f>
        <v/>
      </c>
      <c r="S1062">
        <f>S1063+S1064+S1065</f>
        <v/>
      </c>
      <c r="T1062">
        <f>(E1062/100000+F1062/100+(P1062/1000)*J1062/5+S1062/200)*200*I1062*H1062</f>
        <v/>
      </c>
      <c r="U1062">
        <f>((E1062*F1062/25000)+((P1062/1000)*J1062*S1062/2.5))*I1062*H1062</f>
        <v/>
      </c>
      <c r="V1062">
        <f>(E1062*F1062*(P1062/1000)*J1062*S1062*I1062*H1062)/12500000</f>
        <v/>
      </c>
      <c r="W1062">
        <f>(((E1062/160000)+(F1062/100)+(S1062/1200)+((P1062/8000)*J1062))*1200/4+(((E1062/160000)*(F1062/100))+(((P1062/8000)*J1062)*(S1062/1200)))*1200/2+((E1062/160000)*(F1062/100)*((P1062/8000)*J1062)*(S1062/1200))*1200)*(H1062/1.0)/3</f>
        <v/>
      </c>
      <c r="X1062" s="6" t="n">
        <v>1600</v>
      </c>
      <c r="Y1062">
        <f>IFERROR(W1062-X1062,"")</f>
        <v/>
      </c>
      <c r="Z1062">
        <f>IFERROR(ABS(Y1062)/MAX(X1062,1),"")</f>
        <v/>
      </c>
      <c r="AA1062">
        <f>IFERROR(ROUND(((3*X1062-(((E1062/160000)+(F1062/100)+(S1062/1200))*1200/4+((E1062/160000)*(F1062/100))*1200/2)*(H1062/1.0))/(1200/4+((S1062/1200))*1200/2+((E1062/160000)*(F1062/100)*(S1062/1200))*1200)*(H1062/1.0)*8000)/J1062,-1),"")</f>
        <v/>
      </c>
    </row>
    <row r="1063">
      <c r="B1063" s="7" t="inlineStr">
        <is>
          <t xml:space="preserve">  ↳ tkmstrykermg</t>
        </is>
      </c>
      <c r="C1063" s="7" t="inlineStr">
        <is>
          <t>Armament</t>
        </is>
      </c>
      <c r="L1063" s="6" t="n">
        <v>2000</v>
      </c>
      <c r="M1063" s="6" t="n">
        <v>5</v>
      </c>
      <c r="N1063" s="6" t="n">
        <v>1</v>
      </c>
      <c r="O1063" s="6" t="n"/>
      <c r="P1063" s="6" t="n">
        <v>7880</v>
      </c>
      <c r="Q1063" s="6" t="n">
        <v>1</v>
      </c>
      <c r="R1063">
        <f>M1063+IF(N1063&gt;1,N(O1063)*(N1063-1),0)</f>
        <v/>
      </c>
      <c r="S1063">
        <f>IFERROR(L1063*MAX(N1063,1)/R1063*IF(ISBLANK(K1062),1,K1062),0)</f>
        <v/>
      </c>
      <c r="AB1063" s="7" t="inlineStr">
        <is>
          <t>^Warhead_Bullet_Medium</t>
        </is>
      </c>
    </row>
    <row r="1064">
      <c r="B1064" s="7" t="inlineStr">
        <is>
          <t xml:space="preserve">  ↳ tkmstrykerrockets</t>
        </is>
      </c>
      <c r="C1064" s="7" t="inlineStr">
        <is>
          <t>Armament@missile</t>
        </is>
      </c>
      <c r="L1064" s="6" t="n">
        <v>24000</v>
      </c>
      <c r="M1064" s="6" t="n">
        <v>60</v>
      </c>
      <c r="N1064" s="6" t="n">
        <v>1</v>
      </c>
      <c r="O1064" s="6" t="n"/>
      <c r="P1064" s="6" t="n">
        <v>7880</v>
      </c>
      <c r="Q1064" s="6" t="n">
        <v>1</v>
      </c>
      <c r="R1064">
        <f>M1064+IF(N1064&gt;1,N(O1064)*(N1064-1),0)</f>
        <v/>
      </c>
      <c r="S1064">
        <f>IFERROR(L1064*MAX(N1064,1)/R1064*IF(ISBLANK(K1062),1,K1062),0)</f>
        <v/>
      </c>
      <c r="AB1064" s="7" t="inlineStr">
        <is>
          <t>^Warhead_MissileAP_Medium</t>
        </is>
      </c>
    </row>
    <row r="1065">
      <c r="B1065" s="7" t="inlineStr">
        <is>
          <t xml:space="preserve">  ↳ tkmstrykerfirerockets</t>
        </is>
      </c>
      <c r="C1065" s="7" t="inlineStr">
        <is>
          <t>Armament@missilefire</t>
        </is>
      </c>
      <c r="L1065" s="6" t="n">
        <v>30000</v>
      </c>
      <c r="M1065" s="6" t="n">
        <v>60</v>
      </c>
      <c r="N1065" s="6" t="n">
        <v>1</v>
      </c>
      <c r="O1065" s="6" t="n"/>
      <c r="P1065" s="6" t="n">
        <v>7880</v>
      </c>
      <c r="Q1065" s="6" t="n">
        <v>1</v>
      </c>
      <c r="R1065">
        <f>M1065+IF(N1065&gt;1,N(O1065)*(N1065-1),0)</f>
        <v/>
      </c>
      <c r="S1065">
        <f>IFERROR(L1065*MAX(N1065,1)/R1065*IF(ISBLANK(K1062),1,K1062),0)</f>
        <v/>
      </c>
      <c r="AB1065" s="7" t="inlineStr">
        <is>
          <t>^Warhead_MissileAP_Medium, ^Warhead_Flame_Medium</t>
        </is>
      </c>
    </row>
    <row r="1066">
      <c r="A1066" t="inlineStr">
        <is>
          <t>d2k</t>
        </is>
      </c>
      <c r="B1066" t="inlineStr">
        <is>
          <t>ordos_dustdrone</t>
        </is>
      </c>
      <c r="C1066" t="inlineStr">
        <is>
          <t>Dust Drone</t>
        </is>
      </c>
      <c r="D1066" s="6" t="inlineStr">
        <is>
          <t>MissileVehicle</t>
        </is>
      </c>
      <c r="E1066" s="6" t="n">
        <v>32500</v>
      </c>
      <c r="F1066" s="6" t="n">
        <v>145</v>
      </c>
      <c r="G1066" t="inlineStr">
        <is>
          <t>Light</t>
        </is>
      </c>
      <c r="H1066" s="6" t="n">
        <v>1</v>
      </c>
      <c r="I1066" s="6" t="n">
        <v>1</v>
      </c>
      <c r="J1066" s="6" t="n">
        <v>1</v>
      </c>
      <c r="K1066" s="6" t="n"/>
      <c r="P1066">
        <f>MAX(P1067)</f>
        <v/>
      </c>
      <c r="S1066">
        <f>S1067</f>
        <v/>
      </c>
      <c r="T1066">
        <f>(E1066/100000+F1066/100+(P1066/1000)*J1066/5+S1066/200)*200*I1066*H1066</f>
        <v/>
      </c>
      <c r="U1066">
        <f>((E1066*F1066/25000)+((P1066/1000)*J1066*S1066/2.5))*I1066*H1066</f>
        <v/>
      </c>
      <c r="V1066">
        <f>(E1066*F1066*(P1066/1000)*J1066*S1066*I1066*H1066)/12500000</f>
        <v/>
      </c>
      <c r="W1066">
        <f>(((E1066/160000)+(F1066/100)+(S1066/1200)+((P1066/8000)*J1066))*1200/4+(((E1066/160000)*(F1066/100))+(((P1066/8000)*J1066)*(S1066/1200)))*1200/2+((E1066/160000)*(F1066/100)*((P1066/8000)*J1066)*(S1066/1200))*1200)*(H1066/1.0)/3</f>
        <v/>
      </c>
      <c r="X1066" s="6" t="n">
        <v>1400</v>
      </c>
      <c r="Y1066">
        <f>IFERROR(W1066-X1066,"")</f>
        <v/>
      </c>
      <c r="Z1066">
        <f>IFERROR(ABS(Y1066)/MAX(X1066,1),"")</f>
        <v/>
      </c>
      <c r="AA1066">
        <f>IFERROR(ROUND(((3*X1066-(((E1066/160000)+(F1066/100)+(S1066/1200))*1200/4+((E1066/160000)*(F1066/100))*1200/2)*(H1066/1.0))/(1200/4+((S1066/1200))*1200/2+((E1066/160000)*(F1066/100)*(S1066/1200))*1200)*(H1066/1.0)*8000)/J1066,-1),"")</f>
        <v/>
      </c>
    </row>
    <row r="1067">
      <c r="B1067" s="7" t="inlineStr">
        <is>
          <t xml:space="preserve">  ↳ D2K_APC_Rocket</t>
        </is>
      </c>
      <c r="C1067" s="7" t="inlineStr">
        <is>
          <t>Armament</t>
        </is>
      </c>
      <c r="L1067" s="6" t="n">
        <v>24000</v>
      </c>
      <c r="M1067" s="6" t="n">
        <v>42</v>
      </c>
      <c r="N1067" s="6" t="n">
        <v>1</v>
      </c>
      <c r="O1067" s="6" t="n"/>
      <c r="P1067" s="6" t="n">
        <v>6500</v>
      </c>
      <c r="Q1067" s="6" t="n">
        <v>1</v>
      </c>
      <c r="R1067">
        <f>M1067+IF(N1067&gt;1,N(O1067)*(N1067-1),0)</f>
        <v/>
      </c>
      <c r="S1067">
        <f>IFERROR(L1067*MAX(N1067,1)/R1067*IF(ISBLANK(K1066),1,K1066),0)</f>
        <v/>
      </c>
      <c r="AB1067" s="7" t="inlineStr">
        <is>
          <t>^Warhead_MissileAP_Light, ^Warhead_MissileAP_Medium, ^Warhead_MissileAP_Heavy</t>
        </is>
      </c>
    </row>
    <row r="1068">
      <c r="A1068" t="inlineStr">
        <is>
          <t>d2k</t>
        </is>
      </c>
      <c r="B1068" t="inlineStr">
        <is>
          <t>ixian_ixmissiletank</t>
        </is>
      </c>
      <c r="C1068" t="inlineStr">
        <is>
          <t>Ix Missile Tank</t>
        </is>
      </c>
      <c r="D1068" s="6" t="inlineStr">
        <is>
          <t>MissileVehicle</t>
        </is>
      </c>
      <c r="E1068" s="6" t="n">
        <v>50000</v>
      </c>
      <c r="F1068" s="6" t="n">
        <v>50</v>
      </c>
      <c r="G1068" t="inlineStr">
        <is>
          <t>Light</t>
        </is>
      </c>
      <c r="H1068" s="6" t="n">
        <v>0.75</v>
      </c>
      <c r="I1068" s="6" t="n">
        <v>1</v>
      </c>
      <c r="J1068" s="6" t="n">
        <v>1.25</v>
      </c>
      <c r="K1068" s="6" t="n"/>
      <c r="P1068">
        <f>MAX(P1069)</f>
        <v/>
      </c>
      <c r="S1068">
        <f>S1069</f>
        <v/>
      </c>
      <c r="T1068">
        <f>(E1068/100000+F1068/100+(P1068/1000)*J1068/5+S1068/200)*200*I1068*H1068</f>
        <v/>
      </c>
      <c r="U1068">
        <f>((E1068*F1068/25000)+((P1068/1000)*J1068*S1068/2.5))*I1068*H1068</f>
        <v/>
      </c>
      <c r="V1068">
        <f>(E1068*F1068*(P1068/1000)*J1068*S1068*I1068*H1068)/12500000</f>
        <v/>
      </c>
      <c r="W1068">
        <f>(((E1068/160000)+(F1068/100)+(S1068/1200)+((P1068/8000)*J1068))*1200/4+(((E1068/160000)*(F1068/100))+(((P1068/8000)*J1068)*(S1068/1200)))*1200/2+((E1068/160000)*(F1068/100)*((P1068/8000)*J1068)*(S1068/1200))*1200)*(H1068/1.0)/3</f>
        <v/>
      </c>
      <c r="X1068" s="6" t="n">
        <v>2250</v>
      </c>
      <c r="Y1068">
        <f>IFERROR(W1068-X1068,"")</f>
        <v/>
      </c>
      <c r="Z1068">
        <f>IFERROR(ABS(Y1068)/MAX(X1068,1),"")</f>
        <v/>
      </c>
      <c r="AA1068">
        <f>IFERROR(ROUND(((3*X1068-(((E1068/160000)+(F1068/100)+(S1068/1200))*1200/4+((E1068/160000)*(F1068/100))*1200/2)*(H1068/1.0))/(1200/4+((S1068/1200))*1200/2+((E1068/160000)*(F1068/100)*(S1068/1200))*1200)*(H1068/1.0)*8000)/J1068,-1),"")</f>
        <v/>
      </c>
    </row>
    <row r="1069">
      <c r="B1069" s="7" t="inlineStr">
        <is>
          <t xml:space="preserve">  ↳ mtank_pri2</t>
        </is>
      </c>
      <c r="C1069" s="7" t="inlineStr">
        <is>
          <t>Armament</t>
        </is>
      </c>
      <c r="L1069" s="6" t="n">
        <v>24000</v>
      </c>
      <c r="M1069" s="6" t="n">
        <v>5</v>
      </c>
      <c r="N1069" s="6" t="n">
        <v>1</v>
      </c>
      <c r="O1069" s="6" t="n"/>
      <c r="P1069" s="6" t="n">
        <v>10052</v>
      </c>
      <c r="Q1069" s="6" t="n">
        <v>1</v>
      </c>
      <c r="R1069">
        <f>M1069+IF(N1069&gt;1,N(O1069)*(N1069-1),0)</f>
        <v/>
      </c>
      <c r="S1069">
        <f>IFERROR(L1069*MAX(N1069,1)/R1069*IF(ISBLANK(K1068),1,K1068),0)</f>
        <v/>
      </c>
      <c r="AB1069" s="7" t="inlineStr">
        <is>
          <t>^Warhead_Demolition_Light, ^Warhead_Flame_Medium, ^Warhead_MissileAP_Heavy</t>
        </is>
      </c>
    </row>
    <row r="1070">
      <c r="A1070" t="inlineStr">
        <is>
          <t>d2k</t>
        </is>
      </c>
      <c r="B1070" t="inlineStr">
        <is>
          <t>missile_tank</t>
        </is>
      </c>
      <c r="C1070" t="inlineStr">
        <is>
          <t>Missile Tank</t>
        </is>
      </c>
      <c r="D1070" s="6" t="inlineStr">
        <is>
          <t>MissileVehicle</t>
        </is>
      </c>
      <c r="E1070" s="6" t="n">
        <v>50000</v>
      </c>
      <c r="F1070" s="6" t="n">
        <v>64</v>
      </c>
      <c r="G1070" t="inlineStr">
        <is>
          <t>Light</t>
        </is>
      </c>
      <c r="H1070" s="6" t="n">
        <v>0.4925</v>
      </c>
      <c r="I1070" s="6" t="n">
        <v>1</v>
      </c>
      <c r="J1070" s="6" t="n">
        <v>1</v>
      </c>
      <c r="K1070" s="6" t="n"/>
      <c r="P1070">
        <f>MAX(P1071)</f>
        <v/>
      </c>
      <c r="S1070">
        <f>S1071</f>
        <v/>
      </c>
      <c r="T1070">
        <f>(E1070/100000+F1070/100+(P1070/1000)*J1070/5+S1070/200)*200*I1070*H1070</f>
        <v/>
      </c>
      <c r="U1070">
        <f>((E1070*F1070/25000)+((P1070/1000)*J1070*S1070/2.5))*I1070*H1070</f>
        <v/>
      </c>
      <c r="V1070">
        <f>(E1070*F1070*(P1070/1000)*J1070*S1070*I1070*H1070)/12500000</f>
        <v/>
      </c>
      <c r="W1070">
        <f>(((E1070/160000)+(F1070/100)+(S1070/1200)+((P1070/8000)*J1070))*1200/4+(((E1070/160000)*(F1070/100))+(((P1070/8000)*J1070)*(S1070/1200)))*1200/2+((E1070/160000)*(F1070/100)*((P1070/8000)*J1070)*(S1070/1200))*1200)*(H1070/1.0)/3</f>
        <v/>
      </c>
      <c r="X1070" s="6" t="n">
        <v>750</v>
      </c>
      <c r="Y1070">
        <f>IFERROR(W1070-X1070,"")</f>
        <v/>
      </c>
      <c r="Z1070">
        <f>IFERROR(ABS(Y1070)/MAX(X1070,1),"")</f>
        <v/>
      </c>
      <c r="AA1070">
        <f>IFERROR(ROUND(((3*X1070-(((E1070/160000)+(F1070/100)+(S1070/1200))*1200/4+((E1070/160000)*(F1070/100))*1200/2)*(H1070/1.0))/(1200/4+((S1070/1200))*1200/2+((E1070/160000)*(F1070/100)*(S1070/1200))*1200)*(H1070/1.0)*8000)/J1070,-1),"")</f>
        <v/>
      </c>
    </row>
    <row r="1071">
      <c r="B1071" s="7" t="inlineStr">
        <is>
          <t xml:space="preserve">  ↳ mtank_pri</t>
        </is>
      </c>
      <c r="C1071" s="7" t="inlineStr">
        <is>
          <t>Armament</t>
        </is>
      </c>
      <c r="L1071" s="6" t="n">
        <v>17000</v>
      </c>
      <c r="M1071" s="6" t="n">
        <v>150</v>
      </c>
      <c r="N1071" s="6" t="n">
        <v>4</v>
      </c>
      <c r="O1071" s="6" t="n">
        <v>25</v>
      </c>
      <c r="P1071" s="6" t="n">
        <v>10240</v>
      </c>
      <c r="Q1071" s="6" t="n">
        <v>1.25</v>
      </c>
      <c r="R1071">
        <f>M1071+IF(N1071&gt;1,N(O1071)*(N1071-1),0)</f>
        <v/>
      </c>
      <c r="S1071">
        <f>IFERROR(L1071*MAX(N1071,1)/R1071*IF(ISBLANK(K1070),1,K1070),0)</f>
        <v/>
      </c>
      <c r="AB1071" s="7" t="inlineStr">
        <is>
          <t>^Warhead_MissileAP_Heavy</t>
        </is>
      </c>
    </row>
    <row r="1072">
      <c r="A1072" t="inlineStr">
        <is>
          <t>starcraft</t>
        </is>
      </c>
      <c r="B1072" t="inlineStr">
        <is>
          <t>terran_cyclone</t>
        </is>
      </c>
      <c r="C1072" t="inlineStr">
        <is>
          <t>Cyclone</t>
        </is>
      </c>
      <c r="D1072" s="6" t="inlineStr">
        <is>
          <t>MissileVehicle</t>
        </is>
      </c>
      <c r="E1072" s="6" t="n">
        <v>90000</v>
      </c>
      <c r="F1072" s="6" t="n">
        <v>115</v>
      </c>
      <c r="G1072" t="inlineStr">
        <is>
          <t>Light</t>
        </is>
      </c>
      <c r="H1072" s="6" t="n">
        <v>1</v>
      </c>
      <c r="I1072" s="6" t="n">
        <v>1</v>
      </c>
      <c r="J1072" s="6" t="n">
        <v>1.25</v>
      </c>
      <c r="K1072" s="6" t="n"/>
      <c r="P1072">
        <f>MAX(P1073,P1074)</f>
        <v/>
      </c>
      <c r="S1072">
        <f>S1073+S1074</f>
        <v/>
      </c>
      <c r="T1072">
        <f>(E1072/100000+F1072/100+(P1072/1000)*J1072/5+S1072/200)*200*I1072*H1072</f>
        <v/>
      </c>
      <c r="U1072">
        <f>((E1072*F1072/25000)+((P1072/1000)*J1072*S1072/2.5))*I1072*H1072</f>
        <v/>
      </c>
      <c r="V1072">
        <f>(E1072*F1072*(P1072/1000)*J1072*S1072*I1072*H1072)/12500000</f>
        <v/>
      </c>
      <c r="W1072">
        <f>(((E1072/160000)+(F1072/100)+(S1072/1200)+((P1072/8000)*J1072))*1200/4+(((E1072/160000)*(F1072/100))+(((P1072/8000)*J1072)*(S1072/1200)))*1200/2+((E1072/160000)*(F1072/100)*((P1072/8000)*J1072)*(S1072/1200))*1200)*(H1072/1.0)/3</f>
        <v/>
      </c>
      <c r="X1072" s="6" t="n">
        <v>2300</v>
      </c>
      <c r="Y1072">
        <f>IFERROR(W1072-X1072,"")</f>
        <v/>
      </c>
      <c r="Z1072">
        <f>IFERROR(ABS(Y1072)/MAX(X1072,1),"")</f>
        <v/>
      </c>
      <c r="AA1072">
        <f>IFERROR(ROUND(((3*X1072-(((E1072/160000)+(F1072/100)+(S1072/1200))*1200/4+((E1072/160000)*(F1072/100))*1200/2)*(H1072/1.0))/(1200/4+((S1072/1200))*1200/2+((E1072/160000)*(F1072/100)*(S1072/1200))*1200)*(H1072/1.0)*8000)/J1072,-1),"")</f>
        <v/>
      </c>
    </row>
    <row r="1073">
      <c r="B1073" s="7" t="inlineStr">
        <is>
          <t xml:space="preserve">  ↳ CycloneRockets</t>
        </is>
      </c>
      <c r="C1073" s="7" t="inlineStr">
        <is>
          <t>Armament</t>
        </is>
      </c>
      <c r="L1073" s="6" t="n">
        <v>4000</v>
      </c>
      <c r="M1073" s="6" t="n">
        <v>35</v>
      </c>
      <c r="N1073" s="6" t="n">
        <v>6</v>
      </c>
      <c r="O1073" s="6" t="n">
        <v>2</v>
      </c>
      <c r="P1073" s="6" t="n">
        <v>7320</v>
      </c>
      <c r="Q1073" s="6" t="n">
        <v>0.875</v>
      </c>
      <c r="R1073">
        <f>M1073+IF(N1073&gt;1,N(O1073)*(N1073-1),0)</f>
        <v/>
      </c>
      <c r="S1073">
        <f>IFERROR(L1073*MAX(N1073,1)/R1073*IF(ISBLANK(K1072),1,K1072),0)</f>
        <v/>
      </c>
      <c r="AB1073" s="7" t="inlineStr">
        <is>
          <t>^Warhead_MissileHE_Medium, ^Warhead_MissileHE_Light</t>
        </is>
      </c>
    </row>
    <row r="1074">
      <c r="B1074" s="7" t="inlineStr">
        <is>
          <t xml:space="preserve">  ↳ CycloneRocketsLockOn</t>
        </is>
      </c>
      <c r="C1074" s="7" t="inlineStr">
        <is>
          <t>Armament@lockedon</t>
        </is>
      </c>
      <c r="L1074" s="6" t="n">
        <v>4000</v>
      </c>
      <c r="M1074" s="6" t="n">
        <v>35</v>
      </c>
      <c r="N1074" s="6" t="n">
        <v>6</v>
      </c>
      <c r="O1074" s="6" t="n">
        <v>2</v>
      </c>
      <c r="P1074" s="6" t="n">
        <v>10000</v>
      </c>
      <c r="Q1074" s="6" t="n">
        <v>0.875</v>
      </c>
      <c r="R1074">
        <f>M1074+IF(N1074&gt;1,N(O1074)*(N1074-1),0)</f>
        <v/>
      </c>
      <c r="S1074">
        <f>IFERROR(L1074*MAX(N1074,1)/R1074*IF(ISBLANK(K1072),1,K1072),0)</f>
        <v/>
      </c>
      <c r="AB1074" s="7" t="inlineStr">
        <is>
          <t>^Warhead_MissileHE_Medium, ^Warhead_MissileHE_Light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07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Fighter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gdirigdrone</t>
        </is>
      </c>
      <c r="C3" t="inlineStr">
        <is>
          <t>Scalpel</t>
        </is>
      </c>
      <c r="D3" s="6" t="inlineStr">
        <is>
          <t>Fighter</t>
        </is>
      </c>
      <c r="E3" s="6" t="n">
        <v>25000</v>
      </c>
      <c r="F3" s="6" t="n">
        <v>120</v>
      </c>
      <c r="G3" t="inlineStr">
        <is>
          <t>Fighter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GDIRigPDLaser</t>
        </is>
      </c>
      <c r="C4" s="7" t="inlineStr">
        <is>
          <t>Armament@pointdefense</t>
        </is>
      </c>
      <c r="L4" s="6" t="n">
        <v>2000</v>
      </c>
      <c r="M4" s="6" t="n">
        <v>25</v>
      </c>
      <c r="N4" s="6" t="n">
        <v>1</v>
      </c>
      <c r="O4" s="6" t="n"/>
      <c r="P4" s="6" t="n">
        <v>6000</v>
      </c>
      <c r="Q4" s="6" t="n">
        <v>1.25</v>
      </c>
      <c r="R4">
        <f>M4+IF(N4&gt;1,N(O4)*(N4-1),0)</f>
        <v/>
      </c>
      <c r="S4">
        <f>IFERROR(L4*MAX(N4,1)/R4*IF(ISBLANK(K3),1,K3),0)</f>
        <v/>
      </c>
      <c r="AB4" s="7" t="inlineStr">
        <is>
          <t>^Warhead_Laser_Heavy</t>
        </is>
      </c>
    </row>
    <row r="5">
      <c r="B5" s="7" t="inlineStr">
        <is>
          <t xml:space="preserve">  ↳ GDIRigDroneRepair</t>
        </is>
      </c>
      <c r="C5" s="7" t="inlineStr">
        <is>
          <t>Armament@PRIMARY</t>
        </is>
      </c>
      <c r="L5" s="6" t="n">
        <v>-3000</v>
      </c>
      <c r="M5" s="6" t="n">
        <v>5</v>
      </c>
      <c r="N5" s="6" t="n">
        <v>1</v>
      </c>
      <c r="O5" s="6" t="n">
        <v>1</v>
      </c>
      <c r="P5" s="6" t="n">
        <v>6000</v>
      </c>
      <c r="Q5" s="6" t="n">
        <v>1</v>
      </c>
      <c r="R5">
        <f>M5+IF(N5&gt;1,N(O5)*(N5-1),0)</f>
        <v/>
      </c>
      <c r="S5">
        <f>IFERROR(L5*MAX(N5,1)/R5*IF(ISBLANK(K3),1,K3),0)</f>
        <v/>
      </c>
      <c r="AB5" s="7" t="inlineStr">
        <is>
          <t>^RepairWeapon</t>
        </is>
      </c>
    </row>
    <row r="6">
      <c r="A6" t="inlineStr">
        <is>
          <t>redalert</t>
        </is>
      </c>
      <c r="B6" t="inlineStr">
        <is>
          <t>japan_zerofighter</t>
        </is>
      </c>
      <c r="C6" t="inlineStr">
        <is>
          <t>Zero Fighter</t>
        </is>
      </c>
      <c r="D6" s="6" t="inlineStr">
        <is>
          <t>Fighter</t>
        </is>
      </c>
      <c r="E6" s="6" t="n">
        <v>30000</v>
      </c>
      <c r="F6" s="6" t="n">
        <v>175</v>
      </c>
      <c r="G6" t="inlineStr">
        <is>
          <t>Fighter</t>
        </is>
      </c>
      <c r="H6" s="6" t="n">
        <v>0.7174</v>
      </c>
      <c r="I6" s="6" t="n">
        <v>1</v>
      </c>
      <c r="J6" s="6" t="n">
        <v>1</v>
      </c>
      <c r="K6" s="6" t="n">
        <v>0.005</v>
      </c>
      <c r="P6">
        <f>MAX(P7,P8,P9,P10)</f>
        <v/>
      </c>
      <c r="S6">
        <f>S7+S8+S9+S10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1200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ZeroFighterArrows</t>
        </is>
      </c>
      <c r="C7" s="7" t="inlineStr">
        <is>
          <t>Armament@Missiles</t>
        </is>
      </c>
      <c r="L7" s="6" t="n">
        <v>36000</v>
      </c>
      <c r="M7" s="6" t="n">
        <v>110</v>
      </c>
      <c r="N7" s="6" t="n">
        <v>2</v>
      </c>
      <c r="O7" s="6" t="n">
        <v>9</v>
      </c>
      <c r="P7" s="6" t="n">
        <v>6615</v>
      </c>
      <c r="Q7" s="6" t="n">
        <v>0.875</v>
      </c>
      <c r="R7">
        <f>M7+IF(N7&gt;1,N(O7)*(N7-1),0)</f>
        <v/>
      </c>
      <c r="S7">
        <f>IFERROR(L7*MAX(N7,1)/R7*IF(ISBLANK(K6),1,K6),0)</f>
        <v/>
      </c>
      <c r="AB7" s="7" t="inlineStr">
        <is>
          <t>^Warhead_MissileHE_Medium, ^Warhead_Arrow_Light</t>
        </is>
      </c>
    </row>
    <row r="8">
      <c r="B8" s="7" t="inlineStr">
        <is>
          <t xml:space="preserve">  ↳ ZeroFighterArrowsEnergized</t>
        </is>
      </c>
      <c r="C8" s="7" t="inlineStr">
        <is>
          <t>Armament@MissilesUpgrade</t>
        </is>
      </c>
      <c r="L8" s="6" t="n">
        <v>32000</v>
      </c>
      <c r="M8" s="6" t="n">
        <v>110</v>
      </c>
      <c r="N8" s="6" t="n">
        <v>2</v>
      </c>
      <c r="O8" s="6" t="n">
        <v>9</v>
      </c>
      <c r="P8" s="6" t="n">
        <v>6615</v>
      </c>
      <c r="Q8" s="6" t="n">
        <v>0.875</v>
      </c>
      <c r="R8">
        <f>M8+IF(N8&gt;1,N(O8)*(N8-1),0)</f>
        <v/>
      </c>
      <c r="S8">
        <f>IFERROR(L8*MAX(N8,1)/R8*IF(ISBLANK(K6),1,K6),0)</f>
        <v/>
      </c>
      <c r="AB8" s="7" t="inlineStr">
        <is>
          <t>^Warhead_MissileHE_Medium, ^Warhead_Arrow_Light</t>
        </is>
      </c>
    </row>
    <row r="9">
      <c r="B9" s="7" t="inlineStr">
        <is>
          <t xml:space="preserve">  ↳ ZeroFighterChainGun</t>
        </is>
      </c>
      <c r="C9" s="7" t="inlineStr">
        <is>
          <t>Armament@PRIMARY</t>
        </is>
      </c>
      <c r="L9" s="6" t="n">
        <v>6000</v>
      </c>
      <c r="M9" s="6" t="n">
        <v>92</v>
      </c>
      <c r="N9" s="6" t="n">
        <v>12</v>
      </c>
      <c r="O9" s="6" t="n">
        <v>4</v>
      </c>
      <c r="P9" s="6" t="n">
        <v>6615</v>
      </c>
      <c r="Q9" s="6" t="n">
        <v>1</v>
      </c>
      <c r="R9">
        <f>M9+IF(N9&gt;1,N(O9)*(N9-1),0)</f>
        <v/>
      </c>
      <c r="S9">
        <f>IFERROR(L9*MAX(N9,1)/R9*IF(ISBLANK(K6),1,K6),0)</f>
        <v/>
      </c>
      <c r="AB9" s="7" t="inlineStr">
        <is>
          <t>^Warhead_Bullet_Medium</t>
        </is>
      </c>
    </row>
    <row r="10">
      <c r="B10" s="7" t="inlineStr">
        <is>
          <t xml:space="preserve">  ↳ ZeroFighterChainGunWaveforce</t>
        </is>
      </c>
      <c r="C10" s="7" t="inlineStr">
        <is>
          <t>Armament@Upgrade</t>
        </is>
      </c>
      <c r="L10" s="6" t="n">
        <v>11000</v>
      </c>
      <c r="M10" s="6" t="n">
        <v>92</v>
      </c>
      <c r="N10" s="6" t="n">
        <v>12</v>
      </c>
      <c r="O10" s="6" t="n">
        <v>4</v>
      </c>
      <c r="P10" s="6" t="n">
        <v>6615</v>
      </c>
      <c r="Q10" s="6" t="n">
        <v>1.125</v>
      </c>
      <c r="R10">
        <f>M10+IF(N10&gt;1,N(O10)*(N10-1),0)</f>
        <v/>
      </c>
      <c r="S10">
        <f>IFERROR(L10*MAX(N10,1)/R10*IF(ISBLANK(K6),1,K6),0)</f>
        <v/>
      </c>
      <c r="AB10" s="7" t="inlineStr">
        <is>
          <t>^Warhead_Railgun_Heavy, ^Warhead_Bullet_Medium</t>
        </is>
      </c>
    </row>
    <row r="11">
      <c r="A11" t="inlineStr">
        <is>
          <t>redalert</t>
        </is>
      </c>
      <c r="B11" t="inlineStr">
        <is>
          <t>ra1_soviets_armoredyak</t>
        </is>
      </c>
      <c r="C11" t="inlineStr">
        <is>
          <t>Armored Yak</t>
        </is>
      </c>
      <c r="D11" s="6" t="inlineStr">
        <is>
          <t>Fighter</t>
        </is>
      </c>
      <c r="E11" s="6" t="n">
        <v>80000</v>
      </c>
      <c r="F11" s="6" t="n">
        <v>135</v>
      </c>
      <c r="G11" t="inlineStr">
        <is>
          <t>Fighter</t>
        </is>
      </c>
      <c r="H11" s="6" t="n">
        <v>1</v>
      </c>
      <c r="I11" s="6" t="n">
        <v>1</v>
      </c>
      <c r="J11" s="6" t="n">
        <v>1</v>
      </c>
      <c r="K11" s="6" t="n"/>
      <c r="P11">
        <f>MAX(P12,P13,P14,P15)</f>
        <v/>
      </c>
      <c r="S11">
        <f>S12+S13+S14+S15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1600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ArmoredYakChainGun</t>
        </is>
      </c>
      <c r="C12" s="7" t="inlineStr">
        <is>
          <t>Armament@PRIMARY</t>
        </is>
      </c>
      <c r="L12" s="6" t="n">
        <v>4000</v>
      </c>
      <c r="M12" s="6" t="n">
        <v>148</v>
      </c>
      <c r="N12" s="6" t="n">
        <v>10</v>
      </c>
      <c r="O12" s="6" t="n">
        <v>3</v>
      </c>
      <c r="P12" s="6" t="n">
        <v>6460</v>
      </c>
      <c r="Q12" s="6" t="n">
        <v>1</v>
      </c>
      <c r="R12">
        <f>M12+IF(N12&gt;1,N(O12)*(N12-1),0)</f>
        <v/>
      </c>
      <c r="S12">
        <f>IFERROR(L12*MAX(N12,1)/R12*IF(ISBLANK(K11),1,K11),0)</f>
        <v/>
      </c>
      <c r="AB12" s="7" t="inlineStr">
        <is>
          <t>^Warhead_Bullet_Medium</t>
        </is>
      </c>
    </row>
    <row r="13">
      <c r="B13" s="7" t="inlineStr">
        <is>
          <t xml:space="preserve">  ↳ ArmoredYakChainGun</t>
        </is>
      </c>
      <c r="C13" s="7" t="inlineStr">
        <is>
          <t>Armament@SECONDARY</t>
        </is>
      </c>
      <c r="L13" s="6" t="n">
        <v>4000</v>
      </c>
      <c r="M13" s="6" t="n">
        <v>148</v>
      </c>
      <c r="N13" s="6" t="n">
        <v>10</v>
      </c>
      <c r="O13" s="6" t="n">
        <v>3</v>
      </c>
      <c r="P13" s="6" t="n">
        <v>6460</v>
      </c>
      <c r="Q13" s="6" t="n">
        <v>1</v>
      </c>
      <c r="R13">
        <f>M13+IF(N13&gt;1,N(O13)*(N13-1),0)</f>
        <v/>
      </c>
      <c r="S13">
        <f>IFERROR(L13*MAX(N13,1)/R13*IF(ISBLANK(K11),1,K11),0)</f>
        <v/>
      </c>
      <c r="AB13" s="7" t="inlineStr">
        <is>
          <t>^Warhead_Bullet_Medium</t>
        </is>
      </c>
    </row>
    <row r="14">
      <c r="B14" s="7" t="inlineStr">
        <is>
          <t xml:space="preserve">  ↳ IncendiaryArmoredYakChainGun</t>
        </is>
      </c>
      <c r="C14" s="7" t="inlineStr">
        <is>
          <t>Armament@Upgrade1</t>
        </is>
      </c>
      <c r="L14" s="6" t="n">
        <v>8000</v>
      </c>
      <c r="M14" s="6" t="n">
        <v>148</v>
      </c>
      <c r="N14" s="6" t="n">
        <v>10</v>
      </c>
      <c r="O14" s="6" t="n">
        <v>3</v>
      </c>
      <c r="P14" s="6" t="n">
        <v>6460</v>
      </c>
      <c r="Q14" s="6" t="n">
        <v>0.875</v>
      </c>
      <c r="R14">
        <f>M14+IF(N14&gt;1,N(O14)*(N14-1),0)</f>
        <v/>
      </c>
      <c r="S14">
        <f>IFERROR(L14*MAX(N14,1)/R14*IF(ISBLANK(K11),1,K11),0)</f>
        <v/>
      </c>
      <c r="AB14" s="7" t="inlineStr">
        <is>
          <t>^Warhead_Flame_Light, ^Warhead_Bullet_Medium</t>
        </is>
      </c>
    </row>
    <row r="15">
      <c r="B15" s="7" t="inlineStr">
        <is>
          <t xml:space="preserve">  ↳ IncendiaryArmoredYakChainGun</t>
        </is>
      </c>
      <c r="C15" s="7" t="inlineStr">
        <is>
          <t>Armament@Upgrade2</t>
        </is>
      </c>
      <c r="L15" s="6" t="n">
        <v>8000</v>
      </c>
      <c r="M15" s="6" t="n">
        <v>148</v>
      </c>
      <c r="N15" s="6" t="n">
        <v>10</v>
      </c>
      <c r="O15" s="6" t="n">
        <v>3</v>
      </c>
      <c r="P15" s="6" t="n">
        <v>6460</v>
      </c>
      <c r="Q15" s="6" t="n">
        <v>0.875</v>
      </c>
      <c r="R15">
        <f>M15+IF(N15&gt;1,N(O15)*(N15-1),0)</f>
        <v/>
      </c>
      <c r="S15">
        <f>IFERROR(L15*MAX(N15,1)/R15*IF(ISBLANK(K11),1,K11),0)</f>
        <v/>
      </c>
      <c r="AB15" s="7" t="inlineStr">
        <is>
          <t>^Warhead_Flame_Light, ^Warhead_Bullet_Medium</t>
        </is>
      </c>
    </row>
    <row r="16">
      <c r="A16" t="inlineStr">
        <is>
          <t>redalert</t>
        </is>
      </c>
      <c r="B16" t="inlineStr">
        <is>
          <t>ra1_soviets_nuclearyak</t>
        </is>
      </c>
      <c r="C16" t="inlineStr">
        <is>
          <t>Nuclear Yak</t>
        </is>
      </c>
      <c r="D16" s="6" t="inlineStr">
        <is>
          <t>Fighter</t>
        </is>
      </c>
      <c r="E16" s="6" t="n">
        <v>64000</v>
      </c>
      <c r="F16" s="6" t="n">
        <v>190</v>
      </c>
      <c r="G16" t="inlineStr">
        <is>
          <t>Fighter</t>
        </is>
      </c>
      <c r="H16" s="6" t="n">
        <v>1</v>
      </c>
      <c r="I16" s="6" t="n">
        <v>1</v>
      </c>
      <c r="J16" s="6" t="n">
        <v>1</v>
      </c>
      <c r="K16" s="6" t="n">
        <v>0.005</v>
      </c>
      <c r="P16">
        <f>MAX(P17,P18,P19,P20,P21)</f>
        <v/>
      </c>
      <c r="S16">
        <f>S17+S18+S19+S20+S21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2000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YakNuclearBomb</t>
        </is>
      </c>
      <c r="C17" s="7" t="inlineStr">
        <is>
          <t>Armament@BOMBS</t>
        </is>
      </c>
      <c r="L17" s="6" t="n">
        <v>200000</v>
      </c>
      <c r="M17" s="6" t="n">
        <v>125</v>
      </c>
      <c r="N17" s="6" t="n">
        <v>1</v>
      </c>
      <c r="O17" s="6" t="n"/>
      <c r="P17" s="6" t="n">
        <v>1250</v>
      </c>
      <c r="Q17" s="6" t="n">
        <v>1</v>
      </c>
      <c r="R17">
        <f>M17+IF(N17&gt;1,N(O17)*(N17-1),0)</f>
        <v/>
      </c>
      <c r="S17">
        <f>IFERROR(L17*MAX(N17,1)/R17*IF(ISBLANK(K16),1,K16),0)</f>
        <v/>
      </c>
      <c r="AB17" s="7" t="inlineStr">
        <is>
          <t>^HeavyBomb, ^HeavyChemicalWeapon, ^HeavyFlameWeapon, ^NuclearWarhead</t>
        </is>
      </c>
    </row>
    <row r="18">
      <c r="B18" s="7" t="inlineStr">
        <is>
          <t xml:space="preserve">  ↳ YakChainGun</t>
        </is>
      </c>
      <c r="C18" s="7" t="inlineStr">
        <is>
          <t>Armament@PRIMARY</t>
        </is>
      </c>
      <c r="L18" s="6" t="n">
        <v>4000</v>
      </c>
      <c r="M18" s="6" t="n">
        <v>100</v>
      </c>
      <c r="N18" s="6" t="n">
        <v>8</v>
      </c>
      <c r="O18" s="6" t="n">
        <v>3</v>
      </c>
      <c r="P18" s="6" t="n">
        <v>7000</v>
      </c>
      <c r="Q18" s="6" t="n">
        <v>1</v>
      </c>
      <c r="R18">
        <f>M18+IF(N18&gt;1,N(O18)*(N18-1),0)</f>
        <v/>
      </c>
      <c r="S18">
        <f>IFERROR(L18*MAX(N18,1)/R18*IF(ISBLANK(K16),1,K16),0)</f>
        <v/>
      </c>
      <c r="AB18" s="7" t="inlineStr">
        <is>
          <t>^Warhead_Bullet_Medium</t>
        </is>
      </c>
    </row>
    <row r="19">
      <c r="B19" s="7" t="inlineStr">
        <is>
          <t xml:space="preserve">  ↳ YakChainGun</t>
        </is>
      </c>
      <c r="C19" s="7" t="inlineStr">
        <is>
          <t>Armament@SECONDARY</t>
        </is>
      </c>
      <c r="L19" s="6" t="n">
        <v>4000</v>
      </c>
      <c r="M19" s="6" t="n">
        <v>100</v>
      </c>
      <c r="N19" s="6" t="n">
        <v>8</v>
      </c>
      <c r="O19" s="6" t="n">
        <v>3</v>
      </c>
      <c r="P19" s="6" t="n">
        <v>7000</v>
      </c>
      <c r="Q19" s="6" t="n">
        <v>1</v>
      </c>
      <c r="R19">
        <f>M19+IF(N19&gt;1,N(O19)*(N19-1),0)</f>
        <v/>
      </c>
      <c r="S19">
        <f>IFERROR(L19*MAX(N19,1)/R19*IF(ISBLANK(K16),1,K16),0)</f>
        <v/>
      </c>
      <c r="AB19" s="7" t="inlineStr">
        <is>
          <t>^Warhead_Bullet_Medium</t>
        </is>
      </c>
    </row>
    <row r="20">
      <c r="B20" s="7" t="inlineStr">
        <is>
          <t xml:space="preserve">  ↳ IncendiaryYakChainGun</t>
        </is>
      </c>
      <c r="C20" s="7" t="inlineStr">
        <is>
          <t>Armament@Upgrade1</t>
        </is>
      </c>
      <c r="L20" s="6" t="n">
        <v>8000</v>
      </c>
      <c r="M20" s="6" t="n">
        <v>100</v>
      </c>
      <c r="N20" s="6" t="n">
        <v>8</v>
      </c>
      <c r="O20" s="6" t="n">
        <v>3</v>
      </c>
      <c r="P20" s="6" t="n">
        <v>7000</v>
      </c>
      <c r="Q20" s="6" t="n">
        <v>0.875</v>
      </c>
      <c r="R20">
        <f>M20+IF(N20&gt;1,N(O20)*(N20-1),0)</f>
        <v/>
      </c>
      <c r="S20">
        <f>IFERROR(L20*MAX(N20,1)/R20*IF(ISBLANK(K16),1,K16),0)</f>
        <v/>
      </c>
      <c r="AB20" s="7" t="inlineStr">
        <is>
          <t>^Warhead_Flame_Light, ^Warhead_Bullet_Medium</t>
        </is>
      </c>
    </row>
    <row r="21">
      <c r="B21" s="7" t="inlineStr">
        <is>
          <t xml:space="preserve">  ↳ IncendiaryYakChainGun</t>
        </is>
      </c>
      <c r="C21" s="7" t="inlineStr">
        <is>
          <t>Armament@Upgrade2</t>
        </is>
      </c>
      <c r="L21" s="6" t="n">
        <v>8000</v>
      </c>
      <c r="M21" s="6" t="n">
        <v>100</v>
      </c>
      <c r="N21" s="6" t="n">
        <v>8</v>
      </c>
      <c r="O21" s="6" t="n">
        <v>3</v>
      </c>
      <c r="P21" s="6" t="n">
        <v>7000</v>
      </c>
      <c r="Q21" s="6" t="n">
        <v>0.875</v>
      </c>
      <c r="R21">
        <f>M21+IF(N21&gt;1,N(O21)*(N21-1),0)</f>
        <v/>
      </c>
      <c r="S21">
        <f>IFERROR(L21*MAX(N21,1)/R21*IF(ISBLANK(K16),1,K16),0)</f>
        <v/>
      </c>
      <c r="AB21" s="7" t="inlineStr">
        <is>
          <t>^Warhead_Flame_Light, ^Warhead_Bullet_Medium</t>
        </is>
      </c>
    </row>
    <row r="22">
      <c r="A22" t="inlineStr">
        <is>
          <t>redalert</t>
        </is>
      </c>
      <c r="B22" t="inlineStr">
        <is>
          <t>ra1_soviets_teslayak</t>
        </is>
      </c>
      <c r="C22" t="inlineStr">
        <is>
          <t>Tesla Yak</t>
        </is>
      </c>
      <c r="D22" s="6" t="inlineStr">
        <is>
          <t>Fighter</t>
        </is>
      </c>
      <c r="E22" s="6" t="n">
        <v>64000</v>
      </c>
      <c r="F22" s="6" t="n">
        <v>190</v>
      </c>
      <c r="G22" t="inlineStr">
        <is>
          <t>Fighter</t>
        </is>
      </c>
      <c r="H22" s="6" t="n">
        <v>1</v>
      </c>
      <c r="I22" s="6" t="n">
        <v>1</v>
      </c>
      <c r="J22" s="6" t="n">
        <v>1</v>
      </c>
      <c r="K22" s="6" t="n">
        <v>0.0025</v>
      </c>
      <c r="P22">
        <f>MAX(P23,P24,P25,P26,P27,P28,P29)</f>
        <v/>
      </c>
      <c r="S22">
        <f>S23+S24+S25+S26+S27+S28+S29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2000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YakTeslaBomb</t>
        </is>
      </c>
      <c r="C23" s="7" t="inlineStr">
        <is>
          <t>Armament@BOMBS</t>
        </is>
      </c>
      <c r="L23" s="6" t="n">
        <v>160000</v>
      </c>
      <c r="M23" s="6" t="n">
        <v>125</v>
      </c>
      <c r="N23" s="6" t="n">
        <v>1</v>
      </c>
      <c r="O23" s="6" t="n"/>
      <c r="P23" s="6" t="n">
        <v>1250</v>
      </c>
      <c r="Q23" s="6" t="n">
        <v>1</v>
      </c>
      <c r="R23">
        <f>M23+IF(N23&gt;1,N(O23)*(N23-1),0)</f>
        <v/>
      </c>
      <c r="S23">
        <f>IFERROR(L23*MAX(N23,1)/R23*IF(ISBLANK(K22),1,K22),0)</f>
        <v/>
      </c>
      <c r="AB23" s="7" t="inlineStr">
        <is>
          <t>^TeslaWeapon, ^HeavyBomb, ^HeavyChemicalWeapon, ^HeavyFlameWeapon, ^Effect_Kirov_Tesla_RA2</t>
        </is>
      </c>
    </row>
    <row r="24">
      <c r="B24" s="7" t="inlineStr">
        <is>
          <t xml:space="preserve">  ↳ YakTeslaGun</t>
        </is>
      </c>
      <c r="C24" s="7" t="inlineStr">
        <is>
          <t>Armament@Tesla</t>
        </is>
      </c>
      <c r="L24" s="6" t="n">
        <v>16000</v>
      </c>
      <c r="M24" s="6" t="n">
        <v>100</v>
      </c>
      <c r="N24" s="6" t="n">
        <v>8</v>
      </c>
      <c r="O24" s="6" t="n">
        <v>3</v>
      </c>
      <c r="P24" s="6" t="n">
        <v>7000</v>
      </c>
      <c r="Q24" s="6" t="n">
        <v>1</v>
      </c>
      <c r="R24">
        <f>M24+IF(N24&gt;1,N(O24)*(N24-1),0)</f>
        <v/>
      </c>
      <c r="S24">
        <f>IFERROR(L24*MAX(N24,1)/R24*IF(ISBLANK(K22),1,K22),0)</f>
        <v/>
      </c>
      <c r="AB24" s="7" t="inlineStr">
        <is>
          <t>^Warhead_MissileAP_Light, ^Warhead_Tesla_Heavy</t>
        </is>
      </c>
    </row>
    <row r="25">
      <c r="B25" s="7" t="inlineStr">
        <is>
          <t xml:space="preserve">  ↳ YakTeslaGunArc</t>
        </is>
      </c>
      <c r="C25" s="7" t="inlineStr">
        <is>
          <t>Armament@Arcing</t>
        </is>
      </c>
      <c r="L25" s="6" t="n">
        <v>16000</v>
      </c>
      <c r="M25" s="6" t="n">
        <v>100</v>
      </c>
      <c r="N25" s="6" t="n">
        <v>8</v>
      </c>
      <c r="O25" s="6" t="n">
        <v>3</v>
      </c>
      <c r="P25" s="6" t="n">
        <v>7000</v>
      </c>
      <c r="Q25" s="6" t="n">
        <v>1</v>
      </c>
      <c r="R25">
        <f>M25+IF(N25&gt;1,N(O25)*(N25-1),0)</f>
        <v/>
      </c>
      <c r="S25">
        <f>IFERROR(L25*MAX(N25,1)/R25*IF(ISBLANK(K22),1,K22),0)</f>
        <v/>
      </c>
      <c r="AB25" s="7" t="inlineStr">
        <is>
          <t>^Warhead_MissileAP_Light, ^Warhead_Tesla_Heavy</t>
        </is>
      </c>
    </row>
    <row r="26">
      <c r="B26" s="7" t="inlineStr">
        <is>
          <t xml:space="preserve">  ↳ YakChainGun</t>
        </is>
      </c>
      <c r="C26" s="7" t="inlineStr">
        <is>
          <t>Armament@PRIMARY</t>
        </is>
      </c>
      <c r="L26" s="6" t="n">
        <v>4000</v>
      </c>
      <c r="M26" s="6" t="n">
        <v>100</v>
      </c>
      <c r="N26" s="6" t="n">
        <v>8</v>
      </c>
      <c r="O26" s="6" t="n">
        <v>3</v>
      </c>
      <c r="P26" s="6" t="n">
        <v>7000</v>
      </c>
      <c r="Q26" s="6" t="n">
        <v>1</v>
      </c>
      <c r="R26">
        <f>M26+IF(N26&gt;1,N(O26)*(N26-1),0)</f>
        <v/>
      </c>
      <c r="S26">
        <f>IFERROR(L26*MAX(N26,1)/R26*IF(ISBLANK(K22),1,K22),0)</f>
        <v/>
      </c>
      <c r="AB26" s="7" t="inlineStr">
        <is>
          <t>^Warhead_Bullet_Medium</t>
        </is>
      </c>
    </row>
    <row r="27">
      <c r="B27" s="7" t="inlineStr">
        <is>
          <t xml:space="preserve">  ↳ YakChainGun</t>
        </is>
      </c>
      <c r="C27" s="7" t="inlineStr">
        <is>
          <t>Armament@SECONDARY</t>
        </is>
      </c>
      <c r="L27" s="6" t="n">
        <v>4000</v>
      </c>
      <c r="M27" s="6" t="n">
        <v>100</v>
      </c>
      <c r="N27" s="6" t="n">
        <v>8</v>
      </c>
      <c r="O27" s="6" t="n">
        <v>3</v>
      </c>
      <c r="P27" s="6" t="n">
        <v>7000</v>
      </c>
      <c r="Q27" s="6" t="n">
        <v>1</v>
      </c>
      <c r="R27">
        <f>M27+IF(N27&gt;1,N(O27)*(N27-1),0)</f>
        <v/>
      </c>
      <c r="S27">
        <f>IFERROR(L27*MAX(N27,1)/R27*IF(ISBLANK(K22),1,K22),0)</f>
        <v/>
      </c>
      <c r="AB27" s="7" t="inlineStr">
        <is>
          <t>^Warhead_Bullet_Medium</t>
        </is>
      </c>
    </row>
    <row r="28">
      <c r="B28" s="7" t="inlineStr">
        <is>
          <t xml:space="preserve">  ↳ IncendiaryYakChainGun</t>
        </is>
      </c>
      <c r="C28" s="7" t="inlineStr">
        <is>
          <t>Armament@Upgrade1</t>
        </is>
      </c>
      <c r="L28" s="6" t="n">
        <v>8000</v>
      </c>
      <c r="M28" s="6" t="n">
        <v>100</v>
      </c>
      <c r="N28" s="6" t="n">
        <v>8</v>
      </c>
      <c r="O28" s="6" t="n">
        <v>3</v>
      </c>
      <c r="P28" s="6" t="n">
        <v>7000</v>
      </c>
      <c r="Q28" s="6" t="n">
        <v>0.875</v>
      </c>
      <c r="R28">
        <f>M28+IF(N28&gt;1,N(O28)*(N28-1),0)</f>
        <v/>
      </c>
      <c r="S28">
        <f>IFERROR(L28*MAX(N28,1)/R28*IF(ISBLANK(K22),1,K22),0)</f>
        <v/>
      </c>
      <c r="AB28" s="7" t="inlineStr">
        <is>
          <t>^Warhead_Flame_Light, ^Warhead_Bullet_Medium</t>
        </is>
      </c>
    </row>
    <row r="29">
      <c r="B29" s="7" t="inlineStr">
        <is>
          <t xml:space="preserve">  ↳ IncendiaryYakChainGun</t>
        </is>
      </c>
      <c r="C29" s="7" t="inlineStr">
        <is>
          <t>Armament@Upgrade2</t>
        </is>
      </c>
      <c r="L29" s="6" t="n">
        <v>8000</v>
      </c>
      <c r="M29" s="6" t="n">
        <v>100</v>
      </c>
      <c r="N29" s="6" t="n">
        <v>8</v>
      </c>
      <c r="O29" s="6" t="n">
        <v>3</v>
      </c>
      <c r="P29" s="6" t="n">
        <v>7000</v>
      </c>
      <c r="Q29" s="6" t="n">
        <v>0.875</v>
      </c>
      <c r="R29">
        <f>M29+IF(N29&gt;1,N(O29)*(N29-1),0)</f>
        <v/>
      </c>
      <c r="S29">
        <f>IFERROR(L29*MAX(N29,1)/R29*IF(ISBLANK(K22),1,K22),0)</f>
        <v/>
      </c>
      <c r="AB29" s="7" t="inlineStr">
        <is>
          <t>^Warhead_Flame_Light, ^Warhead_Bullet_Medium</t>
        </is>
      </c>
    </row>
    <row r="30">
      <c r="A30" t="inlineStr">
        <is>
          <t>redalert</t>
        </is>
      </c>
      <c r="B30" t="inlineStr">
        <is>
          <t>ra1_soviets_yakscoutplane</t>
        </is>
      </c>
      <c r="C30" t="inlineStr">
        <is>
          <t>Yak Scout Plane</t>
        </is>
      </c>
      <c r="D30" s="6" t="inlineStr">
        <is>
          <t>Fighter</t>
        </is>
      </c>
      <c r="E30" s="6" t="n">
        <v>32000</v>
      </c>
      <c r="F30" s="6" t="n">
        <v>170</v>
      </c>
      <c r="G30" t="inlineStr">
        <is>
          <t>Fighter</t>
        </is>
      </c>
      <c r="H30" s="6" t="n">
        <v>0.7333</v>
      </c>
      <c r="I30" s="6" t="n">
        <v>1</v>
      </c>
      <c r="J30" s="6" t="n">
        <v>1</v>
      </c>
      <c r="K30" s="6" t="n">
        <v>0.0025</v>
      </c>
      <c r="P30">
        <f>MAX(P31,P32,P33,P34,P35)</f>
        <v/>
      </c>
      <c r="S30">
        <f>S31+S32+S33+S34+S35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800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YakNapalm</t>
        </is>
      </c>
      <c r="C31" s="7" t="inlineStr">
        <is>
          <t>Armament@BOMBS</t>
        </is>
      </c>
      <c r="L31" s="6" t="n">
        <v>40000</v>
      </c>
      <c r="M31" s="6" t="n">
        <v>110</v>
      </c>
      <c r="N31" s="6" t="n">
        <v>4</v>
      </c>
      <c r="O31" s="6" t="n">
        <v>3</v>
      </c>
      <c r="P31" s="6" t="n">
        <v>1840</v>
      </c>
      <c r="Q31" s="6" t="n">
        <v>1</v>
      </c>
      <c r="R31">
        <f>M31+IF(N31&gt;1,N(O31)*(N31-1),0)</f>
        <v/>
      </c>
      <c r="S31">
        <f>IFERROR(L31*MAX(N31,1)/R31*IF(ISBLANK(K30),1,K30),0)</f>
        <v/>
      </c>
      <c r="AB31" s="7" t="inlineStr">
        <is>
          <t>^ShrapnelWeapon, ^HeavyBomb, ^MediumFlameWeapon, ^HeavyFlameWeapon</t>
        </is>
      </c>
    </row>
    <row r="32">
      <c r="B32" s="7" t="inlineStr">
        <is>
          <t xml:space="preserve">  ↳ YakChainGun</t>
        </is>
      </c>
      <c r="C32" s="7" t="inlineStr">
        <is>
          <t>Armament@PRIMARY</t>
        </is>
      </c>
      <c r="L32" s="6" t="n">
        <v>4000</v>
      </c>
      <c r="M32" s="6" t="n">
        <v>100</v>
      </c>
      <c r="N32" s="6" t="n">
        <v>8</v>
      </c>
      <c r="O32" s="6" t="n">
        <v>3</v>
      </c>
      <c r="P32" s="6" t="n">
        <v>7000</v>
      </c>
      <c r="Q32" s="6" t="n">
        <v>1</v>
      </c>
      <c r="R32">
        <f>M32+IF(N32&gt;1,N(O32)*(N32-1),0)</f>
        <v/>
      </c>
      <c r="S32">
        <f>IFERROR(L32*MAX(N32,1)/R32*IF(ISBLANK(K30),1,K30),0)</f>
        <v/>
      </c>
      <c r="AB32" s="7" t="inlineStr">
        <is>
          <t>^Warhead_Bullet_Medium</t>
        </is>
      </c>
    </row>
    <row r="33">
      <c r="B33" s="7" t="inlineStr">
        <is>
          <t xml:space="preserve">  ↳ YakChainGun</t>
        </is>
      </c>
      <c r="C33" s="7" t="inlineStr">
        <is>
          <t>Armament@SECONDARY</t>
        </is>
      </c>
      <c r="L33" s="6" t="n">
        <v>4000</v>
      </c>
      <c r="M33" s="6" t="n">
        <v>100</v>
      </c>
      <c r="N33" s="6" t="n">
        <v>8</v>
      </c>
      <c r="O33" s="6" t="n">
        <v>3</v>
      </c>
      <c r="P33" s="6" t="n">
        <v>7000</v>
      </c>
      <c r="Q33" s="6" t="n">
        <v>1</v>
      </c>
      <c r="R33">
        <f>M33+IF(N33&gt;1,N(O33)*(N33-1),0)</f>
        <v/>
      </c>
      <c r="S33">
        <f>IFERROR(L33*MAX(N33,1)/R33*IF(ISBLANK(K30),1,K30),0)</f>
        <v/>
      </c>
      <c r="AB33" s="7" t="inlineStr">
        <is>
          <t>^Warhead_Bullet_Medium</t>
        </is>
      </c>
    </row>
    <row r="34">
      <c r="B34" s="7" t="inlineStr">
        <is>
          <t xml:space="preserve">  ↳ IncendiaryYakChainGun</t>
        </is>
      </c>
      <c r="C34" s="7" t="inlineStr">
        <is>
          <t>Armament@Upgrade1</t>
        </is>
      </c>
      <c r="L34" s="6" t="n">
        <v>8000</v>
      </c>
      <c r="M34" s="6" t="n">
        <v>100</v>
      </c>
      <c r="N34" s="6" t="n">
        <v>8</v>
      </c>
      <c r="O34" s="6" t="n">
        <v>3</v>
      </c>
      <c r="P34" s="6" t="n">
        <v>7000</v>
      </c>
      <c r="Q34" s="6" t="n">
        <v>0.875</v>
      </c>
      <c r="R34">
        <f>M34+IF(N34&gt;1,N(O34)*(N34-1),0)</f>
        <v/>
      </c>
      <c r="S34">
        <f>IFERROR(L34*MAX(N34,1)/R34*IF(ISBLANK(K30),1,K30),0)</f>
        <v/>
      </c>
      <c r="AB34" s="7" t="inlineStr">
        <is>
          <t>^Warhead_Flame_Light, ^Warhead_Bullet_Medium</t>
        </is>
      </c>
    </row>
    <row r="35">
      <c r="B35" s="7" t="inlineStr">
        <is>
          <t xml:space="preserve">  ↳ IncendiaryYakChainGun</t>
        </is>
      </c>
      <c r="C35" s="7" t="inlineStr">
        <is>
          <t>Armament@Upgrade2</t>
        </is>
      </c>
      <c r="L35" s="6" t="n">
        <v>8000</v>
      </c>
      <c r="M35" s="6" t="n">
        <v>100</v>
      </c>
      <c r="N35" s="6" t="n">
        <v>8</v>
      </c>
      <c r="O35" s="6" t="n">
        <v>3</v>
      </c>
      <c r="P35" s="6" t="n">
        <v>7000</v>
      </c>
      <c r="Q35" s="6" t="n">
        <v>0.875</v>
      </c>
      <c r="R35">
        <f>M35+IF(N35&gt;1,N(O35)*(N35-1),0)</f>
        <v/>
      </c>
      <c r="S35">
        <f>IFERROR(L35*MAX(N35,1)/R35*IF(ISBLANK(K30),1,K30),0)</f>
        <v/>
      </c>
      <c r="AB35" s="7" t="inlineStr">
        <is>
          <t>^Warhead_Flame_Light, ^Warhead_Bullet_Medium</t>
        </is>
      </c>
    </row>
    <row r="36">
      <c r="A36" t="inlineStr">
        <is>
          <t>redalert2</t>
        </is>
      </c>
      <c r="B36" t="inlineStr">
        <is>
          <t>ra2_allies_harrier</t>
        </is>
      </c>
      <c r="C36" t="inlineStr">
        <is>
          <t>Harrier</t>
        </is>
      </c>
      <c r="D36" s="6" t="inlineStr">
        <is>
          <t>Fighter</t>
        </is>
      </c>
      <c r="E36" s="6" t="n">
        <v>72000</v>
      </c>
      <c r="F36" s="6" t="n">
        <v>180</v>
      </c>
      <c r="G36" t="inlineStr">
        <is>
          <t>Fighter</t>
        </is>
      </c>
      <c r="H36" s="6" t="n">
        <v>1</v>
      </c>
      <c r="I36" s="6" t="n">
        <v>1</v>
      </c>
      <c r="J36" s="6" t="n">
        <v>1</v>
      </c>
      <c r="K36" s="6" t="n">
        <v>0.0075</v>
      </c>
      <c r="P36">
        <f>MAX(P37,P38)</f>
        <v/>
      </c>
      <c r="S36">
        <f>S37+S38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2100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HarrierMissiles</t>
        </is>
      </c>
      <c r="C37" s="7" t="inlineStr">
        <is>
          <t>Armament@PRIMARY</t>
        </is>
      </c>
      <c r="L37" s="6" t="n">
        <v>24000</v>
      </c>
      <c r="M37" s="6" t="n">
        <v>104</v>
      </c>
      <c r="N37" s="6" t="n">
        <v>4</v>
      </c>
      <c r="O37" s="6" t="n">
        <v>2</v>
      </c>
      <c r="P37" s="6" t="n">
        <v>5555</v>
      </c>
      <c r="Q37" s="6" t="n">
        <v>1</v>
      </c>
      <c r="R37">
        <f>M37+IF(N37&gt;1,N(O37)*(N37-1),0)</f>
        <v/>
      </c>
      <c r="S37">
        <f>IFERROR(L37*MAX(N37,1)/R37*IF(ISBLANK(K36),1,K36),0)</f>
        <v/>
      </c>
      <c r="AB37" s="7" t="inlineStr">
        <is>
          <t>^Warhead_MissileAP_Medium</t>
        </is>
      </c>
    </row>
    <row r="38">
      <c r="B38" s="7" t="inlineStr">
        <is>
          <t xml:space="preserve">  ↳ HarrierMissiles_elite</t>
        </is>
      </c>
      <c r="C38" s="7" t="inlineStr">
        <is>
          <t>Armament@PRIMARYELITE</t>
        </is>
      </c>
      <c r="L38" s="6" t="n">
        <v>24000</v>
      </c>
      <c r="M38" s="6" t="n">
        <v>104</v>
      </c>
      <c r="N38" s="6" t="n">
        <v>8</v>
      </c>
      <c r="O38" s="6" t="n">
        <v>2</v>
      </c>
      <c r="P38" s="6" t="n">
        <v>6666</v>
      </c>
      <c r="Q38" s="6" t="n">
        <v>1</v>
      </c>
      <c r="R38">
        <f>M38+IF(N38&gt;1,N(O38)*(N38-1),0)</f>
        <v/>
      </c>
      <c r="S38">
        <f>IFERROR(L38*MAX(N38,1)/R38*IF(ISBLANK(K36),1,K36),0)</f>
        <v/>
      </c>
      <c r="AB38" s="7" t="inlineStr">
        <is>
          <t>^Warhead_MissileAP_Medium</t>
        </is>
      </c>
    </row>
    <row r="39">
      <c r="A39" t="inlineStr">
        <is>
          <t>redalert2mod</t>
        </is>
      </c>
      <c r="B39" t="inlineStr">
        <is>
          <t>asianalliance_harbinger</t>
        </is>
      </c>
      <c r="C39" t="inlineStr">
        <is>
          <t>Harbinger</t>
        </is>
      </c>
      <c r="D39" s="6" t="inlineStr">
        <is>
          <t>Fighter</t>
        </is>
      </c>
      <c r="E39" s="6" t="n">
        <v>90000</v>
      </c>
      <c r="F39" s="6" t="n">
        <v>210</v>
      </c>
      <c r="G39" t="inlineStr">
        <is>
          <t>Fighter</t>
        </is>
      </c>
      <c r="H39" s="6" t="n">
        <v>0.5</v>
      </c>
      <c r="I39" s="6" t="n">
        <v>1</v>
      </c>
      <c r="J39" s="6" t="n">
        <v>1</v>
      </c>
      <c r="K39" s="6" t="n"/>
      <c r="P39">
        <f>MAX(P40)</f>
        <v/>
      </c>
      <c r="S39">
        <f>S40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2000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AsianHarbingerPlasma</t>
        </is>
      </c>
      <c r="C40" s="7" t="inlineStr">
        <is>
          <t>Armament@PRIMARY</t>
        </is>
      </c>
      <c r="L40" s="6" t="n">
        <v>16000</v>
      </c>
      <c r="M40" s="6" t="n">
        <v>60</v>
      </c>
      <c r="N40" s="6" t="n">
        <v>2</v>
      </c>
      <c r="O40" s="6" t="n">
        <v>5</v>
      </c>
      <c r="P40" s="6" t="n">
        <v>7777</v>
      </c>
      <c r="Q40" s="6" t="n">
        <v>1</v>
      </c>
      <c r="R40">
        <f>M40+IF(N40&gt;1,N(O40)*(N40-1),0)</f>
        <v/>
      </c>
      <c r="S40">
        <f>IFERROR(L40*MAX(N40,1)/R40*IF(ISBLANK(K39),1,K39),0)</f>
        <v/>
      </c>
      <c r="AB40" s="7" t="inlineStr">
        <is>
          <t>^Warhead_CannonHE_Medium, ^Warhead_MissileAP_Medium</t>
        </is>
      </c>
    </row>
    <row r="41">
      <c r="A41" t="inlineStr">
        <is>
          <t>redalert2mod</t>
        </is>
      </c>
      <c r="B41" t="inlineStr">
        <is>
          <t>scalpelAA.steel</t>
        </is>
      </c>
      <c r="C41" t="inlineStr">
        <is>
          <t>Anti Air Scalpel</t>
        </is>
      </c>
      <c r="D41" s="6" t="inlineStr">
        <is>
          <t>Fighter</t>
        </is>
      </c>
      <c r="E41" s="6" t="n">
        <v>10000</v>
      </c>
      <c r="F41" s="6" t="n">
        <v>80</v>
      </c>
      <c r="G41" t="inlineStr">
        <is>
          <t>Fighter</t>
        </is>
      </c>
      <c r="H41" s="6" t="n">
        <v>1</v>
      </c>
      <c r="I41" s="6" t="n">
        <v>1</v>
      </c>
      <c r="J41" s="6" t="n">
        <v>1</v>
      </c>
      <c r="K41" s="6" t="n"/>
      <c r="P41">
        <f>MAX(P42,P43)</f>
        <v/>
      </c>
      <c r="S41">
        <f>S42+S43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750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SteelScalpelRailgunAA</t>
        </is>
      </c>
      <c r="C42" s="7" t="inlineStr">
        <is>
          <t>Armament@PRIMARY</t>
        </is>
      </c>
      <c r="L42" s="6" t="n">
        <v>16000</v>
      </c>
      <c r="M42" s="6" t="n">
        <v>48</v>
      </c>
      <c r="N42" s="6" t="n">
        <v>4</v>
      </c>
      <c r="O42" s="6" t="n">
        <v>0</v>
      </c>
      <c r="P42" s="6" t="n">
        <v>9000</v>
      </c>
      <c r="Q42" s="6" t="n">
        <v>1</v>
      </c>
      <c r="R42">
        <f>M42+IF(N42&gt;1,N(O42)*(N42-1),0)</f>
        <v/>
      </c>
      <c r="S42">
        <f>IFERROR(L42*MAX(N42,1)/R42*IF(ISBLANK(K41),1,K41),0)</f>
        <v/>
      </c>
      <c r="AB42" s="7" t="inlineStr">
        <is>
          <t>^Warhead_Railgun_Heavy, ^Warhead_Flak_Medium, ^Warhead_Bullet_Medium, ^Warhead_MissileAP_Light</t>
        </is>
      </c>
    </row>
    <row r="43">
      <c r="B43" s="7" t="inlineStr">
        <is>
          <t xml:space="preserve">  ↳ SteelScalpelRailgun_EMP_AA</t>
        </is>
      </c>
      <c r="C43" s="7" t="inlineStr">
        <is>
          <t>Armament@Upgrade</t>
        </is>
      </c>
      <c r="L43" s="6" t="n">
        <v>20000</v>
      </c>
      <c r="M43" s="6" t="n">
        <v>50</v>
      </c>
      <c r="N43" s="6" t="n">
        <v>4</v>
      </c>
      <c r="O43" s="6" t="n">
        <v>0</v>
      </c>
      <c r="P43" s="6" t="n">
        <v>9000</v>
      </c>
      <c r="Q43" s="6" t="n">
        <v>1</v>
      </c>
      <c r="R43">
        <f>M43+IF(N43&gt;1,N(O43)*(N43-1),0)</f>
        <v/>
      </c>
      <c r="S43">
        <f>IFERROR(L43*MAX(N43,1)/R43*IF(ISBLANK(K41),1,K41),0)</f>
        <v/>
      </c>
      <c r="AB43" s="7" t="inlineStr">
        <is>
          <t>^Warhead_Railgun_Heavy, ^Warhead_Flak_Medium, ^Warhead_Bullet_Medium, ^Warhead_MissileAP_Light</t>
        </is>
      </c>
    </row>
    <row r="44">
      <c r="A44" t="inlineStr">
        <is>
          <t>redalert2mod</t>
        </is>
      </c>
      <c r="B44" t="inlineStr">
        <is>
          <t>scalpelMG.steel</t>
        </is>
      </c>
      <c r="C44" t="inlineStr">
        <is>
          <t>Scalpel</t>
        </is>
      </c>
      <c r="D44" s="6" t="inlineStr">
        <is>
          <t>Fighter</t>
        </is>
      </c>
      <c r="E44" s="6" t="n">
        <v>10000</v>
      </c>
      <c r="F44" s="6" t="n">
        <v>80</v>
      </c>
      <c r="G44" t="inlineStr">
        <is>
          <t>Fighter</t>
        </is>
      </c>
      <c r="H44" s="6" t="n">
        <v>1</v>
      </c>
      <c r="I44" s="6" t="n">
        <v>1</v>
      </c>
      <c r="J44" s="6" t="n">
        <v>1</v>
      </c>
      <c r="K44" s="6" t="n"/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500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SteelMantaAG</t>
        </is>
      </c>
      <c r="C45" s="7" t="inlineStr">
        <is>
          <t>Armament@PRIMARY</t>
        </is>
      </c>
      <c r="L45" s="6" t="n">
        <v>8000</v>
      </c>
      <c r="M45" s="6" t="n">
        <v>20</v>
      </c>
      <c r="N45" s="6" t="n">
        <v>1</v>
      </c>
      <c r="O45" s="6" t="n"/>
      <c r="P45" s="6" t="n">
        <v>6666</v>
      </c>
      <c r="Q45" s="6" t="n">
        <v>1</v>
      </c>
      <c r="R45">
        <f>M45+IF(N45&gt;1,N(O45)*(N45-1),0)</f>
        <v/>
      </c>
      <c r="S45">
        <f>IFERROR(L45*MAX(N45,1)/R45*IF(ISBLANK(K44),1,K44),0)</f>
        <v/>
      </c>
      <c r="AB45" s="7" t="inlineStr">
        <is>
          <t>^Warhead_MissileAP_Light, ^Warhead_Bullet_Light, ^Warhead_Flak_Medium, ^Warhead_Bullet_Medium</t>
        </is>
      </c>
    </row>
    <row r="46">
      <c r="A46" t="inlineStr">
        <is>
          <t>redalert2mod</t>
        </is>
      </c>
      <c r="B46" t="inlineStr">
        <is>
          <t>scalpelQuantumCannon.steel</t>
        </is>
      </c>
      <c r="C46" t="inlineStr">
        <is>
          <t>Quantum Scalpel</t>
        </is>
      </c>
      <c r="D46" s="6" t="inlineStr">
        <is>
          <t>Fighter</t>
        </is>
      </c>
      <c r="E46" s="6" t="n">
        <v>10000</v>
      </c>
      <c r="F46" s="6" t="n">
        <v>80</v>
      </c>
      <c r="G46" t="inlineStr">
        <is>
          <t>Fighter</t>
        </is>
      </c>
      <c r="H46" s="6" t="n">
        <v>1</v>
      </c>
      <c r="I46" s="6" t="n">
        <v>1</v>
      </c>
      <c r="J46" s="6" t="n">
        <v>1</v>
      </c>
      <c r="K46" s="6" t="n"/>
      <c r="P46">
        <f>MAX(P47,P48)</f>
        <v/>
      </c>
      <c r="S46">
        <f>S47+S48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1000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SteelQuantumTurretRail</t>
        </is>
      </c>
      <c r="C47" s="7" t="inlineStr">
        <is>
          <t>Armament@PRIMARY</t>
        </is>
      </c>
      <c r="L47" s="6" t="n">
        <v>12000</v>
      </c>
      <c r="M47" s="6" t="n">
        <v>38</v>
      </c>
      <c r="N47" s="6" t="n">
        <v>1</v>
      </c>
      <c r="O47" s="6" t="n"/>
      <c r="P47" s="6" t="n">
        <v>8888</v>
      </c>
      <c r="Q47" s="6" t="n">
        <v>1.25</v>
      </c>
      <c r="R47">
        <f>M47+IF(N47&gt;1,N(O47)*(N47-1),0)</f>
        <v/>
      </c>
      <c r="S47">
        <f>IFERROR(L47*MAX(N47,1)/R47*IF(ISBLANK(K46),1,K46),0)</f>
        <v/>
      </c>
      <c r="AB47" s="7" t="inlineStr">
        <is>
          <t>^Warhead_CannonHE_Heavy</t>
        </is>
      </c>
    </row>
    <row r="48">
      <c r="B48" s="7" t="inlineStr">
        <is>
          <t xml:space="preserve">  ↳ SteelQuantumTurretRail_EMP</t>
        </is>
      </c>
      <c r="C48" s="7" t="inlineStr">
        <is>
          <t>Armament@Upgrade</t>
        </is>
      </c>
      <c r="L48" s="6" t="n">
        <v>12000</v>
      </c>
      <c r="M48" s="6" t="n">
        <v>38</v>
      </c>
      <c r="N48" s="6" t="n">
        <v>1</v>
      </c>
      <c r="O48" s="6" t="n"/>
      <c r="P48" s="6" t="n">
        <v>8888</v>
      </c>
      <c r="Q48" s="6" t="n">
        <v>1.25</v>
      </c>
      <c r="R48">
        <f>M48+IF(N48&gt;1,N(O48)*(N48-1),0)</f>
        <v/>
      </c>
      <c r="S48">
        <f>IFERROR(L48*MAX(N48,1)/R48*IF(ISBLANK(K46),1,K46),0)</f>
        <v/>
      </c>
      <c r="AB48" s="7" t="inlineStr">
        <is>
          <t>^Warhead_CannonHE_Heavy</t>
        </is>
      </c>
    </row>
    <row r="49">
      <c r="A49" t="inlineStr">
        <is>
          <t>redalert2mod</t>
        </is>
      </c>
      <c r="B49" t="inlineStr">
        <is>
          <t>steelconsortium_twister</t>
        </is>
      </c>
      <c r="C49" t="inlineStr">
        <is>
          <t>Twister</t>
        </is>
      </c>
      <c r="D49" s="6" t="inlineStr">
        <is>
          <t>Fighter</t>
        </is>
      </c>
      <c r="E49" s="6" t="n">
        <v>50000</v>
      </c>
      <c r="F49" s="6" t="n">
        <v>150</v>
      </c>
      <c r="G49" t="inlineStr">
        <is>
          <t>Fighter</t>
        </is>
      </c>
      <c r="H49" s="6" t="n">
        <v>0.7020999999999999</v>
      </c>
      <c r="I49" s="6" t="n">
        <v>1</v>
      </c>
      <c r="J49" s="6" t="n">
        <v>1</v>
      </c>
      <c r="K49" s="6" t="n"/>
      <c r="P49">
        <f>MAX(P50,P51)</f>
        <v/>
      </c>
      <c r="S49">
        <f>S50+S51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1000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SteelTwisterMissiles</t>
        </is>
      </c>
      <c r="C50" s="7" t="inlineStr">
        <is>
          <t>Armament@PRIMARY</t>
        </is>
      </c>
      <c r="L50" s="6" t="n">
        <v>10000</v>
      </c>
      <c r="M50" s="6" t="n">
        <v>105</v>
      </c>
      <c r="N50" s="6" t="n">
        <v>5</v>
      </c>
      <c r="O50" s="6" t="n">
        <v>5</v>
      </c>
      <c r="P50" s="6" t="n">
        <v>5000</v>
      </c>
      <c r="Q50" s="6" t="n">
        <v>1</v>
      </c>
      <c r="R50">
        <f>M50+IF(N50&gt;1,N(O50)*(N50-1),0)</f>
        <v/>
      </c>
      <c r="S50">
        <f>IFERROR(L50*MAX(N50,1)/R50*IF(ISBLANK(K49),1,K49),0)</f>
        <v/>
      </c>
      <c r="AB50" s="7" t="inlineStr">
        <is>
          <t>^Warhead_MissileAP_Medium</t>
        </is>
      </c>
    </row>
    <row r="51">
      <c r="B51" s="7" t="inlineStr">
        <is>
          <t xml:space="preserve">  ↳ SteelTwisterMissiles_elite</t>
        </is>
      </c>
      <c r="C51" s="7" t="inlineStr">
        <is>
          <t>Armament@PRIMARYELITE</t>
        </is>
      </c>
      <c r="L51" s="6" t="n">
        <v>10000</v>
      </c>
      <c r="M51" s="6" t="n">
        <v>105</v>
      </c>
      <c r="N51" s="6" t="n">
        <v>10</v>
      </c>
      <c r="O51" s="6" t="n">
        <v>5</v>
      </c>
      <c r="P51" s="6" t="n">
        <v>6000</v>
      </c>
      <c r="Q51" s="6" t="n">
        <v>1</v>
      </c>
      <c r="R51">
        <f>M51+IF(N51&gt;1,N(O51)*(N51-1),0)</f>
        <v/>
      </c>
      <c r="S51">
        <f>IFERROR(L51*MAX(N51,1)/R51*IF(ISBLANK(K49),1,K49),0)</f>
        <v/>
      </c>
      <c r="AB51" s="7" t="inlineStr">
        <is>
          <t>^Warhead_MissileAP_Medium</t>
        </is>
      </c>
    </row>
    <row r="52">
      <c r="A52" t="inlineStr">
        <is>
          <t>redalert2mod</t>
        </is>
      </c>
      <c r="B52" t="inlineStr">
        <is>
          <t>latinsyndicate_yakovlev</t>
        </is>
      </c>
      <c r="C52" t="inlineStr">
        <is>
          <t>Yakovlev</t>
        </is>
      </c>
      <c r="D52" s="6" t="inlineStr">
        <is>
          <t>Fighter</t>
        </is>
      </c>
      <c r="E52" s="6" t="n">
        <v>40000</v>
      </c>
      <c r="F52" s="6" t="n">
        <v>165</v>
      </c>
      <c r="G52" t="inlineStr">
        <is>
          <t>Fighter</t>
        </is>
      </c>
      <c r="H52" s="6" t="n">
        <v>1</v>
      </c>
      <c r="I52" s="6" t="n">
        <v>1</v>
      </c>
      <c r="J52" s="6" t="n">
        <v>1</v>
      </c>
      <c r="K52" s="6" t="n"/>
      <c r="P52">
        <f>MAX(P53,P54,P55)</f>
        <v/>
      </c>
      <c r="S52">
        <f>S53+S54+S55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900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YakovlevCannon</t>
        </is>
      </c>
      <c r="C53" s="7" t="inlineStr">
        <is>
          <t>Armament</t>
        </is>
      </c>
      <c r="L53" s="6" t="n">
        <v>8000</v>
      </c>
      <c r="M53" s="6" t="n">
        <v>80</v>
      </c>
      <c r="N53" s="6" t="n">
        <v>4</v>
      </c>
      <c r="O53" s="6" t="n">
        <v>5</v>
      </c>
      <c r="P53" s="6" t="n">
        <v>4444</v>
      </c>
      <c r="Q53" s="6" t="n">
        <v>1</v>
      </c>
      <c r="R53">
        <f>M53+IF(N53&gt;1,N(O53)*(N53-1),0)</f>
        <v/>
      </c>
      <c r="S53">
        <f>IFERROR(L53*MAX(N53,1)/R53*IF(ISBLANK(K52),1,K52),0)</f>
        <v/>
      </c>
      <c r="AB53" s="7" t="inlineStr">
        <is>
          <t>^Warhead_CannonHE_Heavy, ^Warhead_CannonAP_Light, ^Warhead_Flak_Medium, ^Warhead_Bullet_Medium</t>
        </is>
      </c>
    </row>
    <row r="54">
      <c r="B54" s="7" t="inlineStr">
        <is>
          <t xml:space="preserve">  ↳ YakovlevCannon_elite</t>
        </is>
      </c>
      <c r="C54" s="7" t="inlineStr">
        <is>
          <t>Armament@ELITE</t>
        </is>
      </c>
      <c r="L54" s="6" t="n">
        <v>8000</v>
      </c>
      <c r="M54" s="6" t="n">
        <v>5</v>
      </c>
      <c r="N54" s="6" t="n">
        <v>1</v>
      </c>
      <c r="O54" s="6" t="n"/>
      <c r="P54" s="6" t="n">
        <v>5555</v>
      </c>
      <c r="Q54" s="6" t="n">
        <v>1</v>
      </c>
      <c r="R54">
        <f>M54+IF(N54&gt;1,N(O54)*(N54-1),0)</f>
        <v/>
      </c>
      <c r="S54">
        <f>IFERROR(L54*MAX(N54,1)/R54*IF(ISBLANK(K52),1,K52),0)</f>
        <v/>
      </c>
      <c r="AB54" s="7" t="inlineStr">
        <is>
          <t>^Warhead_CannonHE_Heavy, ^Warhead_CannonAP_Light, ^Warhead_Flak_Medium, ^Warhead_Bullet_Medium</t>
        </is>
      </c>
    </row>
    <row r="55">
      <c r="B55" s="7" t="inlineStr">
        <is>
          <t xml:space="preserve">  ↳ YakovlevCannon_elite</t>
        </is>
      </c>
      <c r="C55" s="7" t="inlineStr">
        <is>
          <t>Armament@latinsyndicate_upgrade_yuristolentechchainguns</t>
        </is>
      </c>
      <c r="L55" s="6" t="n">
        <v>8000</v>
      </c>
      <c r="M55" s="6" t="n">
        <v>5</v>
      </c>
      <c r="N55" s="6" t="n">
        <v>1</v>
      </c>
      <c r="O55" s="6" t="n"/>
      <c r="P55" s="6" t="n">
        <v>5555</v>
      </c>
      <c r="Q55" s="6" t="n">
        <v>1</v>
      </c>
      <c r="R55">
        <f>M55+IF(N55&gt;1,N(O55)*(N55-1),0)</f>
        <v/>
      </c>
      <c r="S55">
        <f>IFERROR(L55*MAX(N55,1)/R55*IF(ISBLANK(K52),1,K52),0)</f>
        <v/>
      </c>
      <c r="AB55" s="7" t="inlineStr">
        <is>
          <t>^Warhead_CannonHE_Heavy, ^Warhead_CannonAP_Light, ^Warhead_Flak_Medium, ^Warhead_Bullet_Medium</t>
        </is>
      </c>
    </row>
    <row r="56">
      <c r="A56" t="inlineStr">
        <is>
          <t>redalert2mod</t>
        </is>
      </c>
      <c r="B56" t="inlineStr">
        <is>
          <t>naxis_bf109</t>
        </is>
      </c>
      <c r="C56" t="inlineStr">
        <is>
          <t>BF 109</t>
        </is>
      </c>
      <c r="D56" s="6" t="inlineStr">
        <is>
          <t>Fighter</t>
        </is>
      </c>
      <c r="E56" s="6" t="n">
        <v>60000</v>
      </c>
      <c r="F56" s="6" t="n">
        <v>115</v>
      </c>
      <c r="G56" t="inlineStr">
        <is>
          <t>Fighter</t>
        </is>
      </c>
      <c r="H56" s="6" t="n">
        <v>1</v>
      </c>
      <c r="I56" s="6" t="n">
        <v>1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(T56+U56+V56)/3</f>
        <v/>
      </c>
      <c r="X56" s="6" t="n">
        <v>1100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NaxPlanegun_elite</t>
        </is>
      </c>
      <c r="C57" s="7" t="inlineStr">
        <is>
          <t>Armament</t>
        </is>
      </c>
      <c r="L57" s="6" t="n">
        <v>6000</v>
      </c>
      <c r="M57" s="6" t="n">
        <v>127</v>
      </c>
      <c r="N57" s="6" t="n">
        <v>10</v>
      </c>
      <c r="O57" s="6" t="n">
        <v>2</v>
      </c>
      <c r="P57" s="6" t="n">
        <v>6090</v>
      </c>
      <c r="Q57" s="6" t="n">
        <v>1</v>
      </c>
      <c r="R57">
        <f>M57+IF(N57&gt;1,N(O57)*(N57-1),0)</f>
        <v/>
      </c>
      <c r="S57">
        <f>IFERROR(L57*MAX(N57,1)/R57*IF(ISBLANK(K56),1,K56),0)</f>
        <v/>
      </c>
      <c r="AB57" s="7" t="inlineStr">
        <is>
          <t>^Warhead_Concussion_Light, ^Warhead_CannonHE_Heavy, ^Warhead_Bullet_Medium</t>
        </is>
      </c>
    </row>
    <row r="58">
      <c r="B58" s="7" t="inlineStr">
        <is>
          <t xml:space="preserve">  ↳ NaxPlanegun_elite</t>
        </is>
      </c>
      <c r="C58" s="7" t="inlineStr">
        <is>
          <t>Armament@ELITE</t>
        </is>
      </c>
      <c r="L58" s="6" t="n">
        <v>6000</v>
      </c>
      <c r="M58" s="6" t="n">
        <v>127</v>
      </c>
      <c r="N58" s="6" t="n">
        <v>10</v>
      </c>
      <c r="O58" s="6" t="n">
        <v>2</v>
      </c>
      <c r="P58" s="6" t="n">
        <v>6090</v>
      </c>
      <c r="Q58" s="6" t="n">
        <v>1</v>
      </c>
      <c r="R58">
        <f>M58+IF(N58&gt;1,N(O58)*(N58-1),0)</f>
        <v/>
      </c>
      <c r="S58">
        <f>IFERROR(L58*MAX(N58,1)/R58*IF(ISBLANK(K56),1,K56),0)</f>
        <v/>
      </c>
      <c r="AB58" s="7" t="inlineStr">
        <is>
          <t>^Warhead_Concussion_Light, ^Warhead_CannonHE_Heavy, ^Warhead_Bullet_Medium</t>
        </is>
      </c>
    </row>
    <row r="59">
      <c r="A59" t="inlineStr">
        <is>
          <t>redalert2mod</t>
        </is>
      </c>
      <c r="B59" t="inlineStr">
        <is>
          <t>naxis_interceptor</t>
        </is>
      </c>
      <c r="C59" t="inlineStr">
        <is>
          <t>Interceptor</t>
        </is>
      </c>
      <c r="D59" s="6" t="inlineStr">
        <is>
          <t>Fighter</t>
        </is>
      </c>
      <c r="E59" s="6" t="n">
        <v>10000</v>
      </c>
      <c r="F59" s="6" t="n">
        <v>160</v>
      </c>
      <c r="G59" t="inlineStr">
        <is>
          <t>Fighter</t>
        </is>
      </c>
      <c r="H59" s="6" t="n">
        <v>1</v>
      </c>
      <c r="I59" s="6" t="n">
        <v>1</v>
      </c>
      <c r="J59" s="6" t="n">
        <v>1</v>
      </c>
      <c r="K59" s="6" t="n">
        <v>0.005</v>
      </c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200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NaxiInterceptorGun</t>
        </is>
      </c>
      <c r="C60" s="7" t="inlineStr">
        <is>
          <t>Armament@PRIMARY</t>
        </is>
      </c>
      <c r="L60" s="6" t="n">
        <v>24000</v>
      </c>
      <c r="M60" s="6" t="n">
        <v>100</v>
      </c>
      <c r="N60" s="6" t="n">
        <v>4</v>
      </c>
      <c r="O60" s="6" t="n">
        <v>3</v>
      </c>
      <c r="P60" s="6" t="n">
        <v>6090</v>
      </c>
      <c r="Q60" s="6" t="n">
        <v>1.25</v>
      </c>
      <c r="R60">
        <f>M60+IF(N60&gt;1,N(O60)*(N60-1),0)</f>
        <v/>
      </c>
      <c r="S60">
        <f>IFERROR(L60*MAX(N60,1)/R60*IF(ISBLANK(K59),1,K59),0)</f>
        <v/>
      </c>
      <c r="AB60" s="7" t="inlineStr">
        <is>
          <t>^Warhead_CannonHE_Heavy</t>
        </is>
      </c>
    </row>
    <row r="61">
      <c r="B61" s="7" t="inlineStr">
        <is>
          <t xml:space="preserve">  ↳ NaxPlaneRockets_elite</t>
        </is>
      </c>
      <c r="C61" s="7" t="inlineStr">
        <is>
          <t>Armament@Rockets</t>
        </is>
      </c>
      <c r="L61" s="6" t="n">
        <v>20000</v>
      </c>
      <c r="M61" s="6" t="n">
        <v>100</v>
      </c>
      <c r="N61" s="6" t="n">
        <v>2</v>
      </c>
      <c r="O61" s="6" t="n">
        <v>9</v>
      </c>
      <c r="P61" s="6" t="n">
        <v>6090</v>
      </c>
      <c r="Q61" s="6" t="n">
        <v>1.125</v>
      </c>
      <c r="R61">
        <f>M61+IF(N61&gt;1,N(O61)*(N61-1),0)</f>
        <v/>
      </c>
      <c r="S61">
        <f>IFERROR(L61*MAX(N61,1)/R61*IF(ISBLANK(K59),1,K59),0)</f>
        <v/>
      </c>
      <c r="AB61" s="7" t="inlineStr">
        <is>
          <t>^Warhead_MissileAP_Medium, ^Warhead_MissileAP_Heavy</t>
        </is>
      </c>
    </row>
    <row r="62">
      <c r="A62" t="inlineStr">
        <is>
          <t>redalert2mod</t>
        </is>
      </c>
      <c r="B62" t="inlineStr">
        <is>
          <t>naxis_me262</t>
        </is>
      </c>
      <c r="C62" t="inlineStr">
        <is>
          <t>Me 262</t>
        </is>
      </c>
      <c r="D62" s="6" t="inlineStr">
        <is>
          <t>Fighter</t>
        </is>
      </c>
      <c r="E62" s="6" t="n">
        <v>75000</v>
      </c>
      <c r="F62" s="6" t="n">
        <v>155</v>
      </c>
      <c r="G62" t="inlineStr">
        <is>
          <t>Fighter</t>
        </is>
      </c>
      <c r="H62" s="6" t="n">
        <v>1</v>
      </c>
      <c r="I62" s="6" t="n">
        <v>1</v>
      </c>
      <c r="J62" s="6" t="n">
        <v>1</v>
      </c>
      <c r="K62" s="6" t="n">
        <v>0.005</v>
      </c>
      <c r="P62">
        <f>MAX(P63,P64,P65,P66)</f>
        <v/>
      </c>
      <c r="S62">
        <f>S63+S64+S65+S66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1500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NaxPlaneRockets_elite</t>
        </is>
      </c>
      <c r="C63" s="7" t="inlineStr">
        <is>
          <t>Armament@Rockets</t>
        </is>
      </c>
      <c r="L63" s="6" t="n">
        <v>20000</v>
      </c>
      <c r="M63" s="6" t="n">
        <v>100</v>
      </c>
      <c r="N63" s="6" t="n">
        <v>2</v>
      </c>
      <c r="O63" s="6" t="n">
        <v>9</v>
      </c>
      <c r="P63" s="6" t="n">
        <v>6090</v>
      </c>
      <c r="Q63" s="6" t="n">
        <v>1.125</v>
      </c>
      <c r="R63">
        <f>M63+IF(N63&gt;1,N(O63)*(N63-1),0)</f>
        <v/>
      </c>
      <c r="S63">
        <f>IFERROR(L63*MAX(N63,1)/R63*IF(ISBLANK(K62),1,K62),0)</f>
        <v/>
      </c>
      <c r="AB63" s="7" t="inlineStr">
        <is>
          <t>^Warhead_MissileAP_Medium, ^Warhead_MissileAP_Heavy</t>
        </is>
      </c>
    </row>
    <row r="64">
      <c r="B64" s="7" t="inlineStr">
        <is>
          <t xml:space="preserve">  ↳ NaxPlaneRockets_elite</t>
        </is>
      </c>
      <c r="C64" s="7" t="inlineStr">
        <is>
          <t>Armament@RocketsELITE</t>
        </is>
      </c>
      <c r="L64" s="6" t="n">
        <v>20000</v>
      </c>
      <c r="M64" s="6" t="n">
        <v>100</v>
      </c>
      <c r="N64" s="6" t="n">
        <v>2</v>
      </c>
      <c r="O64" s="6" t="n">
        <v>9</v>
      </c>
      <c r="P64" s="6" t="n">
        <v>6090</v>
      </c>
      <c r="Q64" s="6" t="n">
        <v>1.125</v>
      </c>
      <c r="R64">
        <f>M64+IF(N64&gt;1,N(O64)*(N64-1),0)</f>
        <v/>
      </c>
      <c r="S64">
        <f>IFERROR(L64*MAX(N64,1)/R64*IF(ISBLANK(K62),1,K62),0)</f>
        <v/>
      </c>
      <c r="AB64" s="7" t="inlineStr">
        <is>
          <t>^Warhead_MissileAP_Medium, ^Warhead_MissileAP_Heavy</t>
        </is>
      </c>
    </row>
    <row r="65">
      <c r="B65" s="7" t="inlineStr">
        <is>
          <t xml:space="preserve">  ↳ NaxPlanegun_elite</t>
        </is>
      </c>
      <c r="C65" s="7" t="inlineStr">
        <is>
          <t>Armament@MG</t>
        </is>
      </c>
      <c r="L65" s="6" t="n">
        <v>6000</v>
      </c>
      <c r="M65" s="6" t="n">
        <v>127</v>
      </c>
      <c r="N65" s="6" t="n">
        <v>10</v>
      </c>
      <c r="O65" s="6" t="n">
        <v>2</v>
      </c>
      <c r="P65" s="6" t="n">
        <v>6090</v>
      </c>
      <c r="Q65" s="6" t="n">
        <v>1</v>
      </c>
      <c r="R65">
        <f>M65+IF(N65&gt;1,N(O65)*(N65-1),0)</f>
        <v/>
      </c>
      <c r="S65">
        <f>IFERROR(L65*MAX(N65,1)/R65*IF(ISBLANK(K62),1,K62),0)</f>
        <v/>
      </c>
      <c r="AB65" s="7" t="inlineStr">
        <is>
          <t>^Warhead_Concussion_Light, ^Warhead_CannonHE_Heavy, ^Warhead_Bullet_Medium</t>
        </is>
      </c>
    </row>
    <row r="66">
      <c r="B66" s="7" t="inlineStr">
        <is>
          <t xml:space="preserve">  ↳ NaxPlanegun_elite</t>
        </is>
      </c>
      <c r="C66" s="7" t="inlineStr">
        <is>
          <t>Armament@ELITE</t>
        </is>
      </c>
      <c r="L66" s="6" t="n">
        <v>6000</v>
      </c>
      <c r="M66" s="6" t="n">
        <v>127</v>
      </c>
      <c r="N66" s="6" t="n">
        <v>10</v>
      </c>
      <c r="O66" s="6" t="n">
        <v>2</v>
      </c>
      <c r="P66" s="6" t="n">
        <v>6090</v>
      </c>
      <c r="Q66" s="6" t="n">
        <v>1</v>
      </c>
      <c r="R66">
        <f>M66+IF(N66&gt;1,N(O66)*(N66-1),0)</f>
        <v/>
      </c>
      <c r="S66">
        <f>IFERROR(L66*MAX(N66,1)/R66*IF(ISBLANK(K62),1,K62),0)</f>
        <v/>
      </c>
      <c r="AB66" s="7" t="inlineStr">
        <is>
          <t>^Warhead_Concussion_Light, ^Warhead_CannonHE_Heavy, ^Warhead_Bullet_Medium</t>
        </is>
      </c>
    </row>
    <row r="67">
      <c r="A67" t="inlineStr">
        <is>
          <t>redalert2mod</t>
        </is>
      </c>
      <c r="B67" t="inlineStr">
        <is>
          <t>schwarzermond_blackbomb</t>
        </is>
      </c>
      <c r="C67" t="inlineStr">
        <is>
          <t>Black Bomb</t>
        </is>
      </c>
      <c r="D67" s="6" t="inlineStr">
        <is>
          <t>Fighter</t>
        </is>
      </c>
      <c r="E67" s="6" t="n">
        <v>37500</v>
      </c>
      <c r="F67" s="6" t="n">
        <v>75</v>
      </c>
      <c r="G67" t="inlineStr">
        <is>
          <t>Fighter</t>
        </is>
      </c>
      <c r="H67" s="6" t="n">
        <v>0.4571</v>
      </c>
      <c r="I67" s="6" t="n">
        <v>1</v>
      </c>
      <c r="J67" s="6" t="n">
        <v>1</v>
      </c>
      <c r="K67" s="6" t="n"/>
      <c r="X67" s="6" t="n">
        <v>3500</v>
      </c>
    </row>
    <row r="68">
      <c r="B68" s="7" t="inlineStr">
        <is>
          <t xml:space="preserve">  ↳ DemoTruckTargeting</t>
        </is>
      </c>
      <c r="C68" s="7" t="inlineStr">
        <is>
          <t>Armament@PRIMARY</t>
        </is>
      </c>
      <c r="L68" s="6" t="n"/>
      <c r="M68" s="6" t="n"/>
      <c r="N68" s="6" t="n">
        <v>1</v>
      </c>
      <c r="O68" s="6" t="n"/>
      <c r="P68" s="6" t="n">
        <v>2000</v>
      </c>
      <c r="Q68" s="6" t="n">
        <v>1</v>
      </c>
      <c r="R68">
        <f>M68+IF(N68&gt;1,N(O68)*(N68-1),0)</f>
        <v/>
      </c>
      <c r="S68">
        <f>IFERROR(L68*MAX(N68,1)/R68*IF(ISBLANK(K67),1,K67),0)</f>
        <v/>
      </c>
      <c r="AB68" s="7" t="inlineStr"/>
    </row>
    <row r="69">
      <c r="A69" t="inlineStr">
        <is>
          <t>redalert2mod</t>
        </is>
      </c>
      <c r="B69" t="inlineStr">
        <is>
          <t>schwarzermond_corruptorpiercer</t>
        </is>
      </c>
      <c r="C69" t="inlineStr">
        <is>
          <t>Corruptor Piercer</t>
        </is>
      </c>
      <c r="D69" s="6" t="inlineStr">
        <is>
          <t>Fighter</t>
        </is>
      </c>
      <c r="E69" s="6" t="n">
        <v>37500</v>
      </c>
      <c r="F69" s="6" t="n">
        <v>150</v>
      </c>
      <c r="G69" t="inlineStr">
        <is>
          <t>Fighter</t>
        </is>
      </c>
      <c r="H69" s="6" t="n">
        <v>0.4571</v>
      </c>
      <c r="I69" s="6" t="n">
        <v>1</v>
      </c>
      <c r="J69" s="6" t="n">
        <v>1</v>
      </c>
      <c r="K69" s="6" t="n"/>
      <c r="P69">
        <f>MAX(P70)</f>
        <v/>
      </c>
      <c r="S69">
        <f>S70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2500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NaxCorrosionRocket</t>
        </is>
      </c>
      <c r="C70" s="7" t="inlineStr">
        <is>
          <t>Armament</t>
        </is>
      </c>
      <c r="L70" s="6" t="n">
        <v>6000</v>
      </c>
      <c r="M70" s="6" t="n">
        <v>50</v>
      </c>
      <c r="N70" s="6" t="n">
        <v>2</v>
      </c>
      <c r="O70" s="6" t="n">
        <v>2</v>
      </c>
      <c r="P70" s="6" t="n">
        <v>8000</v>
      </c>
      <c r="Q70" s="6" t="n">
        <v>1</v>
      </c>
      <c r="R70">
        <f>M70+IF(N70&gt;1,N(O70)*(N70-1),0)</f>
        <v/>
      </c>
      <c r="S70">
        <f>IFERROR(L70*MAX(N70,1)/R70*IF(ISBLANK(K69),1,K69),0)</f>
        <v/>
      </c>
      <c r="AB70" s="7" t="inlineStr">
        <is>
          <t>^Warhead_Concussion_Light, ^Warhead_MissileAP_Heavy, ^Warhead_MissileAP_Medium</t>
        </is>
      </c>
    </row>
    <row r="71">
      <c r="A71" t="inlineStr">
        <is>
          <t>redalert2mod</t>
        </is>
      </c>
      <c r="B71" t="inlineStr">
        <is>
          <t>schwarzermond_drone</t>
        </is>
      </c>
      <c r="C71" t="inlineStr">
        <is>
          <t>Drone</t>
        </is>
      </c>
      <c r="D71" s="6" t="inlineStr">
        <is>
          <t>Fighter</t>
        </is>
      </c>
      <c r="E71" s="6" t="n">
        <v>7500</v>
      </c>
      <c r="F71" s="6" t="n">
        <v>150</v>
      </c>
      <c r="G71" t="inlineStr">
        <is>
          <t>Fighter</t>
        </is>
      </c>
      <c r="H71" s="6" t="n">
        <v>1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120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LunarNaxiDroneLaser</t>
        </is>
      </c>
      <c r="C72" s="7" t="inlineStr">
        <is>
          <t>Armament@PRIMARY</t>
        </is>
      </c>
      <c r="L72" s="6" t="n">
        <v>8000</v>
      </c>
      <c r="M72" s="6" t="n">
        <v>100</v>
      </c>
      <c r="N72" s="6" t="n">
        <v>4</v>
      </c>
      <c r="O72" s="6" t="n">
        <v>3</v>
      </c>
      <c r="P72" s="6" t="n">
        <v>5760</v>
      </c>
      <c r="Q72" s="6" t="n">
        <v>1</v>
      </c>
      <c r="R72">
        <f>M72+IF(N72&gt;1,N(O72)*(N72-1),0)</f>
        <v/>
      </c>
      <c r="S72">
        <f>IFERROR(L72*MAX(N72,1)/R72*IF(ISBLANK(K71),1,K71),0)</f>
        <v/>
      </c>
      <c r="AB72" s="7" t="inlineStr">
        <is>
          <t>^SmallArms, ^Chaingun, ^MediumMissile, ^LaserWeapon</t>
        </is>
      </c>
    </row>
    <row r="73">
      <c r="B73" s="7" t="inlineStr">
        <is>
          <t xml:space="preserve">  ↳ LunarNaxiDroneMissile</t>
        </is>
      </c>
      <c r="C73" s="7" t="inlineStr">
        <is>
          <t>Armament@Rockets</t>
        </is>
      </c>
      <c r="L73" s="6" t="n">
        <v>12000</v>
      </c>
      <c r="M73" s="6" t="n">
        <v>100</v>
      </c>
      <c r="N73" s="6" t="n">
        <v>2</v>
      </c>
      <c r="O73" s="6" t="n">
        <v>9</v>
      </c>
      <c r="P73" s="6" t="n">
        <v>5760</v>
      </c>
      <c r="Q73" s="6" t="n">
        <v>0.75</v>
      </c>
      <c r="R73">
        <f>M73+IF(N73&gt;1,N(O73)*(N73-1),0)</f>
        <v/>
      </c>
      <c r="S73">
        <f>IFERROR(L73*MAX(N73,1)/R73*IF(ISBLANK(K71),1,K71),0)</f>
        <v/>
      </c>
      <c r="AB73" s="7" t="inlineStr">
        <is>
          <t>^Warhead_MissileAP_Light</t>
        </is>
      </c>
    </row>
    <row r="74">
      <c r="A74" t="inlineStr">
        <is>
          <t>redalert2mod</t>
        </is>
      </c>
      <c r="B74" t="inlineStr">
        <is>
          <t>futuretech_twister</t>
        </is>
      </c>
      <c r="C74" t="inlineStr">
        <is>
          <t>Twister</t>
        </is>
      </c>
      <c r="D74" s="6" t="inlineStr">
        <is>
          <t>Fighter</t>
        </is>
      </c>
      <c r="E74" s="6" t="n">
        <v>50000</v>
      </c>
      <c r="F74" s="6" t="n">
        <v>150</v>
      </c>
      <c r="G74" t="inlineStr">
        <is>
          <t>Fighter</t>
        </is>
      </c>
      <c r="H74" s="6" t="n">
        <v>0.514</v>
      </c>
      <c r="I74" s="6" t="n">
        <v>1</v>
      </c>
      <c r="J74" s="6" t="n">
        <v>1</v>
      </c>
      <c r="K74" s="6" t="n"/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1000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SteelTwisterMissiles</t>
        </is>
      </c>
      <c r="C75" s="7" t="inlineStr">
        <is>
          <t>Armament@PRIMARY</t>
        </is>
      </c>
      <c r="L75" s="6" t="n">
        <v>10000</v>
      </c>
      <c r="M75" s="6" t="n">
        <v>105</v>
      </c>
      <c r="N75" s="6" t="n">
        <v>5</v>
      </c>
      <c r="O75" s="6" t="n">
        <v>5</v>
      </c>
      <c r="P75" s="6" t="n">
        <v>5000</v>
      </c>
      <c r="Q75" s="6" t="n">
        <v>1</v>
      </c>
      <c r="R75">
        <f>M75+IF(N75&gt;1,N(O75)*(N75-1),0)</f>
        <v/>
      </c>
      <c r="S75">
        <f>IFERROR(L75*MAX(N75,1)/R75*IF(ISBLANK(K74),1,K74),0)</f>
        <v/>
      </c>
      <c r="AB75" s="7" t="inlineStr">
        <is>
          <t>^Warhead_MissileAP_Medium</t>
        </is>
      </c>
    </row>
    <row r="76">
      <c r="B76" s="7" t="inlineStr">
        <is>
          <t xml:space="preserve">  ↳ SteelTwisterMissiles_elite</t>
        </is>
      </c>
      <c r="C76" s="7" t="inlineStr">
        <is>
          <t>Armament@PRIMARYELITE</t>
        </is>
      </c>
      <c r="L76" s="6" t="n">
        <v>10000</v>
      </c>
      <c r="M76" s="6" t="n">
        <v>105</v>
      </c>
      <c r="N76" s="6" t="n">
        <v>10</v>
      </c>
      <c r="O76" s="6" t="n">
        <v>5</v>
      </c>
      <c r="P76" s="6" t="n">
        <v>6000</v>
      </c>
      <c r="Q76" s="6" t="n">
        <v>1</v>
      </c>
      <c r="R76">
        <f>M76+IF(N76&gt;1,N(O76)*(N76-1),0)</f>
        <v/>
      </c>
      <c r="S76">
        <f>IFERROR(L76*MAX(N76,1)/R76*IF(ISBLANK(K74),1,K74),0)</f>
        <v/>
      </c>
      <c r="AB76" s="7" t="inlineStr">
        <is>
          <t>^Warhead_MissileAP_Medium</t>
        </is>
      </c>
    </row>
    <row r="77">
      <c r="A77" t="inlineStr">
        <is>
          <t>d2k</t>
        </is>
      </c>
      <c r="B77" t="inlineStr">
        <is>
          <t>ordos_swarmerdrone</t>
        </is>
      </c>
      <c r="C77" t="inlineStr">
        <is>
          <t>Swarmer Drone</t>
        </is>
      </c>
      <c r="D77" s="6" t="inlineStr">
        <is>
          <t>Fighter</t>
        </is>
      </c>
      <c r="E77" s="6" t="n">
        <v>20000</v>
      </c>
      <c r="F77" s="6" t="n">
        <v>260</v>
      </c>
      <c r="G77" t="inlineStr">
        <is>
          <t>Fighter</t>
        </is>
      </c>
      <c r="H77" s="6" t="n">
        <v>1</v>
      </c>
      <c r="I77" s="6" t="n">
        <v>1</v>
      </c>
      <c r="J77" s="6" t="n">
        <v>1</v>
      </c>
      <c r="K77" s="6" t="n"/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800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d2kChainGun</t>
        </is>
      </c>
      <c r="C78" s="7" t="inlineStr">
        <is>
          <t>Armament@PRIMARY</t>
        </is>
      </c>
      <c r="L78" s="6" t="n">
        <v>4000</v>
      </c>
      <c r="M78" s="6" t="n">
        <v>60</v>
      </c>
      <c r="N78" s="6" t="n">
        <v>5</v>
      </c>
      <c r="O78" s="6" t="n">
        <v>2</v>
      </c>
      <c r="P78" s="6" t="n">
        <v>6184</v>
      </c>
      <c r="Q78" s="6" t="n">
        <v>1</v>
      </c>
      <c r="R78">
        <f>M78+IF(N78&gt;1,N(O78)*(N78-1),0)</f>
        <v/>
      </c>
      <c r="S78">
        <f>IFERROR(L78*MAX(N78,1)/R78*IF(ISBLANK(K77),1,K77),0)</f>
        <v/>
      </c>
      <c r="AB78" s="7" t="inlineStr">
        <is>
          <t>^Warhead_Bullet_Medium</t>
        </is>
      </c>
    </row>
    <row r="79">
      <c r="B79" s="7" t="inlineStr">
        <is>
          <t xml:space="preserve">  ↳ d2kChainGun_upgrade</t>
        </is>
      </c>
      <c r="C79" s="7" t="inlineStr">
        <is>
          <t>Armament@PRIMARYLaser</t>
        </is>
      </c>
      <c r="L79" s="6" t="n">
        <v>8000</v>
      </c>
      <c r="M79" s="6" t="n">
        <v>60</v>
      </c>
      <c r="N79" s="6" t="n">
        <v>5</v>
      </c>
      <c r="O79" s="6" t="n">
        <v>2</v>
      </c>
      <c r="P79" s="6" t="n">
        <v>6184</v>
      </c>
      <c r="Q79" s="6" t="n">
        <v>1.125</v>
      </c>
      <c r="R79">
        <f>M79+IF(N79&gt;1,N(O79)*(N79-1),0)</f>
        <v/>
      </c>
      <c r="S79">
        <f>IFERROR(L79*MAX(N79,1)/R79*IF(ISBLANK(K77),1,K77),0)</f>
        <v/>
      </c>
      <c r="AB79" s="7" t="inlineStr">
        <is>
          <t>^Warhead_Laser_Heavy, ^Warhead_Bullet_Medium</t>
        </is>
      </c>
    </row>
    <row r="80">
      <c r="A80" t="inlineStr">
        <is>
          <t>starcraft</t>
        </is>
      </c>
      <c r="B80" t="inlineStr">
        <is>
          <t>zerg_scourge</t>
        </is>
      </c>
      <c r="C80" t="inlineStr">
        <is>
          <t>Scourge</t>
        </is>
      </c>
      <c r="D80" s="6" t="inlineStr">
        <is>
          <t>Fighter</t>
        </is>
      </c>
      <c r="E80" s="6" t="n">
        <v>25000</v>
      </c>
      <c r="F80" s="6" t="n">
        <v>200</v>
      </c>
      <c r="G80" t="inlineStr">
        <is>
          <t>Fighter</t>
        </is>
      </c>
      <c r="H80" s="6" t="n">
        <v>1</v>
      </c>
      <c r="I80" s="6" t="n">
        <v>1</v>
      </c>
      <c r="J80" s="6" t="n">
        <v>1</v>
      </c>
      <c r="K80" s="6" t="n"/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700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ScourgeExplosion</t>
        </is>
      </c>
      <c r="C81" s="7" t="inlineStr">
        <is>
          <t>Armament@PRIMARY</t>
        </is>
      </c>
      <c r="L81" s="6" t="n">
        <v>100000</v>
      </c>
      <c r="M81" s="6" t="n">
        <v>25</v>
      </c>
      <c r="N81" s="6" t="n">
        <v>1</v>
      </c>
      <c r="O81" s="6" t="n"/>
      <c r="P81" s="6" t="n">
        <v>2000</v>
      </c>
      <c r="Q81" s="6" t="n">
        <v>1.125</v>
      </c>
      <c r="R81">
        <f>M81+IF(N81&gt;1,N(O81)*(N81-1),0)</f>
        <v/>
      </c>
      <c r="S81">
        <f>IFERROR(L81*MAX(N81,1)/R81*IF(ISBLANK(K80),1,K80),0)</f>
        <v/>
      </c>
      <c r="AB81" s="7" t="inlineStr">
        <is>
          <t>^Warhead_Demolition_Heavy, ^Warhead_Concussion_Medium</t>
        </is>
      </c>
    </row>
    <row r="82">
      <c r="A82" s="4" t="inlineStr">
        <is>
          <t>Bomber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tiberiandawn</t>
        </is>
      </c>
      <c r="B83" t="inlineStr">
        <is>
          <t>A10</t>
        </is>
      </c>
      <c r="C83" t="inlineStr">
        <is>
          <t>A10 Bomber</t>
        </is>
      </c>
      <c r="D83" s="6" t="inlineStr">
        <is>
          <t>Bomber</t>
        </is>
      </c>
      <c r="E83" s="6" t="n">
        <v>50000</v>
      </c>
      <c r="F83" s="6" t="n">
        <v>250</v>
      </c>
      <c r="G83" t="inlineStr">
        <is>
          <t>Bomber</t>
        </is>
      </c>
      <c r="H83" s="6" t="n">
        <v>1</v>
      </c>
      <c r="I83" s="6" t="n">
        <v>1</v>
      </c>
      <c r="J83" s="6" t="n">
        <v>1</v>
      </c>
      <c r="K83" s="6" t="n"/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2500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Vulcan</t>
        </is>
      </c>
      <c r="C84" s="7" t="inlineStr">
        <is>
          <t>Armament@GUNS</t>
        </is>
      </c>
      <c r="L84" s="6" t="n">
        <v>12000</v>
      </c>
      <c r="M84" s="6" t="n">
        <v>125</v>
      </c>
      <c r="N84" s="6" t="n">
        <v>10</v>
      </c>
      <c r="O84" s="6" t="n">
        <v>2</v>
      </c>
      <c r="P84" s="6" t="n">
        <v>10000</v>
      </c>
      <c r="Q84" s="6" t="n">
        <v>1</v>
      </c>
      <c r="R84">
        <f>M84+IF(N84&gt;1,N(O84)*(N84-1),0)</f>
        <v/>
      </c>
      <c r="S84">
        <f>IFERROR(L84*MAX(N84,1)/R84*IF(ISBLANK(K83),1,K83),0)</f>
        <v/>
      </c>
      <c r="AB84" s="7" t="inlineStr">
        <is>
          <t>^Warhead_Bullet_Medium</t>
        </is>
      </c>
    </row>
    <row r="85">
      <c r="B85" s="7" t="inlineStr">
        <is>
          <t xml:space="preserve">  ↳ Napalm</t>
        </is>
      </c>
      <c r="C85" s="7" t="inlineStr">
        <is>
          <t>Armament@BOMBS</t>
        </is>
      </c>
      <c r="L85" s="6" t="n">
        <v>12000</v>
      </c>
      <c r="M85" s="6" t="n">
        <v>2</v>
      </c>
      <c r="N85" s="6" t="n">
        <v>1</v>
      </c>
      <c r="O85" s="6" t="n"/>
      <c r="P85" s="6" t="n">
        <v>2000</v>
      </c>
      <c r="Q85" s="6" t="n">
        <v>1.25</v>
      </c>
      <c r="R85">
        <f>M85+IF(N85&gt;1,N(O85)*(N85-1),0)</f>
        <v/>
      </c>
      <c r="S85">
        <f>IFERROR(L85*MAX(N85,1)/R85*IF(ISBLANK(K83),1,K83),0)</f>
        <v/>
      </c>
      <c r="AB85" s="7" t="inlineStr">
        <is>
          <t>^Warhead_Demolition_Heavy, ^Warhead_Flame_Heavy</t>
        </is>
      </c>
    </row>
    <row r="86">
      <c r="A86" t="inlineStr">
        <is>
          <t>tiberiandawn</t>
        </is>
      </c>
      <c r="B86" t="inlineStr">
        <is>
          <t>A10Carrier</t>
        </is>
      </c>
      <c r="C86" t="inlineStr">
        <is>
          <t>A10 Bomber</t>
        </is>
      </c>
      <c r="D86" s="6" t="inlineStr">
        <is>
          <t>Bomber</t>
        </is>
      </c>
      <c r="E86" s="6" t="n">
        <v>10000</v>
      </c>
      <c r="F86" s="6" t="n">
        <v>200</v>
      </c>
      <c r="G86" t="inlineStr">
        <is>
          <t>Bomber</t>
        </is>
      </c>
      <c r="H86" s="6" t="n">
        <v>1</v>
      </c>
      <c r="I86" s="6" t="n">
        <v>1</v>
      </c>
      <c r="J86" s="6" t="n">
        <v>1</v>
      </c>
      <c r="K86" s="6" t="n"/>
      <c r="P86">
        <f>MAX(P87,P88,P89)</f>
        <v/>
      </c>
      <c r="S86">
        <f>S87+S88+S89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270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VulcanA10Carrier</t>
        </is>
      </c>
      <c r="C87" s="7" t="inlineStr">
        <is>
          <t>Armament@GUNS</t>
        </is>
      </c>
      <c r="L87" s="6" t="n">
        <v>6000</v>
      </c>
      <c r="M87" s="6" t="n">
        <v>125</v>
      </c>
      <c r="N87" s="6" t="n">
        <v>10</v>
      </c>
      <c r="O87" s="6" t="n">
        <v>2</v>
      </c>
      <c r="P87" s="6" t="n">
        <v>5000</v>
      </c>
      <c r="Q87" s="6" t="n">
        <v>1</v>
      </c>
      <c r="R87">
        <f>M87+IF(N87&gt;1,N(O87)*(N87-1),0)</f>
        <v/>
      </c>
      <c r="S87">
        <f>IFERROR(L87*MAX(N87,1)/R87*IF(ISBLANK(K86),1,K86),0)</f>
        <v/>
      </c>
      <c r="AB87" s="7" t="inlineStr">
        <is>
          <t>^Warhead_Bullet_Medium</t>
        </is>
      </c>
    </row>
    <row r="88">
      <c r="B88" s="7" t="inlineStr">
        <is>
          <t xml:space="preserve">  ↳ NapalmA10Carrier</t>
        </is>
      </c>
      <c r="C88" s="7" t="inlineStr">
        <is>
          <t>Armament@BOMBS</t>
        </is>
      </c>
      <c r="L88" s="6" t="n">
        <v>8000</v>
      </c>
      <c r="M88" s="6" t="n">
        <v>2</v>
      </c>
      <c r="N88" s="6" t="n">
        <v>1</v>
      </c>
      <c r="O88" s="6" t="n"/>
      <c r="P88" s="6" t="n">
        <v>1000</v>
      </c>
      <c r="Q88" s="6" t="n">
        <v>1.25</v>
      </c>
      <c r="R88">
        <f>M88+IF(N88&gt;1,N(O88)*(N88-1),0)</f>
        <v/>
      </c>
      <c r="S88">
        <f>IFERROR(L88*MAX(N88,1)/R88*IF(ISBLANK(K86),1,K86),0)</f>
        <v/>
      </c>
      <c r="AB88" s="7" t="inlineStr">
        <is>
          <t>^Warhead_Demolition_Heavy, ^Warhead_Flame_Heavy</t>
        </is>
      </c>
    </row>
    <row r="89">
      <c r="B89" s="7" t="inlineStr">
        <is>
          <t xml:space="preserve">  ↳ A10CarrierMissiles_AA</t>
        </is>
      </c>
      <c r="C89" s="7" t="inlineStr">
        <is>
          <t>Armament@AA</t>
        </is>
      </c>
      <c r="L89" s="6" t="n">
        <v>12000</v>
      </c>
      <c r="M89" s="6" t="n">
        <v>100</v>
      </c>
      <c r="N89" s="6" t="n">
        <v>2</v>
      </c>
      <c r="O89" s="6" t="n">
        <v>2</v>
      </c>
      <c r="P89" s="6" t="n">
        <v>5000</v>
      </c>
      <c r="Q89" s="6" t="n">
        <v>1.25</v>
      </c>
      <c r="R89">
        <f>M89+IF(N89&gt;1,N(O89)*(N89-1),0)</f>
        <v/>
      </c>
      <c r="S89">
        <f>IFERROR(L89*MAX(N89,1)/R89*IF(ISBLANK(K86),1,K86),0)</f>
        <v/>
      </c>
      <c r="AB89" s="7" t="inlineStr">
        <is>
          <t>^Warhead_MissileAP_Heavy</t>
        </is>
      </c>
    </row>
    <row r="90">
      <c r="A90" t="inlineStr">
        <is>
          <t>tiberiandawn</t>
        </is>
      </c>
      <c r="B90" t="inlineStr">
        <is>
          <t>td_gdi_firehawk</t>
        </is>
      </c>
      <c r="C90" t="inlineStr">
        <is>
          <t>Firehawk</t>
        </is>
      </c>
      <c r="D90" s="6" t="inlineStr">
        <is>
          <t>Bomber</t>
        </is>
      </c>
      <c r="E90" s="6" t="n">
        <v>180000</v>
      </c>
      <c r="F90" s="6" t="n">
        <v>180</v>
      </c>
      <c r="G90" t="inlineStr">
        <is>
          <t>Bomber</t>
        </is>
      </c>
      <c r="H90" s="6" t="n">
        <v>0.75</v>
      </c>
      <c r="I90" s="6" t="n">
        <v>1</v>
      </c>
      <c r="J90" s="6" t="n">
        <v>1</v>
      </c>
      <c r="K90" s="6" t="n">
        <v>0.012</v>
      </c>
      <c r="P90">
        <f>MAX(P91,P92,P93)</f>
        <v/>
      </c>
      <c r="S90">
        <f>S91+S92+S93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2000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FirehawkMissiles_AA</t>
        </is>
      </c>
      <c r="C91" s="7" t="inlineStr">
        <is>
          <t>Armament</t>
        </is>
      </c>
      <c r="L91" s="6" t="n">
        <v>20000</v>
      </c>
      <c r="M91" s="6" t="n">
        <v>50</v>
      </c>
      <c r="N91" s="6" t="n">
        <v>2</v>
      </c>
      <c r="O91" s="6" t="n">
        <v>5</v>
      </c>
      <c r="P91" s="6" t="n">
        <v>12500</v>
      </c>
      <c r="Q91" s="6" t="n">
        <v>1.25</v>
      </c>
      <c r="R91">
        <f>M91+IF(N91&gt;1,N(O91)*(N91-1),0)</f>
        <v/>
      </c>
      <c r="S91">
        <f>IFERROR(L91*MAX(N91,1)/R91*IF(ISBLANK(K90),1,K90),0)</f>
        <v/>
      </c>
      <c r="AB91" s="7" t="inlineStr">
        <is>
          <t>^Warhead_MissileAP_Heavy</t>
        </is>
      </c>
    </row>
    <row r="92">
      <c r="B92" s="7" t="inlineStr">
        <is>
          <t xml:space="preserve">  ↳ FirehawkMissiles_AA</t>
        </is>
      </c>
      <c r="C92" s="7" t="inlineStr">
        <is>
          <t>Armament@td_gdi_upgrade_advancedmissiletargeting</t>
        </is>
      </c>
      <c r="L92" s="6" t="n">
        <v>20000</v>
      </c>
      <c r="M92" s="6" t="n">
        <v>50</v>
      </c>
      <c r="N92" s="6" t="n">
        <v>2</v>
      </c>
      <c r="O92" s="6" t="n">
        <v>5</v>
      </c>
      <c r="P92" s="6" t="n">
        <v>12500</v>
      </c>
      <c r="Q92" s="6" t="n">
        <v>1.25</v>
      </c>
      <c r="R92">
        <f>M92+IF(N92&gt;1,N(O92)*(N92-1),0)</f>
        <v/>
      </c>
      <c r="S92">
        <f>IFERROR(L92*MAX(N92,1)/R92*IF(ISBLANK(K90),1,K90),0)</f>
        <v/>
      </c>
      <c r="AB92" s="7" t="inlineStr">
        <is>
          <t>^Warhead_MissileAP_Heavy</t>
        </is>
      </c>
    </row>
    <row r="93">
      <c r="B93" s="7" t="inlineStr">
        <is>
          <t xml:space="preserve">  ↳ FirehawkBomb</t>
        </is>
      </c>
      <c r="C93" s="7" t="inlineStr">
        <is>
          <t>Armament@BOMBS</t>
        </is>
      </c>
      <c r="L93" s="6" t="n">
        <v>40000</v>
      </c>
      <c r="M93" s="6" t="n">
        <v>50</v>
      </c>
      <c r="N93" s="6" t="n">
        <v>2</v>
      </c>
      <c r="O93" s="6" t="n">
        <v>2</v>
      </c>
      <c r="P93" s="6" t="n">
        <v>1250</v>
      </c>
      <c r="Q93" s="6" t="n">
        <v>1</v>
      </c>
      <c r="R93">
        <f>M93+IF(N93&gt;1,N(O93)*(N93-1),0)</f>
        <v/>
      </c>
      <c r="S93">
        <f>IFERROR(L93*MAX(N93,1)/R93*IF(ISBLANK(K90),1,K90),0)</f>
        <v/>
      </c>
      <c r="AB93" s="7" t="inlineStr">
        <is>
          <t>^HeavyBomb, ^NuclearWarhead, ^ShrapnelWeapon, ^MediumFlameWeapon</t>
        </is>
      </c>
    </row>
    <row r="94">
      <c r="A94" t="inlineStr">
        <is>
          <t>shared</t>
        </is>
      </c>
      <c r="B94" t="inlineStr">
        <is>
          <t>japan_zerofighter_slave</t>
        </is>
      </c>
      <c r="C94" t="inlineStr">
        <is>
          <t>Zero Fighter</t>
        </is>
      </c>
      <c r="D94" s="6" t="inlineStr">
        <is>
          <t>Bomber</t>
        </is>
      </c>
      <c r="E94" s="6" t="n">
        <v>7500</v>
      </c>
      <c r="F94" s="6" t="n">
        <v>175</v>
      </c>
      <c r="G94" t="inlineStr">
        <is>
          <t>Bomber</t>
        </is>
      </c>
      <c r="H94" s="6" t="n">
        <v>1</v>
      </c>
      <c r="I94" s="6" t="n">
        <v>1</v>
      </c>
      <c r="J94" s="6" t="n">
        <v>1</v>
      </c>
      <c r="K94" s="6" t="n">
        <v>0.005</v>
      </c>
      <c r="P94">
        <f>MAX(P95,P96,P97,P98,P99)</f>
        <v/>
      </c>
      <c r="S94">
        <f>S95+S96+S97+S98+S99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150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ZeroFighterChainGun</t>
        </is>
      </c>
      <c r="C95" s="7" t="inlineStr">
        <is>
          <t>Armament@PRIMARY</t>
        </is>
      </c>
      <c r="L95" s="6" t="n">
        <v>6000</v>
      </c>
      <c r="M95" s="6" t="n">
        <v>92</v>
      </c>
      <c r="N95" s="6" t="n">
        <v>12</v>
      </c>
      <c r="O95" s="6" t="n">
        <v>4</v>
      </c>
      <c r="P95" s="6" t="n">
        <v>6615</v>
      </c>
      <c r="Q95" s="6" t="n">
        <v>1</v>
      </c>
      <c r="R95">
        <f>M95+IF(N95&gt;1,N(O95)*(N95-1),0)</f>
        <v/>
      </c>
      <c r="S95">
        <f>IFERROR(L95*MAX(N95,1)/R95*IF(ISBLANK(K94),1,K94),0)</f>
        <v/>
      </c>
      <c r="AB95" s="7" t="inlineStr">
        <is>
          <t>^Warhead_Bullet_Medium</t>
        </is>
      </c>
    </row>
    <row r="96">
      <c r="B96" s="7" t="inlineStr">
        <is>
          <t xml:space="preserve">  ↳ ZeroFighterChainGun</t>
        </is>
      </c>
      <c r="C96" s="7" t="inlineStr">
        <is>
          <t>Armament@SECONDARY</t>
        </is>
      </c>
      <c r="L96" s="6" t="n">
        <v>6000</v>
      </c>
      <c r="M96" s="6" t="n">
        <v>92</v>
      </c>
      <c r="N96" s="6" t="n">
        <v>12</v>
      </c>
      <c r="O96" s="6" t="n">
        <v>4</v>
      </c>
      <c r="P96" s="6" t="n">
        <v>6615</v>
      </c>
      <c r="Q96" s="6" t="n">
        <v>1</v>
      </c>
      <c r="R96">
        <f>M96+IF(N96&gt;1,N(O96)*(N96-1),0)</f>
        <v/>
      </c>
      <c r="S96">
        <f>IFERROR(L96*MAX(N96,1)/R96*IF(ISBLANK(K94),1,K94),0)</f>
        <v/>
      </c>
      <c r="AB96" s="7" t="inlineStr">
        <is>
          <t>^Warhead_Bullet_Medium</t>
        </is>
      </c>
    </row>
    <row r="97">
      <c r="B97" s="7" t="inlineStr">
        <is>
          <t xml:space="preserve">  ↳ ZeroFighterChainGunWaveforce</t>
        </is>
      </c>
      <c r="C97" s="7" t="inlineStr">
        <is>
          <t>Armament@Upgrade</t>
        </is>
      </c>
      <c r="L97" s="6" t="n">
        <v>11000</v>
      </c>
      <c r="M97" s="6" t="n">
        <v>92</v>
      </c>
      <c r="N97" s="6" t="n">
        <v>12</v>
      </c>
      <c r="O97" s="6" t="n">
        <v>4</v>
      </c>
      <c r="P97" s="6" t="n">
        <v>6615</v>
      </c>
      <c r="Q97" s="6" t="n">
        <v>1.125</v>
      </c>
      <c r="R97">
        <f>M97+IF(N97&gt;1,N(O97)*(N97-1),0)</f>
        <v/>
      </c>
      <c r="S97">
        <f>IFERROR(L97*MAX(N97,1)/R97*IF(ISBLANK(K94),1,K94),0)</f>
        <v/>
      </c>
      <c r="AB97" s="7" t="inlineStr">
        <is>
          <t>^Warhead_Railgun_Heavy, ^Warhead_Bullet_Medium</t>
        </is>
      </c>
    </row>
    <row r="98">
      <c r="B98" s="7" t="inlineStr">
        <is>
          <t xml:space="preserve">  ↳ ZeroFighterChainGunWaveforce</t>
        </is>
      </c>
      <c r="C98" s="7" t="inlineStr">
        <is>
          <t>Armament@UpgradeSECONDARY</t>
        </is>
      </c>
      <c r="L98" s="6" t="n">
        <v>11000</v>
      </c>
      <c r="M98" s="6" t="n">
        <v>92</v>
      </c>
      <c r="N98" s="6" t="n">
        <v>12</v>
      </c>
      <c r="O98" s="6" t="n">
        <v>4</v>
      </c>
      <c r="P98" s="6" t="n">
        <v>6615</v>
      </c>
      <c r="Q98" s="6" t="n">
        <v>1.125</v>
      </c>
      <c r="R98">
        <f>M98+IF(N98&gt;1,N(O98)*(N98-1),0)</f>
        <v/>
      </c>
      <c r="S98">
        <f>IFERROR(L98*MAX(N98,1)/R98*IF(ISBLANK(K94),1,K94),0)</f>
        <v/>
      </c>
      <c r="AB98" s="7" t="inlineStr">
        <is>
          <t>^Warhead_Railgun_Heavy, ^Warhead_Bullet_Medium</t>
        </is>
      </c>
    </row>
    <row r="99">
      <c r="B99" s="7" t="inlineStr">
        <is>
          <t xml:space="preserve">  ↳ JapanCarrierFighterBomb</t>
        </is>
      </c>
      <c r="C99" s="7" t="inlineStr">
        <is>
          <t>Armament</t>
        </is>
      </c>
      <c r="L99" s="6" t="n">
        <v>10000</v>
      </c>
      <c r="M99" s="6" t="n">
        <v>5</v>
      </c>
      <c r="N99" s="6" t="n">
        <v>1</v>
      </c>
      <c r="O99" s="6" t="n"/>
      <c r="P99" s="6" t="n">
        <v>3000</v>
      </c>
      <c r="Q99" s="6" t="n">
        <v>1.25</v>
      </c>
      <c r="R99">
        <f>M99+IF(N99&gt;1,N(O99)*(N99-1),0)</f>
        <v/>
      </c>
      <c r="S99">
        <f>IFERROR(L99*MAX(N99,1)/R99*IF(ISBLANK(K94),1,K94),0)</f>
        <v/>
      </c>
      <c r="AB99" s="7" t="inlineStr">
        <is>
          <t>^Warhead_Demolition_Heavy</t>
        </is>
      </c>
    </row>
    <row r="100">
      <c r="A100" t="inlineStr">
        <is>
          <t>redalert</t>
        </is>
      </c>
      <c r="B100" t="inlineStr">
        <is>
          <t>japan_japanesebomber</t>
        </is>
      </c>
      <c r="C100" t="inlineStr">
        <is>
          <t>Japanese Bomber</t>
        </is>
      </c>
      <c r="D100" s="6" t="inlineStr">
        <is>
          <t>Bomber</t>
        </is>
      </c>
      <c r="E100" s="6" t="n">
        <v>122500</v>
      </c>
      <c r="F100" s="6" t="n">
        <v>165</v>
      </c>
      <c r="G100" t="inlineStr">
        <is>
          <t>Bomber</t>
        </is>
      </c>
      <c r="H100" s="6" t="n">
        <v>0.75</v>
      </c>
      <c r="I100" s="6" t="n">
        <v>1</v>
      </c>
      <c r="J100" s="6" t="n">
        <v>1</v>
      </c>
      <c r="K100" s="6" t="n"/>
      <c r="P100">
        <f>MAX(P101,P102,P103,P104)</f>
        <v/>
      </c>
      <c r="S100">
        <f>S101+S102+S103+S104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1500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ZeroFighterChainGun</t>
        </is>
      </c>
      <c r="C101" s="7" t="inlineStr">
        <is>
          <t>Armament@Guns</t>
        </is>
      </c>
      <c r="L101" s="6" t="n">
        <v>6000</v>
      </c>
      <c r="M101" s="6" t="n">
        <v>92</v>
      </c>
      <c r="N101" s="6" t="n">
        <v>12</v>
      </c>
      <c r="O101" s="6" t="n">
        <v>4</v>
      </c>
      <c r="P101" s="6" t="n">
        <v>6615</v>
      </c>
      <c r="Q101" s="6" t="n">
        <v>1</v>
      </c>
      <c r="R101">
        <f>M101+IF(N101&gt;1,N(O101)*(N101-1),0)</f>
        <v/>
      </c>
      <c r="S101">
        <f>IFERROR(L101*MAX(N101,1)/R101*IF(ISBLANK(K100),1,K100),0)</f>
        <v/>
      </c>
      <c r="AB101" s="7" t="inlineStr">
        <is>
          <t>^Warhead_Bullet_Medium</t>
        </is>
      </c>
    </row>
    <row r="102">
      <c r="B102" s="7" t="inlineStr">
        <is>
          <t xml:space="preserve">  ↳ ZeroFighterChainGunWaveforce</t>
        </is>
      </c>
      <c r="C102" s="7" t="inlineStr">
        <is>
          <t>Armament@UpgradeGuns</t>
        </is>
      </c>
      <c r="L102" s="6" t="n">
        <v>11000</v>
      </c>
      <c r="M102" s="6" t="n">
        <v>92</v>
      </c>
      <c r="N102" s="6" t="n">
        <v>12</v>
      </c>
      <c r="O102" s="6" t="n">
        <v>4</v>
      </c>
      <c r="P102" s="6" t="n">
        <v>6615</v>
      </c>
      <c r="Q102" s="6" t="n">
        <v>1.125</v>
      </c>
      <c r="R102">
        <f>M102+IF(N102&gt;1,N(O102)*(N102-1),0)</f>
        <v/>
      </c>
      <c r="S102">
        <f>IFERROR(L102*MAX(N102,1)/R102*IF(ISBLANK(K100),1,K100),0)</f>
        <v/>
      </c>
      <c r="AB102" s="7" t="inlineStr">
        <is>
          <t>^Warhead_Railgun_Heavy, ^Warhead_Bullet_Medium</t>
        </is>
      </c>
    </row>
    <row r="103">
      <c r="B103" s="7" t="inlineStr">
        <is>
          <t xml:space="preserve">  ↳ JapaneseHeavyBomb</t>
        </is>
      </c>
      <c r="C103" s="7" t="inlineStr">
        <is>
          <t>Armament@Bombs</t>
        </is>
      </c>
      <c r="L103" s="6" t="n">
        <v>20000</v>
      </c>
      <c r="M103" s="6" t="n">
        <v>100</v>
      </c>
      <c r="N103" s="6" t="n">
        <v>4</v>
      </c>
      <c r="O103" s="6" t="n">
        <v>3</v>
      </c>
      <c r="P103" s="6" t="n">
        <v>6000</v>
      </c>
      <c r="Q103" s="6" t="n">
        <v>1.25</v>
      </c>
      <c r="R103">
        <f>M103+IF(N103&gt;1,N(O103)*(N103-1),0)</f>
        <v/>
      </c>
      <c r="S103">
        <f>IFERROR(L103*MAX(N103,1)/R103*IF(ISBLANK(K100),1,K100),0)</f>
        <v/>
      </c>
      <c r="AB103" s="7" t="inlineStr">
        <is>
          <t>^Warhead_Demolition_Heavy</t>
        </is>
      </c>
    </row>
    <row r="104">
      <c r="B104" s="7" t="inlineStr">
        <is>
          <t xml:space="preserve">  ↳ JapanesePlasmaBomb</t>
        </is>
      </c>
      <c r="C104" s="7" t="inlineStr">
        <is>
          <t>Armament@UpgradeBombs</t>
        </is>
      </c>
      <c r="L104" s="6" t="n">
        <v>30000</v>
      </c>
      <c r="M104" s="6" t="n">
        <v>100</v>
      </c>
      <c r="N104" s="6" t="n">
        <v>4</v>
      </c>
      <c r="O104" s="6" t="n">
        <v>5</v>
      </c>
      <c r="P104" s="6" t="n">
        <v>6000</v>
      </c>
      <c r="Q104" s="6" t="n">
        <v>1.25</v>
      </c>
      <c r="R104">
        <f>M104+IF(N104&gt;1,N(O104)*(N104-1),0)</f>
        <v/>
      </c>
      <c r="S104">
        <f>IFERROR(L104*MAX(N104,1)/R104*IF(ISBLANK(K100),1,K100),0)</f>
        <v/>
      </c>
      <c r="AB104" s="7" t="inlineStr">
        <is>
          <t>^Warhead_Chemical_Heavy, ^Warhead_Flame_Heavy</t>
        </is>
      </c>
    </row>
    <row r="105">
      <c r="A105" t="inlineStr">
        <is>
          <t>redalert</t>
        </is>
      </c>
      <c r="B105" t="inlineStr">
        <is>
          <t>ra1_soviets_migattackbomber</t>
        </is>
      </c>
      <c r="C105" t="inlineStr">
        <is>
          <t>Mig Attack Bomber</t>
        </is>
      </c>
      <c r="D105" s="6" t="inlineStr">
        <is>
          <t>Bomber</t>
        </is>
      </c>
      <c r="E105" s="6" t="n">
        <v>40000</v>
      </c>
      <c r="F105" s="6" t="n">
        <v>200</v>
      </c>
      <c r="G105" t="inlineStr">
        <is>
          <t>Bomber</t>
        </is>
      </c>
      <c r="H105" s="6" t="n">
        <v>0.5077</v>
      </c>
      <c r="I105" s="6" t="n">
        <v>1</v>
      </c>
      <c r="J105" s="6" t="n">
        <v>1</v>
      </c>
      <c r="K105" s="6" t="n"/>
      <c r="P105">
        <f>MAX(P106,P107,P108,P109,P110,P111)</f>
        <v/>
      </c>
      <c r="S105">
        <f>S106+S107+S108+S109+S110+S111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1400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Maverick</t>
        </is>
      </c>
      <c r="C106" s="7" t="inlineStr">
        <is>
          <t>Armament@Rockets1</t>
        </is>
      </c>
      <c r="L106" s="6" t="n">
        <v>40000</v>
      </c>
      <c r="M106" s="6" t="n">
        <v>50</v>
      </c>
      <c r="N106" s="6" t="n">
        <v>2</v>
      </c>
      <c r="O106" s="6" t="n">
        <v>4</v>
      </c>
      <c r="P106" s="6" t="n">
        <v>5900</v>
      </c>
      <c r="Q106" s="6" t="n">
        <v>1</v>
      </c>
      <c r="R106">
        <f>M106+IF(N106&gt;1,N(O106)*(N106-1),0)</f>
        <v/>
      </c>
      <c r="S106">
        <f>IFERROR(L106*MAX(N106,1)/R106*IF(ISBLANK(K105),1,K105),0)</f>
        <v/>
      </c>
      <c r="AB106" s="7" t="inlineStr">
        <is>
          <t>^Warhead_MissileAP_Medium</t>
        </is>
      </c>
    </row>
    <row r="107">
      <c r="B107" s="7" t="inlineStr">
        <is>
          <t xml:space="preserve">  ↳ Maverick</t>
        </is>
      </c>
      <c r="C107" s="7" t="inlineStr">
        <is>
          <t>Armament@Rockets2</t>
        </is>
      </c>
      <c r="L107" s="6" t="n">
        <v>40000</v>
      </c>
      <c r="M107" s="6" t="n">
        <v>50</v>
      </c>
      <c r="N107" s="6" t="n">
        <v>2</v>
      </c>
      <c r="O107" s="6" t="n">
        <v>4</v>
      </c>
      <c r="P107" s="6" t="n">
        <v>5900</v>
      </c>
      <c r="Q107" s="6" t="n">
        <v>1</v>
      </c>
      <c r="R107">
        <f>M107+IF(N107&gt;1,N(O107)*(N107-1),0)</f>
        <v/>
      </c>
      <c r="S107">
        <f>IFERROR(L107*MAX(N107,1)/R107*IF(ISBLANK(K105),1,K105),0)</f>
        <v/>
      </c>
      <c r="AB107" s="7" t="inlineStr">
        <is>
          <t>^Warhead_MissileAP_Medium</t>
        </is>
      </c>
    </row>
    <row r="108">
      <c r="B108" s="7" t="inlineStr">
        <is>
          <t xml:space="preserve">  ↳ TeslaMaverick</t>
        </is>
      </c>
      <c r="C108" s="7" t="inlineStr">
        <is>
          <t>Armament@TeslaUpgrade1</t>
        </is>
      </c>
      <c r="L108" s="6" t="n">
        <v>32000</v>
      </c>
      <c r="M108" s="6" t="n">
        <v>50</v>
      </c>
      <c r="N108" s="6" t="n">
        <v>2</v>
      </c>
      <c r="O108" s="6" t="n">
        <v>4</v>
      </c>
      <c r="P108" s="6" t="n">
        <v>5900</v>
      </c>
      <c r="Q108" s="6" t="n">
        <v>1.125</v>
      </c>
      <c r="R108">
        <f>M108+IF(N108&gt;1,N(O108)*(N108-1),0)</f>
        <v/>
      </c>
      <c r="S108">
        <f>IFERROR(L108*MAX(N108,1)/R108*IF(ISBLANK(K105),1,K105),0)</f>
        <v/>
      </c>
      <c r="AB108" s="7" t="inlineStr">
        <is>
          <t>^Warhead_Tesla_Heavy, ^Warhead_MissileAP_Medium</t>
        </is>
      </c>
    </row>
    <row r="109">
      <c r="B109" s="7" t="inlineStr">
        <is>
          <t xml:space="preserve">  ↳ TeslaMaverick</t>
        </is>
      </c>
      <c r="C109" s="7" t="inlineStr">
        <is>
          <t>Armament@TeslaUpgrade2</t>
        </is>
      </c>
      <c r="L109" s="6" t="n">
        <v>32000</v>
      </c>
      <c r="M109" s="6" t="n">
        <v>50</v>
      </c>
      <c r="N109" s="6" t="n">
        <v>2</v>
      </c>
      <c r="O109" s="6" t="n">
        <v>4</v>
      </c>
      <c r="P109" s="6" t="n">
        <v>5900</v>
      </c>
      <c r="Q109" s="6" t="n">
        <v>1.125</v>
      </c>
      <c r="R109">
        <f>M109+IF(N109&gt;1,N(O109)*(N109-1),0)</f>
        <v/>
      </c>
      <c r="S109">
        <f>IFERROR(L109*MAX(N109,1)/R109*IF(ISBLANK(K105),1,K105),0)</f>
        <v/>
      </c>
      <c r="AB109" s="7" t="inlineStr">
        <is>
          <t>^Warhead_Tesla_Heavy, ^Warhead_MissileAP_Medium</t>
        </is>
      </c>
    </row>
    <row r="110">
      <c r="B110" s="7" t="inlineStr">
        <is>
          <t xml:space="preserve">  ↳ ThermobaricMaverick</t>
        </is>
      </c>
      <c r="C110" s="7" t="inlineStr">
        <is>
          <t>Armament@NuclearUpgrade1</t>
        </is>
      </c>
      <c r="L110" s="6" t="n">
        <v>48000</v>
      </c>
      <c r="M110" s="6" t="n">
        <v>50</v>
      </c>
      <c r="N110" s="6" t="n">
        <v>2</v>
      </c>
      <c r="O110" s="6" t="n">
        <v>4</v>
      </c>
      <c r="P110" s="6" t="n">
        <v>5900</v>
      </c>
      <c r="Q110" s="6" t="n">
        <v>1</v>
      </c>
      <c r="R110">
        <f>M110+IF(N110&gt;1,N(O110)*(N110-1),0)</f>
        <v/>
      </c>
      <c r="S110">
        <f>IFERROR(L110*MAX(N110,1)/R110*IF(ISBLANK(K105),1,K105),0)</f>
        <v/>
      </c>
      <c r="AB110" s="7" t="inlineStr">
        <is>
          <t>^Warhead_MissileAP_Medium</t>
        </is>
      </c>
    </row>
    <row r="111">
      <c r="B111" s="7" t="inlineStr">
        <is>
          <t xml:space="preserve">  ↳ ThermobaricMaverick</t>
        </is>
      </c>
      <c r="C111" s="7" t="inlineStr">
        <is>
          <t>Armament@NuclearUpgrade2</t>
        </is>
      </c>
      <c r="L111" s="6" t="n">
        <v>48000</v>
      </c>
      <c r="M111" s="6" t="n">
        <v>50</v>
      </c>
      <c r="N111" s="6" t="n">
        <v>2</v>
      </c>
      <c r="O111" s="6" t="n">
        <v>4</v>
      </c>
      <c r="P111" s="6" t="n">
        <v>5900</v>
      </c>
      <c r="Q111" s="6" t="n">
        <v>1</v>
      </c>
      <c r="R111">
        <f>M111+IF(N111&gt;1,N(O111)*(N111-1),0)</f>
        <v/>
      </c>
      <c r="S111">
        <f>IFERROR(L111*MAX(N111,1)/R111*IF(ISBLANK(K105),1,K105),0)</f>
        <v/>
      </c>
      <c r="AB111" s="7" t="inlineStr">
        <is>
          <t>^Warhead_MissileAP_Medium</t>
        </is>
      </c>
    </row>
    <row r="112">
      <c r="A112" t="inlineStr">
        <is>
          <t>redalert</t>
        </is>
      </c>
      <c r="B112" t="inlineStr">
        <is>
          <t>ra1_soviets_su57attackbomber</t>
        </is>
      </c>
      <c r="C112" t="inlineStr">
        <is>
          <t>Su-57 Attack Bomber</t>
        </is>
      </c>
      <c r="D112" s="6" t="inlineStr">
        <is>
          <t>Bomber</t>
        </is>
      </c>
      <c r="E112" s="6" t="n">
        <v>65000</v>
      </c>
      <c r="F112" s="6" t="n">
        <v>220</v>
      </c>
      <c r="G112" t="inlineStr">
        <is>
          <t>Bomber</t>
        </is>
      </c>
      <c r="H112" s="6" t="n">
        <v>0.5077</v>
      </c>
      <c r="I112" s="6" t="n">
        <v>1</v>
      </c>
      <c r="J112" s="6" t="n">
        <v>1</v>
      </c>
      <c r="K112" s="6" t="n">
        <v>0.0115</v>
      </c>
      <c r="P112">
        <f>MAX(P113,P114,P115,P116,P117,P118)</f>
        <v/>
      </c>
      <c r="S112">
        <f>S113+S114+S115+S116+S117+S118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3000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NuclearMaverick</t>
        </is>
      </c>
      <c r="C113" s="7" t="inlineStr">
        <is>
          <t>Armament</t>
        </is>
      </c>
      <c r="L113" s="6" t="n">
        <v>40000</v>
      </c>
      <c r="M113" s="6" t="n">
        <v>50</v>
      </c>
      <c r="N113" s="6" t="n">
        <v>2</v>
      </c>
      <c r="O113" s="6" t="n">
        <v>4</v>
      </c>
      <c r="P113" s="6" t="n">
        <v>7890</v>
      </c>
      <c r="Q113" s="6" t="n">
        <v>1.25</v>
      </c>
      <c r="R113">
        <f>M113+IF(N113&gt;1,N(O113)*(N113-1),0)</f>
        <v/>
      </c>
      <c r="S113">
        <f>IFERROR(L113*MAX(N113,1)/R113*IF(ISBLANK(K112),1,K112),0)</f>
        <v/>
      </c>
      <c r="AB113" s="7" t="inlineStr">
        <is>
          <t>^Warhead_MissileHE_Heavy</t>
        </is>
      </c>
    </row>
    <row r="114">
      <c r="B114" s="7" t="inlineStr">
        <is>
          <t xml:space="preserve">  ↳ ThermobaricNuclearMaverick</t>
        </is>
      </c>
      <c r="C114" s="7" t="inlineStr">
        <is>
          <t>Armament@HE</t>
        </is>
      </c>
      <c r="L114" s="6" t="n">
        <v>42000</v>
      </c>
      <c r="M114" s="6" t="n">
        <v>50</v>
      </c>
      <c r="N114" s="6" t="n">
        <v>2</v>
      </c>
      <c r="O114" s="6" t="n">
        <v>4</v>
      </c>
      <c r="P114" s="6" t="n">
        <v>7890</v>
      </c>
      <c r="Q114" s="6" t="n">
        <v>1.25</v>
      </c>
      <c r="R114">
        <f>M114+IF(N114&gt;1,N(O114)*(N114-1),0)</f>
        <v/>
      </c>
      <c r="S114">
        <f>IFERROR(L114*MAX(N114,1)/R114*IF(ISBLANK(K112),1,K112),0)</f>
        <v/>
      </c>
      <c r="AB114" s="7" t="inlineStr">
        <is>
          <t>^Warhead_MissileHE_Heavy, ^Warhead_Flame_Heavy</t>
        </is>
      </c>
    </row>
    <row r="115">
      <c r="B115" s="7" t="inlineStr">
        <is>
          <t xml:space="preserve">  ↳ YakChainGun</t>
        </is>
      </c>
      <c r="C115" s="7" t="inlineStr">
        <is>
          <t>Armament@PRIMARY</t>
        </is>
      </c>
      <c r="L115" s="6" t="n">
        <v>4000</v>
      </c>
      <c r="M115" s="6" t="n">
        <v>100</v>
      </c>
      <c r="N115" s="6" t="n">
        <v>8</v>
      </c>
      <c r="O115" s="6" t="n">
        <v>3</v>
      </c>
      <c r="P115" s="6" t="n">
        <v>7000</v>
      </c>
      <c r="Q115" s="6" t="n">
        <v>1</v>
      </c>
      <c r="R115">
        <f>M115+IF(N115&gt;1,N(O115)*(N115-1),0)</f>
        <v/>
      </c>
      <c r="S115">
        <f>IFERROR(L115*MAX(N115,1)/R115*IF(ISBLANK(K112),1,K112),0)</f>
        <v/>
      </c>
      <c r="AB115" s="7" t="inlineStr">
        <is>
          <t>^Warhead_Bullet_Medium</t>
        </is>
      </c>
    </row>
    <row r="116">
      <c r="B116" s="7" t="inlineStr">
        <is>
          <t xml:space="preserve">  ↳ YakChainGun</t>
        </is>
      </c>
      <c r="C116" s="7" t="inlineStr">
        <is>
          <t>Armament@SECONDARY</t>
        </is>
      </c>
      <c r="L116" s="6" t="n">
        <v>4000</v>
      </c>
      <c r="M116" s="6" t="n">
        <v>100</v>
      </c>
      <c r="N116" s="6" t="n">
        <v>8</v>
      </c>
      <c r="O116" s="6" t="n">
        <v>3</v>
      </c>
      <c r="P116" s="6" t="n">
        <v>7000</v>
      </c>
      <c r="Q116" s="6" t="n">
        <v>1</v>
      </c>
      <c r="R116">
        <f>M116+IF(N116&gt;1,N(O116)*(N116-1),0)</f>
        <v/>
      </c>
      <c r="S116">
        <f>IFERROR(L116*MAX(N116,1)/R116*IF(ISBLANK(K112),1,K112),0)</f>
        <v/>
      </c>
      <c r="AB116" s="7" t="inlineStr">
        <is>
          <t>^Warhead_Bullet_Medium</t>
        </is>
      </c>
    </row>
    <row r="117">
      <c r="B117" s="7" t="inlineStr">
        <is>
          <t xml:space="preserve">  ↳ IncendiaryYakChainGun</t>
        </is>
      </c>
      <c r="C117" s="7" t="inlineStr">
        <is>
          <t>Armament@Upgrade1</t>
        </is>
      </c>
      <c r="L117" s="6" t="n">
        <v>8000</v>
      </c>
      <c r="M117" s="6" t="n">
        <v>100</v>
      </c>
      <c r="N117" s="6" t="n">
        <v>8</v>
      </c>
      <c r="O117" s="6" t="n">
        <v>3</v>
      </c>
      <c r="P117" s="6" t="n">
        <v>7000</v>
      </c>
      <c r="Q117" s="6" t="n">
        <v>0.875</v>
      </c>
      <c r="R117">
        <f>M117+IF(N117&gt;1,N(O117)*(N117-1),0)</f>
        <v/>
      </c>
      <c r="S117">
        <f>IFERROR(L117*MAX(N117,1)/R117*IF(ISBLANK(K112),1,K112),0)</f>
        <v/>
      </c>
      <c r="AB117" s="7" t="inlineStr">
        <is>
          <t>^Warhead_Flame_Light, ^Warhead_Bullet_Medium</t>
        </is>
      </c>
    </row>
    <row r="118">
      <c r="B118" s="7" t="inlineStr">
        <is>
          <t xml:space="preserve">  ↳ IncendiaryYakChainGun</t>
        </is>
      </c>
      <c r="C118" s="7" t="inlineStr">
        <is>
          <t>Armament@Upgrade2</t>
        </is>
      </c>
      <c r="L118" s="6" t="n">
        <v>8000</v>
      </c>
      <c r="M118" s="6" t="n">
        <v>100</v>
      </c>
      <c r="N118" s="6" t="n">
        <v>8</v>
      </c>
      <c r="O118" s="6" t="n">
        <v>3</v>
      </c>
      <c r="P118" s="6" t="n">
        <v>7000</v>
      </c>
      <c r="Q118" s="6" t="n">
        <v>0.875</v>
      </c>
      <c r="R118">
        <f>M118+IF(N118&gt;1,N(O118)*(N118-1),0)</f>
        <v/>
      </c>
      <c r="S118">
        <f>IFERROR(L118*MAX(N118,1)/R118*IF(ISBLANK(K112),1,K112),0)</f>
        <v/>
      </c>
      <c r="AB118" s="7" t="inlineStr">
        <is>
          <t>^Warhead_Flame_Light, ^Warhead_Bullet_Medium</t>
        </is>
      </c>
    </row>
    <row r="119">
      <c r="A119" t="inlineStr">
        <is>
          <t>redalert</t>
        </is>
      </c>
      <c r="B119" t="inlineStr">
        <is>
          <t>ra1_soviets_supersonicnuclearbomber</t>
        </is>
      </c>
      <c r="C119" t="inlineStr">
        <is>
          <t>Supersonic Nuclear Bomber</t>
        </is>
      </c>
      <c r="D119" s="6" t="inlineStr">
        <is>
          <t>Bomber</t>
        </is>
      </c>
      <c r="E119" s="6" t="n">
        <v>125000</v>
      </c>
      <c r="F119" s="6" t="n">
        <v>200</v>
      </c>
      <c r="G119" t="inlineStr">
        <is>
          <t>Bomber</t>
        </is>
      </c>
      <c r="H119" s="6" t="n">
        <v>0.5077</v>
      </c>
      <c r="I119" s="6" t="n">
        <v>1</v>
      </c>
      <c r="J119" s="6" t="n">
        <v>1</v>
      </c>
      <c r="K119" s="6" t="n"/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7000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ParaBombNuke</t>
        </is>
      </c>
      <c r="C120" s="7" t="inlineStr">
        <is>
          <t>Armament@Nuke</t>
        </is>
      </c>
      <c r="L120" s="6" t="n">
        <v>400000</v>
      </c>
      <c r="M120" s="6" t="n">
        <v>50</v>
      </c>
      <c r="N120" s="6" t="n">
        <v>1</v>
      </c>
      <c r="O120" s="6" t="n"/>
      <c r="P120" s="6" t="n">
        <v>750</v>
      </c>
      <c r="Q120" s="6" t="n">
        <v>1</v>
      </c>
      <c r="R120">
        <f>M120+IF(N120&gt;1,N(O120)*(N120-1),0)</f>
        <v/>
      </c>
      <c r="S120">
        <f>IFERROR(L120*MAX(N120,1)/R120*IF(ISBLANK(K119),1,K119),0)</f>
        <v/>
      </c>
      <c r="AB120" s="7" t="inlineStr">
        <is>
          <t>^HeavyBomb, ^HeavyChemicalWeapon, ^HeavyFlameWeapon, ^NuclearWarhead</t>
        </is>
      </c>
    </row>
    <row r="121">
      <c r="A121" t="inlineStr">
        <is>
          <t>redalert</t>
        </is>
      </c>
      <c r="B121" t="inlineStr">
        <is>
          <t>ra1_allies_rapierjumpjet</t>
        </is>
      </c>
      <c r="C121" t="inlineStr">
        <is>
          <t>Rapier Jumpjet</t>
        </is>
      </c>
      <c r="D121" s="6" t="inlineStr">
        <is>
          <t>Bomber</t>
        </is>
      </c>
      <c r="E121" s="6" t="n">
        <v>77500</v>
      </c>
      <c r="F121" s="6" t="n">
        <v>210</v>
      </c>
      <c r="G121" t="inlineStr">
        <is>
          <t>Bomber</t>
        </is>
      </c>
      <c r="H121" s="6" t="n">
        <v>0.75</v>
      </c>
      <c r="I121" s="6" t="n">
        <v>1</v>
      </c>
      <c r="J121" s="6" t="n">
        <v>1</v>
      </c>
      <c r="K121" s="6" t="n">
        <v>0.005</v>
      </c>
      <c r="P121">
        <f>MAX(P122,P123,P124,P125)</f>
        <v/>
      </c>
      <c r="S121">
        <f>S122+S123+S124+S125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1300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RapierBombs</t>
        </is>
      </c>
      <c r="C122" s="7" t="inlineStr">
        <is>
          <t>Armament@PRIMARY</t>
        </is>
      </c>
      <c r="L122" s="6" t="n">
        <v>10000</v>
      </c>
      <c r="M122" s="6" t="n">
        <v>60</v>
      </c>
      <c r="N122" s="6" t="n">
        <v>4</v>
      </c>
      <c r="O122" s="6" t="n">
        <v>2</v>
      </c>
      <c r="P122" s="6" t="n">
        <v>2000</v>
      </c>
      <c r="Q122" s="6" t="n">
        <v>1.25</v>
      </c>
      <c r="R122">
        <f>M122+IF(N122&gt;1,N(O122)*(N122-1),0)</f>
        <v/>
      </c>
      <c r="S122">
        <f>IFERROR(L122*MAX(N122,1)/R122*IF(ISBLANK(K121),1,K121),0)</f>
        <v/>
      </c>
      <c r="AB122" s="7" t="inlineStr">
        <is>
          <t>^Warhead_Demolition_Heavy</t>
        </is>
      </c>
    </row>
    <row r="123">
      <c r="B123" s="7" t="inlineStr">
        <is>
          <t xml:space="preserve">  ↳ RapierBombsCryo</t>
        </is>
      </c>
      <c r="C123" s="7" t="inlineStr">
        <is>
          <t>Armament@Upgrade</t>
        </is>
      </c>
      <c r="L123" s="6" t="n">
        <v>10000</v>
      </c>
      <c r="M123" s="6" t="n">
        <v>60</v>
      </c>
      <c r="N123" s="6" t="n">
        <v>4</v>
      </c>
      <c r="O123" s="6" t="n">
        <v>2</v>
      </c>
      <c r="P123" s="6" t="n">
        <v>2000</v>
      </c>
      <c r="Q123" s="6" t="n">
        <v>1.25</v>
      </c>
      <c r="R123">
        <f>M123+IF(N123&gt;1,N(O123)*(N123-1),0)</f>
        <v/>
      </c>
      <c r="S123">
        <f>IFERROR(L123*MAX(N123,1)/R123*IF(ISBLANK(K121),1,K121),0)</f>
        <v/>
      </c>
      <c r="AB123" s="7" t="inlineStr">
        <is>
          <t>^Warhead_Demolition_Heavy</t>
        </is>
      </c>
    </row>
    <row r="124">
      <c r="B124" s="7" t="inlineStr">
        <is>
          <t xml:space="preserve">  ↳ Aphid_AA</t>
        </is>
      </c>
      <c r="C124" s="7" t="inlineStr">
        <is>
          <t>Armament@SECONDARY</t>
        </is>
      </c>
      <c r="L124" s="6" t="n">
        <v>16000</v>
      </c>
      <c r="M124" s="6" t="n">
        <v>62</v>
      </c>
      <c r="N124" s="6" t="n">
        <v>2</v>
      </c>
      <c r="O124" s="6" t="n">
        <v>4</v>
      </c>
      <c r="P124" s="6" t="n">
        <v>7000</v>
      </c>
      <c r="Q124" s="6" t="n">
        <v>1.125</v>
      </c>
      <c r="R124">
        <f>M124+IF(N124&gt;1,N(O124)*(N124-1),0)</f>
        <v/>
      </c>
      <c r="S124">
        <f>IFERROR(L124*MAX(N124,1)/R124*IF(ISBLANK(K121),1,K121),0)</f>
        <v/>
      </c>
      <c r="AB124" s="7" t="inlineStr">
        <is>
          <t>^Warhead_Concussion_Medium, ^Warhead_MissileHE_Heavy</t>
        </is>
      </c>
    </row>
    <row r="125">
      <c r="B125" s="7" t="inlineStr">
        <is>
          <t xml:space="preserve">  ↳ AphidCryo_AA</t>
        </is>
      </c>
      <c r="C125" s="7" t="inlineStr">
        <is>
          <t>Armament@SECONDARYUpgrade</t>
        </is>
      </c>
      <c r="L125" s="6" t="n">
        <v>16000</v>
      </c>
      <c r="M125" s="6" t="n">
        <v>62</v>
      </c>
      <c r="N125" s="6" t="n">
        <v>2</v>
      </c>
      <c r="O125" s="6" t="n">
        <v>4</v>
      </c>
      <c r="P125" s="6" t="n">
        <v>7000</v>
      </c>
      <c r="Q125" s="6" t="n">
        <v>1.125</v>
      </c>
      <c r="R125">
        <f>M125+IF(N125&gt;1,N(O125)*(N125-1),0)</f>
        <v/>
      </c>
      <c r="S125">
        <f>IFERROR(L125*MAX(N125,1)/R125*IF(ISBLANK(K121),1,K121),0)</f>
        <v/>
      </c>
      <c r="AB125" s="7" t="inlineStr">
        <is>
          <t>^Warhead_Concussion_Medium, ^Warhead_MissileHE_Heavy</t>
        </is>
      </c>
    </row>
    <row r="126">
      <c r="A126" t="inlineStr">
        <is>
          <t>tiberiansun</t>
        </is>
      </c>
      <c r="B126" t="inlineStr">
        <is>
          <t>cabal_hunterdrone</t>
        </is>
      </c>
      <c r="C126" t="inlineStr">
        <is>
          <t>Hunter Drone</t>
        </is>
      </c>
      <c r="D126" s="6" t="inlineStr">
        <is>
          <t>Bomber</t>
        </is>
      </c>
      <c r="E126" s="6" t="n">
        <v>15000</v>
      </c>
      <c r="F126" s="6" t="n">
        <v>180</v>
      </c>
      <c r="G126" t="inlineStr">
        <is>
          <t>Bomber</t>
        </is>
      </c>
      <c r="H126" s="6" t="n">
        <v>1</v>
      </c>
      <c r="I126" s="6" t="n">
        <v>1</v>
      </c>
      <c r="J126" s="6" t="n">
        <v>1</v>
      </c>
      <c r="K126" s="6" t="n"/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50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CabalOverkillDroneLaser</t>
        </is>
      </c>
      <c r="C127" s="7" t="inlineStr">
        <is>
          <t>Armament@PRIMARY</t>
        </is>
      </c>
      <c r="L127" s="6" t="n">
        <v>8000</v>
      </c>
      <c r="M127" s="6" t="n">
        <v>30</v>
      </c>
      <c r="N127" s="6" t="n">
        <v>1</v>
      </c>
      <c r="O127" s="6" t="n"/>
      <c r="P127" s="6" t="n">
        <v>4096</v>
      </c>
      <c r="Q127" s="6" t="n">
        <v>1</v>
      </c>
      <c r="R127">
        <f>M127+IF(N127&gt;1,N(O127)*(N127-1),0)</f>
        <v/>
      </c>
      <c r="S127">
        <f>IFERROR(L127*MAX(N127,1)/R127*IF(ISBLANK(K126),1,K126),0)</f>
        <v/>
      </c>
      <c r="AB127" s="7" t="inlineStr">
        <is>
          <t>^Warhead_Bullet_Light, ^Warhead_Laser_Heavy</t>
        </is>
      </c>
    </row>
    <row r="128">
      <c r="A128" t="inlineStr">
        <is>
          <t>tiberiansun</t>
        </is>
      </c>
      <c r="B128" t="inlineStr">
        <is>
          <t>ts_nod_bansheefighter</t>
        </is>
      </c>
      <c r="C128" t="inlineStr">
        <is>
          <t>Banshee Fighter</t>
        </is>
      </c>
      <c r="D128" s="6" t="inlineStr">
        <is>
          <t>Bomber</t>
        </is>
      </c>
      <c r="E128" s="6" t="n">
        <v>60000</v>
      </c>
      <c r="F128" s="6" t="n">
        <v>180</v>
      </c>
      <c r="G128" t="inlineStr">
        <is>
          <t>Bomber</t>
        </is>
      </c>
      <c r="H128" s="6" t="n">
        <v>0.6962</v>
      </c>
      <c r="I128" s="6" t="n">
        <v>1</v>
      </c>
      <c r="J128" s="6" t="n">
        <v>1</v>
      </c>
      <c r="K128" s="6" t="n"/>
      <c r="P128">
        <f>MAX(P129)</f>
        <v/>
      </c>
      <c r="S128">
        <f>S129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2400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TSProton</t>
        </is>
      </c>
      <c r="C129" s="7" t="inlineStr">
        <is>
          <t>Armament@PRIMARY</t>
        </is>
      </c>
      <c r="L129" s="6" t="n">
        <v>60000</v>
      </c>
      <c r="M129" s="6" t="n">
        <v>50</v>
      </c>
      <c r="N129" s="6" t="n">
        <v>4</v>
      </c>
      <c r="O129" s="6" t="n">
        <v>3</v>
      </c>
      <c r="P129" s="6" t="n">
        <v>5414</v>
      </c>
      <c r="Q129" s="6" t="n">
        <v>1</v>
      </c>
      <c r="R129">
        <f>M129+IF(N129&gt;1,N(O129)*(N129-1),0)</f>
        <v/>
      </c>
      <c r="S129">
        <f>IFERROR(L129*MAX(N129,1)/R129*IF(ISBLANK(K128),1,K128),0)</f>
        <v/>
      </c>
      <c r="AB129" s="7" t="inlineStr">
        <is>
          <t>^TSEnergyBlast, ^MediumFlameWeapon, ^LaserWeapon</t>
        </is>
      </c>
    </row>
    <row r="130">
      <c r="A130" t="inlineStr">
        <is>
          <t>tiberiansun</t>
        </is>
      </c>
      <c r="B130" t="inlineStr">
        <is>
          <t>ts_gdi_orcabomber</t>
        </is>
      </c>
      <c r="C130" t="inlineStr">
        <is>
          <t>Orca Bomber</t>
        </is>
      </c>
      <c r="D130" s="6" t="inlineStr">
        <is>
          <t>Bomber</t>
        </is>
      </c>
      <c r="E130" s="6" t="n">
        <v>152500</v>
      </c>
      <c r="F130" s="6" t="n">
        <v>160</v>
      </c>
      <c r="G130" t="inlineStr">
        <is>
          <t>Bomber</t>
        </is>
      </c>
      <c r="H130" s="6" t="n">
        <v>0.75</v>
      </c>
      <c r="I130" s="6" t="n">
        <v>1</v>
      </c>
      <c r="J130" s="6" t="n">
        <v>1</v>
      </c>
      <c r="K130" s="6" t="n">
        <v>0.0025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1900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TSBomb</t>
        </is>
      </c>
      <c r="C131" s="7" t="inlineStr">
        <is>
          <t>Armament@PRIMARY</t>
        </is>
      </c>
      <c r="L131" s="6" t="n">
        <v>20000</v>
      </c>
      <c r="M131" s="6" t="n">
        <v>38</v>
      </c>
      <c r="N131" s="6" t="n">
        <v>5</v>
      </c>
      <c r="O131" s="6" t="n">
        <v>3</v>
      </c>
      <c r="P131" s="6" t="n">
        <v>1500</v>
      </c>
      <c r="Q131" s="6" t="n">
        <v>1.125</v>
      </c>
      <c r="R131">
        <f>M131+IF(N131&gt;1,N(O131)*(N131-1),0)</f>
        <v/>
      </c>
      <c r="S131">
        <f>IFERROR(L131*MAX(N131,1)/R131*IF(ISBLANK(K130),1,K130),0)</f>
        <v/>
      </c>
      <c r="AB131" s="7" t="inlineStr">
        <is>
          <t>^Warhead_Concussion_Medium, ^Warhead_Demolition_Heavy</t>
        </is>
      </c>
    </row>
    <row r="132">
      <c r="B132" s="7" t="inlineStr">
        <is>
          <t xml:space="preserve">  ↳ TSBombSonic</t>
        </is>
      </c>
      <c r="C132" s="7" t="inlineStr">
        <is>
          <t>Armament@Upgrade</t>
        </is>
      </c>
      <c r="L132" s="6" t="n">
        <v>20000</v>
      </c>
      <c r="M132" s="6" t="n">
        <v>38</v>
      </c>
      <c r="N132" s="6" t="n">
        <v>5</v>
      </c>
      <c r="O132" s="6" t="n">
        <v>3</v>
      </c>
      <c r="P132" s="6" t="n">
        <v>1500</v>
      </c>
      <c r="Q132" s="6" t="n">
        <v>1.25</v>
      </c>
      <c r="R132">
        <f>M132+IF(N132&gt;1,N(O132)*(N132-1),0)</f>
        <v/>
      </c>
      <c r="S132">
        <f>IFERROR(L132*MAX(N132,1)/R132*IF(ISBLANK(K130),1,K130),0)</f>
        <v/>
      </c>
      <c r="AB132" s="7" t="inlineStr">
        <is>
          <t>^Warhead_Demolition_Heavy, ^Warhead_Sonic_Heavy</t>
        </is>
      </c>
    </row>
    <row r="133">
      <c r="A133" t="inlineStr">
        <is>
          <t>tiberiansun</t>
        </is>
      </c>
      <c r="B133" t="inlineStr">
        <is>
          <t>ts_gdi_strike_orca</t>
        </is>
      </c>
      <c r="C133" t="inlineStr">
        <is>
          <t>Strike Orca</t>
        </is>
      </c>
      <c r="D133" s="6" t="inlineStr">
        <is>
          <t>Bomber</t>
        </is>
      </c>
      <c r="E133" s="6" t="n">
        <v>10000</v>
      </c>
      <c r="F133" s="6" t="n">
        <v>200</v>
      </c>
      <c r="G133" t="inlineStr">
        <is>
          <t>Bomber</t>
        </is>
      </c>
      <c r="H133" s="6" t="n">
        <v>1</v>
      </c>
      <c r="I133" s="6" t="n">
        <v>1</v>
      </c>
      <c r="J133" s="6" t="n">
        <v>1</v>
      </c>
      <c r="K133" s="6" t="n"/>
      <c r="P133">
        <f>MAX(P134,P135,P136)</f>
        <v/>
      </c>
      <c r="S133">
        <f>S134+S135+S136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270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TSZoneHellfire</t>
        </is>
      </c>
      <c r="C134" s="7" t="inlineStr">
        <is>
          <t>Armament@GUNS</t>
        </is>
      </c>
      <c r="L134" s="6" t="n">
        <v>24000</v>
      </c>
      <c r="M134" s="6" t="n">
        <v>28</v>
      </c>
      <c r="N134" s="6" t="n">
        <v>1</v>
      </c>
      <c r="O134" s="6" t="n"/>
      <c r="P134" s="6" t="n">
        <v>6138</v>
      </c>
      <c r="Q134" s="6" t="n">
        <v>1.25</v>
      </c>
      <c r="R134">
        <f>M134+IF(N134&gt;1,N(O134)*(N134-1),0)</f>
        <v/>
      </c>
      <c r="S134">
        <f>IFERROR(L134*MAX(N134,1)/R134*IF(ISBLANK(K133),1,K133),0)</f>
        <v/>
      </c>
      <c r="AB134" s="7" t="inlineStr">
        <is>
          <t>^Warhead_CannonHE_Heavy</t>
        </is>
      </c>
    </row>
    <row r="135">
      <c r="B135" s="7" t="inlineStr">
        <is>
          <t xml:space="preserve">  ↳ TSBomb</t>
        </is>
      </c>
      <c r="C135" s="7" t="inlineStr">
        <is>
          <t>Armament@BOMBS</t>
        </is>
      </c>
      <c r="L135" s="6" t="n">
        <v>20000</v>
      </c>
      <c r="M135" s="6" t="n">
        <v>38</v>
      </c>
      <c r="N135" s="6" t="n">
        <v>5</v>
      </c>
      <c r="O135" s="6" t="n">
        <v>3</v>
      </c>
      <c r="P135" s="6" t="n">
        <v>1500</v>
      </c>
      <c r="Q135" s="6" t="n">
        <v>1.125</v>
      </c>
      <c r="R135">
        <f>M135+IF(N135&gt;1,N(O135)*(N135-1),0)</f>
        <v/>
      </c>
      <c r="S135">
        <f>IFERROR(L135*MAX(N135,1)/R135*IF(ISBLANK(K133),1,K133),0)</f>
        <v/>
      </c>
      <c r="AB135" s="7" t="inlineStr">
        <is>
          <t>^Warhead_Concussion_Medium, ^Warhead_Demolition_Heavy</t>
        </is>
      </c>
    </row>
    <row r="136">
      <c r="B136" s="7" t="inlineStr">
        <is>
          <t xml:space="preserve">  ↳ TSZoneHellfire</t>
        </is>
      </c>
      <c r="C136" s="7" t="inlineStr">
        <is>
          <t>Armament@AA</t>
        </is>
      </c>
      <c r="L136" s="6" t="n">
        <v>24000</v>
      </c>
      <c r="M136" s="6" t="n">
        <v>28</v>
      </c>
      <c r="N136" s="6" t="n">
        <v>1</v>
      </c>
      <c r="O136" s="6" t="n"/>
      <c r="P136" s="6" t="n">
        <v>6138</v>
      </c>
      <c r="Q136" s="6" t="n">
        <v>1.25</v>
      </c>
      <c r="R136">
        <f>M136+IF(N136&gt;1,N(O136)*(N136-1),0)</f>
        <v/>
      </c>
      <c r="S136">
        <f>IFERROR(L136*MAX(N136,1)/R136*IF(ISBLANK(K133),1,K133),0)</f>
        <v/>
      </c>
      <c r="AB136" s="7" t="inlineStr">
        <is>
          <t>^Warhead_CannonHE_Heavy</t>
        </is>
      </c>
    </row>
    <row r="137">
      <c r="A137" t="inlineStr">
        <is>
          <t>tiberiansun</t>
        </is>
      </c>
      <c r="B137" t="inlineStr">
        <is>
          <t>forgotten_cropplane</t>
        </is>
      </c>
      <c r="C137" t="inlineStr">
        <is>
          <t>actor_forgotten_cropplane.name</t>
        </is>
      </c>
      <c r="D137" s="6" t="inlineStr">
        <is>
          <t>Bomber</t>
        </is>
      </c>
      <c r="E137" s="6" t="n">
        <v>75000</v>
      </c>
      <c r="F137" s="6" t="n">
        <v>160</v>
      </c>
      <c r="G137" t="inlineStr">
        <is>
          <t>Bomber</t>
        </is>
      </c>
      <c r="H137" s="6" t="n">
        <v>0.7971</v>
      </c>
      <c r="I137" s="6" t="n">
        <v>1</v>
      </c>
      <c r="J137" s="6" t="n">
        <v>1</v>
      </c>
      <c r="K137" s="6" t="n"/>
      <c r="P137">
        <f>MAX(P138,P139)</f>
        <v/>
      </c>
      <c r="S137">
        <f>S138+S139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1500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TSCropBomb</t>
        </is>
      </c>
      <c r="C138" s="7" t="inlineStr">
        <is>
          <t>Armament@PRIMARY</t>
        </is>
      </c>
      <c r="L138" s="6" t="n">
        <v>120000</v>
      </c>
      <c r="M138" s="6" t="n">
        <v>50</v>
      </c>
      <c r="N138" s="6" t="n">
        <v>1</v>
      </c>
      <c r="O138" s="6" t="n"/>
      <c r="P138" s="6" t="n">
        <v>1250</v>
      </c>
      <c r="Q138" s="6" t="n">
        <v>1.25</v>
      </c>
      <c r="R138">
        <f>M138+IF(N138&gt;1,N(O138)*(N138-1),0)</f>
        <v/>
      </c>
      <c r="S138">
        <f>IFERROR(L138*MAX(N138,1)/R138*IF(ISBLANK(K137),1,K137),0)</f>
        <v/>
      </c>
      <c r="AB138" s="7" t="inlineStr">
        <is>
          <t>^Warhead_Demolition_Heavy</t>
        </is>
      </c>
    </row>
    <row r="139">
      <c r="B139" s="7" t="inlineStr">
        <is>
          <t xml:space="preserve">  ↳ TSCropBombChem</t>
        </is>
      </c>
      <c r="C139" s="7" t="inlineStr">
        <is>
          <t>Armament@UPGRADE</t>
        </is>
      </c>
      <c r="L139" s="6" t="n">
        <v>180000</v>
      </c>
      <c r="M139" s="6" t="n">
        <v>50</v>
      </c>
      <c r="N139" s="6" t="n">
        <v>1</v>
      </c>
      <c r="O139" s="6" t="n"/>
      <c r="P139" s="6" t="n">
        <v>1250</v>
      </c>
      <c r="Q139" s="6" t="n">
        <v>1.25</v>
      </c>
      <c r="R139">
        <f>M139+IF(N139&gt;1,N(O139)*(N139-1),0)</f>
        <v/>
      </c>
      <c r="S139">
        <f>IFERROR(L139*MAX(N139,1)/R139*IF(ISBLANK(K137),1,K137),0)</f>
        <v/>
      </c>
      <c r="AB139" s="7" t="inlineStr">
        <is>
          <t>^Warhead_Demolition_Heavy, ^Warhead_Chemical_Heavy</t>
        </is>
      </c>
    </row>
    <row r="140">
      <c r="A140" t="inlineStr">
        <is>
          <t>tiberiansun</t>
        </is>
      </c>
      <c r="B140" t="inlineStr">
        <is>
          <t>forgotten_locustbomber</t>
        </is>
      </c>
      <c r="C140" t="inlineStr">
        <is>
          <t>actor_forgotten_locustbomber.name</t>
        </is>
      </c>
      <c r="D140" s="6" t="inlineStr">
        <is>
          <t>Bomber</t>
        </is>
      </c>
      <c r="E140" s="6" t="n">
        <v>115000</v>
      </c>
      <c r="F140" s="6" t="n">
        <v>180</v>
      </c>
      <c r="G140" t="inlineStr">
        <is>
          <t>Bomber</t>
        </is>
      </c>
      <c r="H140" s="6" t="n">
        <v>0.7971</v>
      </c>
      <c r="I140" s="6" t="n">
        <v>1</v>
      </c>
      <c r="J140" s="6" t="n">
        <v>1</v>
      </c>
      <c r="K140" s="6" t="n"/>
      <c r="P140">
        <f>MAX(P141,P142)</f>
        <v/>
      </c>
      <c r="S140">
        <f>S141+S142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(T140+U140+V140)/3</f>
        <v/>
      </c>
      <c r="X140" s="6" t="n">
        <v>3000</v>
      </c>
      <c r="Y140">
        <f>IFERROR(W140-X140,"")</f>
        <v/>
      </c>
      <c r="Z140">
        <f>IFERROR(ABS(Y140)/MAX(X140,1),"")</f>
        <v/>
      </c>
      <c r="AA140">
        <f>IFERROR((X140-(((E140/100000+F140/100+S140/200)*200*I140*H140)+((E140*F140/25000)*I140*H140))/3)/(((J140/5)*200*I140*H140)+((J140*S140/2.5)*I140*H140)+((E140*F140*J140*S140*I140*H140)/12500000))/3*1000,"")</f>
        <v/>
      </c>
    </row>
    <row r="141">
      <c r="B141" s="7" t="inlineStr">
        <is>
          <t xml:space="preserve">  ↳ TSLocustBomb</t>
        </is>
      </c>
      <c r="C141" s="7" t="inlineStr">
        <is>
          <t>Armament@PRIMARY</t>
        </is>
      </c>
      <c r="L141" s="6" t="n">
        <v>180000</v>
      </c>
      <c r="M141" s="6" t="n">
        <v>38</v>
      </c>
      <c r="N141" s="6" t="n">
        <v>5</v>
      </c>
      <c r="O141" s="6" t="n">
        <v>3</v>
      </c>
      <c r="P141" s="6" t="n">
        <v>1250</v>
      </c>
      <c r="Q141" s="6" t="n">
        <v>1.25</v>
      </c>
      <c r="R141">
        <f>M141+IF(N141&gt;1,N(O141)*(N141-1),0)</f>
        <v/>
      </c>
      <c r="S141">
        <f>IFERROR(L141*MAX(N141,1)/R141*IF(ISBLANK(K140),1,K140),0)</f>
        <v/>
      </c>
      <c r="AB141" s="7" t="inlineStr">
        <is>
          <t>^Warhead_Demolition_Heavy</t>
        </is>
      </c>
    </row>
    <row r="142">
      <c r="B142" s="7" t="inlineStr">
        <is>
          <t xml:space="preserve">  ↳ TSLocustBombChem</t>
        </is>
      </c>
      <c r="C142" s="7" t="inlineStr">
        <is>
          <t>Armament@UPGRADE</t>
        </is>
      </c>
      <c r="L142" s="6" t="n">
        <v>270000</v>
      </c>
      <c r="M142" s="6" t="n">
        <v>38</v>
      </c>
      <c r="N142" s="6" t="n">
        <v>5</v>
      </c>
      <c r="O142" s="6" t="n">
        <v>3</v>
      </c>
      <c r="P142" s="6" t="n">
        <v>1250</v>
      </c>
      <c r="Q142" s="6" t="n">
        <v>1.25</v>
      </c>
      <c r="R142">
        <f>M142+IF(N142&gt;1,N(O142)*(N142-1),0)</f>
        <v/>
      </c>
      <c r="S142">
        <f>IFERROR(L142*MAX(N142,1)/R142*IF(ISBLANK(K140),1,K140),0)</f>
        <v/>
      </c>
      <c r="AB142" s="7" t="inlineStr">
        <is>
          <t>^Warhead_Demolition_Heavy, ^Warhead_Chemical_Heavy</t>
        </is>
      </c>
    </row>
    <row r="143">
      <c r="A143" t="inlineStr">
        <is>
          <t>shared</t>
        </is>
      </c>
      <c r="B143" t="inlineStr">
        <is>
          <t>ra2asw</t>
        </is>
      </c>
      <c r="C143" t="inlineStr">
        <is>
          <t>Osprey</t>
        </is>
      </c>
      <c r="D143" s="6" t="inlineStr">
        <is>
          <t>Bomber</t>
        </is>
      </c>
      <c r="E143" s="6" t="n">
        <v>50000</v>
      </c>
      <c r="F143" s="6" t="n">
        <v>210</v>
      </c>
      <c r="G143" t="inlineStr">
        <is>
          <t>Bomber</t>
        </is>
      </c>
      <c r="H143" s="6" t="n">
        <v>1</v>
      </c>
      <c r="I143" s="6" t="n">
        <v>1</v>
      </c>
      <c r="J143" s="6" t="n">
        <v>1</v>
      </c>
      <c r="K143" s="6" t="n">
        <v>0.005</v>
      </c>
      <c r="P143">
        <f>MAX(P144)</f>
        <v/>
      </c>
      <c r="S143">
        <f>S144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340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RA2DepthCharge</t>
        </is>
      </c>
      <c r="C144" s="7" t="inlineStr">
        <is>
          <t>Armament@PRIMARY</t>
        </is>
      </c>
      <c r="L144" s="6" t="n">
        <v>60000</v>
      </c>
      <c r="M144" s="6" t="n">
        <v>25</v>
      </c>
      <c r="N144" s="6" t="n">
        <v>5</v>
      </c>
      <c r="O144" s="6" t="n">
        <v>3</v>
      </c>
      <c r="P144" s="6" t="n">
        <v>3000</v>
      </c>
      <c r="Q144" s="6" t="n">
        <v>0.75</v>
      </c>
      <c r="R144">
        <f>M144+IF(N144&gt;1,N(O144)*(N144-1),0)</f>
        <v/>
      </c>
      <c r="S144">
        <f>IFERROR(L144*MAX(N144,1)/R144*IF(ISBLANK(K143),1,K143),0)</f>
        <v/>
      </c>
      <c r="AB144" s="7" t="inlineStr">
        <is>
          <t>^Warhead_Demolition_Light</t>
        </is>
      </c>
    </row>
    <row r="145">
      <c r="A145" t="inlineStr">
        <is>
          <t>shared</t>
        </is>
      </c>
      <c r="B145" t="inlineStr">
        <is>
          <t>ra2hornet</t>
        </is>
      </c>
      <c r="C145" t="inlineStr">
        <is>
          <t>Hornet</t>
        </is>
      </c>
      <c r="D145" s="6" t="inlineStr">
        <is>
          <t>Bomber</t>
        </is>
      </c>
      <c r="E145" s="6" t="n">
        <v>5000</v>
      </c>
      <c r="F145" s="6" t="n">
        <v>225</v>
      </c>
      <c r="G145" t="inlineStr">
        <is>
          <t>Bomber</t>
        </is>
      </c>
      <c r="H145" s="6" t="n">
        <v>1</v>
      </c>
      <c r="I145" s="6" t="n">
        <v>1</v>
      </c>
      <c r="J145" s="6" t="n">
        <v>1</v>
      </c>
      <c r="K145" s="6" t="n">
        <v>0.005</v>
      </c>
      <c r="P145">
        <f>MAX(P146)</f>
        <v/>
      </c>
      <c r="S145">
        <f>S146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170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RA2HornetMissile</t>
        </is>
      </c>
      <c r="C146" s="7" t="inlineStr">
        <is>
          <t>Armament@PRIMARY</t>
        </is>
      </c>
      <c r="L146" s="6" t="n">
        <v>6000</v>
      </c>
      <c r="M146" s="6" t="n">
        <v>3</v>
      </c>
      <c r="N146" s="6" t="n">
        <v>1</v>
      </c>
      <c r="O146" s="6" t="n"/>
      <c r="P146" s="6" t="n">
        <v>5000</v>
      </c>
      <c r="Q146" s="6" t="n">
        <v>1</v>
      </c>
      <c r="R146">
        <f>M146+IF(N146&gt;1,N(O146)*(N146-1),0)</f>
        <v/>
      </c>
      <c r="S146">
        <f>IFERROR(L146*MAX(N146,1)/R146*IF(ISBLANK(K145),1,K145),0)</f>
        <v/>
      </c>
      <c r="AB146" s="7" t="inlineStr">
        <is>
          <t>^Warhead_Demolition_Light, ^Warhead_Demolition_Heavy, ^Warhead_MissileAP_Medium</t>
        </is>
      </c>
    </row>
    <row r="147">
      <c r="A147" t="inlineStr">
        <is>
          <t>shared</t>
        </is>
      </c>
      <c r="B147" t="inlineStr">
        <is>
          <t>yrbpln</t>
        </is>
      </c>
      <c r="C147" t="inlineStr">
        <is>
          <t>MiG Bomber</t>
        </is>
      </c>
      <c r="D147" s="6" t="inlineStr">
        <is>
          <t>Bomber</t>
        </is>
      </c>
      <c r="E147" s="6" t="n">
        <v>100000</v>
      </c>
      <c r="F147" s="6" t="n">
        <v>250</v>
      </c>
      <c r="G147" t="inlineStr">
        <is>
          <t>Bomber</t>
        </is>
      </c>
      <c r="H147" s="6" t="n">
        <v>1</v>
      </c>
      <c r="I147" s="6" t="n">
        <v>1</v>
      </c>
      <c r="J147" s="6" t="n">
        <v>1</v>
      </c>
      <c r="K147" s="6" t="n">
        <v>0.0125</v>
      </c>
      <c r="P147">
        <f>MAX(P148,P149,P150,P151)</f>
        <v/>
      </c>
      <c r="S147">
        <f>S148+S149+S150+S151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(T147+U147+V147)/3</f>
        <v/>
      </c>
      <c r="X147" s="6" t="n">
        <v>5000</v>
      </c>
      <c r="Y147">
        <f>IFERROR(W147-X147,"")</f>
        <v/>
      </c>
      <c r="Z147">
        <f>IFERROR(ABS(Y147)/MAX(X147,1),"")</f>
        <v/>
      </c>
      <c r="AA147">
        <f>IFERROR((X147-(((E147/100000+F147/100+S147/200)*200*I147*H147)+((E147*F147/25000)*I147*H147))/3)/(((J147/5)*200*I147*H147)+((J147*S147/2.5)*I147*H147)+((E147*F147*J147*S147*I147*H147)/12500000))/3*1000,"")</f>
        <v/>
      </c>
    </row>
    <row r="148">
      <c r="B148" s="7" t="inlineStr">
        <is>
          <t xml:space="preserve">  ↳ MigMissiles</t>
        </is>
      </c>
      <c r="C148" s="7" t="inlineStr">
        <is>
          <t>Armament</t>
        </is>
      </c>
      <c r="L148" s="6" t="n">
        <v>32000</v>
      </c>
      <c r="M148" s="6" t="n">
        <v>50</v>
      </c>
      <c r="N148" s="6" t="n">
        <v>4</v>
      </c>
      <c r="O148" s="6" t="n">
        <v>2</v>
      </c>
      <c r="P148" s="6" t="n">
        <v>7600</v>
      </c>
      <c r="Q148" s="6" t="n">
        <v>1</v>
      </c>
      <c r="R148">
        <f>M148+IF(N148&gt;1,N(O148)*(N148-1),0)</f>
        <v/>
      </c>
      <c r="S148">
        <f>IFERROR(L148*MAX(N148,1)/R148*IF(ISBLANK(K147),1,K147),0)</f>
        <v/>
      </c>
      <c r="AB148" s="7" t="inlineStr">
        <is>
          <t>^Warhead_MissileAP_Medium</t>
        </is>
      </c>
    </row>
    <row r="149">
      <c r="B149" s="7" t="inlineStr">
        <is>
          <t xml:space="preserve">  ↳ MigMissiles_rad</t>
        </is>
      </c>
      <c r="C149" s="7" t="inlineStr">
        <is>
          <t>Armament@rad</t>
        </is>
      </c>
      <c r="L149" s="6" t="n">
        <v>36000</v>
      </c>
      <c r="M149" s="6" t="n">
        <v>50</v>
      </c>
      <c r="N149" s="6" t="n">
        <v>4</v>
      </c>
      <c r="O149" s="6" t="n">
        <v>2</v>
      </c>
      <c r="P149" s="6" t="n">
        <v>7600</v>
      </c>
      <c r="Q149" s="6" t="n">
        <v>1</v>
      </c>
      <c r="R149">
        <f>M149+IF(N149&gt;1,N(O149)*(N149-1),0)</f>
        <v/>
      </c>
      <c r="S149">
        <f>IFERROR(L149*MAX(N149,1)/R149*IF(ISBLANK(K147),1,K147),0)</f>
        <v/>
      </c>
      <c r="AB149" s="7" t="inlineStr">
        <is>
          <t>^Warhead_Chemical_Medium, ^Warhead_MissileAP_Medium</t>
        </is>
      </c>
    </row>
    <row r="150">
      <c r="B150" s="7" t="inlineStr">
        <is>
          <t xml:space="preserve">  ↳ MigMissiles_fire</t>
        </is>
      </c>
      <c r="C150" s="7" t="inlineStr">
        <is>
          <t>Armament@fire</t>
        </is>
      </c>
      <c r="L150" s="6" t="n">
        <v>32000</v>
      </c>
      <c r="M150" s="6" t="n">
        <v>50</v>
      </c>
      <c r="N150" s="6" t="n">
        <v>4</v>
      </c>
      <c r="O150" s="6" t="n">
        <v>2</v>
      </c>
      <c r="P150" s="6" t="n">
        <v>7600</v>
      </c>
      <c r="Q150" s="6" t="n">
        <v>1</v>
      </c>
      <c r="R150">
        <f>M150+IF(N150&gt;1,N(O150)*(N150-1),0)</f>
        <v/>
      </c>
      <c r="S150">
        <f>IFERROR(L150*MAX(N150,1)/R150*IF(ISBLANK(K147),1,K147),0)</f>
        <v/>
      </c>
      <c r="AB150" s="7" t="inlineStr">
        <is>
          <t>^Warhead_MissileAP_Medium</t>
        </is>
      </c>
    </row>
    <row r="151">
      <c r="B151" s="7" t="inlineStr">
        <is>
          <t xml:space="preserve">  ↳ MigMissiles_tesla</t>
        </is>
      </c>
      <c r="C151" s="7" t="inlineStr">
        <is>
          <t>Armament@tesla</t>
        </is>
      </c>
      <c r="L151" s="6" t="n">
        <v>32000</v>
      </c>
      <c r="M151" s="6" t="n">
        <v>50</v>
      </c>
      <c r="N151" s="6" t="n">
        <v>4</v>
      </c>
      <c r="O151" s="6" t="n">
        <v>2</v>
      </c>
      <c r="P151" s="6" t="n">
        <v>7600</v>
      </c>
      <c r="Q151" s="6" t="n">
        <v>1</v>
      </c>
      <c r="R151">
        <f>M151+IF(N151&gt;1,N(O151)*(N151-1),0)</f>
        <v/>
      </c>
      <c r="S151">
        <f>IFERROR(L151*MAX(N151,1)/R151*IF(ISBLANK(K147),1,K147),0)</f>
        <v/>
      </c>
      <c r="AB151" s="7" t="inlineStr">
        <is>
          <t>^Warhead_MissileAP_Medium</t>
        </is>
      </c>
    </row>
    <row r="152">
      <c r="A152" t="inlineStr">
        <is>
          <t>redalert2</t>
        </is>
      </c>
      <c r="B152" t="inlineStr">
        <is>
          <t>ra2_allies_blackeagle</t>
        </is>
      </c>
      <c r="C152" t="inlineStr">
        <is>
          <t>Black Eagle</t>
        </is>
      </c>
      <c r="D152" s="6" t="inlineStr">
        <is>
          <t>Bomber</t>
        </is>
      </c>
      <c r="E152" s="6" t="n">
        <v>85000</v>
      </c>
      <c r="F152" s="6" t="n">
        <v>150</v>
      </c>
      <c r="G152" t="inlineStr">
        <is>
          <t>Bomber</t>
        </is>
      </c>
      <c r="H152" s="6" t="n">
        <v>0.75</v>
      </c>
      <c r="I152" s="6" t="n">
        <v>1</v>
      </c>
      <c r="J152" s="6" t="n">
        <v>1</v>
      </c>
      <c r="K152" s="6" t="n"/>
      <c r="P152">
        <f>MAX(P153,P154,P155,P156)</f>
        <v/>
      </c>
      <c r="S152">
        <f>S153+S154+S155+S156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(T152+U152+V152)/3</f>
        <v/>
      </c>
      <c r="X152" s="6" t="n">
        <v>3000</v>
      </c>
      <c r="Y152">
        <f>IFERROR(W152-X152,"")</f>
        <v/>
      </c>
      <c r="Z152">
        <f>IFERROR(ABS(Y152)/MAX(X152,1),"")</f>
        <v/>
      </c>
      <c r="AA152">
        <f>IFERROR((X152-(((E152/100000+F152/100+S152/200)*200*I152*H152)+((E152*F152/25000)*I152*H152))/3)/(((J152/5)*200*I152*H152)+((J152*S152/2.5)*I152*H152)+((E152*F152*J152*S152*I152*H152)/12500000))/3*1000,"")</f>
        <v/>
      </c>
    </row>
    <row r="153">
      <c r="B153" s="7" t="inlineStr">
        <is>
          <t xml:space="preserve">  ↳ BlackEagleMissiles</t>
        </is>
      </c>
      <c r="C153" s="7" t="inlineStr">
        <is>
          <t>Armament@PRIMARY</t>
        </is>
      </c>
      <c r="L153" s="6" t="n">
        <v>48000</v>
      </c>
      <c r="M153" s="6" t="n">
        <v>50</v>
      </c>
      <c r="N153" s="6" t="n">
        <v>4</v>
      </c>
      <c r="O153" s="6" t="n">
        <v>2</v>
      </c>
      <c r="P153" s="6" t="n">
        <v>9000</v>
      </c>
      <c r="Q153" s="6" t="n">
        <v>1</v>
      </c>
      <c r="R153">
        <f>M153+IF(N153&gt;1,N(O153)*(N153-1),0)</f>
        <v/>
      </c>
      <c r="S153">
        <f>IFERROR(L153*MAX(N153,1)/R153*IF(ISBLANK(K152),1,K152),0)</f>
        <v/>
      </c>
      <c r="AB153" s="7" t="inlineStr">
        <is>
          <t>^Warhead_Demolition_Light, ^Warhead_Demolition_Heavy, ^Warhead_MissileAP_Medium</t>
        </is>
      </c>
    </row>
    <row r="154">
      <c r="B154" s="7" t="inlineStr">
        <is>
          <t xml:space="preserve">  ↳ BlackEagleMissiles_elite</t>
        </is>
      </c>
      <c r="C154" s="7" t="inlineStr">
        <is>
          <t>Armament@PRIMARYELITE</t>
        </is>
      </c>
      <c r="L154" s="6" t="n">
        <v>48000</v>
      </c>
      <c r="M154" s="6" t="n">
        <v>50</v>
      </c>
      <c r="N154" s="6" t="n">
        <v>8</v>
      </c>
      <c r="O154" s="6" t="n">
        <v>2</v>
      </c>
      <c r="P154" s="6" t="n">
        <v>10000</v>
      </c>
      <c r="Q154" s="6" t="n">
        <v>1</v>
      </c>
      <c r="R154">
        <f>M154+IF(N154&gt;1,N(O154)*(N154-1),0)</f>
        <v/>
      </c>
      <c r="S154">
        <f>IFERROR(L154*MAX(N154,1)/R154*IF(ISBLANK(K152),1,K152),0)</f>
        <v/>
      </c>
      <c r="AB154" s="7" t="inlineStr">
        <is>
          <t>^Warhead_Demolition_Light, ^Warhead_Demolition_Heavy, ^Warhead_MissileAP_Medium</t>
        </is>
      </c>
    </row>
    <row r="155">
      <c r="B155" s="7" t="inlineStr">
        <is>
          <t xml:space="preserve">  ↳ BlackEagleThunderboltMissiles</t>
        </is>
      </c>
      <c r="C155" s="7" t="inlineStr">
        <is>
          <t>Armament@PRIMARYUPGRADE</t>
        </is>
      </c>
      <c r="L155" s="6" t="n">
        <v>54000</v>
      </c>
      <c r="M155" s="6" t="n">
        <v>50</v>
      </c>
      <c r="N155" s="6" t="n">
        <v>4</v>
      </c>
      <c r="O155" s="6" t="n">
        <v>2</v>
      </c>
      <c r="P155" s="6" t="n">
        <v>9000</v>
      </c>
      <c r="Q155" s="6" t="n">
        <v>0.75</v>
      </c>
      <c r="R155">
        <f>M155+IF(N155&gt;1,N(O155)*(N155-1),0)</f>
        <v/>
      </c>
      <c r="S155">
        <f>IFERROR(L155*MAX(N155,1)/R155*IF(ISBLANK(K152),1,K152),0)</f>
        <v/>
      </c>
      <c r="AB155" s="7" t="inlineStr">
        <is>
          <t>^Warhead_MissileAP_Light</t>
        </is>
      </c>
    </row>
    <row r="156">
      <c r="B156" s="7" t="inlineStr">
        <is>
          <t xml:space="preserve">  ↳ BlackEagleThunderboltMissiles_elite</t>
        </is>
      </c>
      <c r="C156" s="7" t="inlineStr">
        <is>
          <t>Armament@PRIMARYELITEUpgrade</t>
        </is>
      </c>
      <c r="L156" s="6" t="n">
        <v>54000</v>
      </c>
      <c r="M156" s="6" t="n">
        <v>50</v>
      </c>
      <c r="N156" s="6" t="n">
        <v>8</v>
      </c>
      <c r="O156" s="6" t="n">
        <v>2</v>
      </c>
      <c r="P156" s="6" t="n">
        <v>10000</v>
      </c>
      <c r="Q156" s="6" t="n">
        <v>0.75</v>
      </c>
      <c r="R156">
        <f>M156+IF(N156&gt;1,N(O156)*(N156-1),0)</f>
        <v/>
      </c>
      <c r="S156">
        <f>IFERROR(L156*MAX(N156,1)/R156*IF(ISBLANK(K152),1,K152),0)</f>
        <v/>
      </c>
      <c r="AB156" s="7" t="inlineStr">
        <is>
          <t>^Warhead_MissileAP_Light</t>
        </is>
      </c>
    </row>
    <row r="157">
      <c r="A157" t="inlineStr">
        <is>
          <t>redalert2</t>
        </is>
      </c>
      <c r="B157" t="inlineStr">
        <is>
          <t>ra2_soviets_migbomber</t>
        </is>
      </c>
      <c r="C157" t="inlineStr">
        <is>
          <t>MiG Bomber</t>
        </is>
      </c>
      <c r="D157" s="6" t="inlineStr">
        <is>
          <t>Bomber</t>
        </is>
      </c>
      <c r="E157" s="6" t="n">
        <v>57500</v>
      </c>
      <c r="F157" s="6" t="n">
        <v>215</v>
      </c>
      <c r="G157" t="inlineStr">
        <is>
          <t>Bomber</t>
        </is>
      </c>
      <c r="H157" s="6" t="n">
        <v>0.5556</v>
      </c>
      <c r="I157" s="6" t="n">
        <v>1</v>
      </c>
      <c r="J157" s="6" t="n">
        <v>1</v>
      </c>
      <c r="K157" s="6" t="n"/>
      <c r="P157">
        <f>MAX(P158,P159,P160,P161,P162,P163,P164,P165)</f>
        <v/>
      </c>
      <c r="S157">
        <f>S158+S159+S160+S161+S162+S163+S164+S165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(T157+U157+V157)/3</f>
        <v/>
      </c>
      <c r="X157" s="6" t="n">
        <v>2000</v>
      </c>
      <c r="Y157">
        <f>IFERROR(W157-X157,"")</f>
        <v/>
      </c>
      <c r="Z157">
        <f>IFERROR(ABS(Y157)/MAX(X157,1),"")</f>
        <v/>
      </c>
      <c r="AA157">
        <f>IFERROR((X157-(((E157/100000+F157/100+S157/200)*200*I157*H157)+((E157*F157/25000)*I157*H157))/3)/(((J157/5)*200*I157*H157)+((J157*S157/2.5)*I157*H157)+((E157*F157*J157*S157*I157*H157)/12500000))/3*1000,"")</f>
        <v/>
      </c>
    </row>
    <row r="158">
      <c r="B158" s="7" t="inlineStr">
        <is>
          <t xml:space="preserve">  ↳ MigMissiles</t>
        </is>
      </c>
      <c r="C158" s="7" t="inlineStr">
        <is>
          <t>Armament</t>
        </is>
      </c>
      <c r="L158" s="6" t="n">
        <v>32000</v>
      </c>
      <c r="M158" s="6" t="n">
        <v>50</v>
      </c>
      <c r="N158" s="6" t="n">
        <v>4</v>
      </c>
      <c r="O158" s="6" t="n">
        <v>2</v>
      </c>
      <c r="P158" s="6" t="n">
        <v>7600</v>
      </c>
      <c r="Q158" s="6" t="n">
        <v>1</v>
      </c>
      <c r="R158">
        <f>M158+IF(N158&gt;1,N(O158)*(N158-1),0)</f>
        <v/>
      </c>
      <c r="S158">
        <f>IFERROR(L158*MAX(N158,1)/R158*IF(ISBLANK(K157),1,K157),0)</f>
        <v/>
      </c>
      <c r="AB158" s="7" t="inlineStr">
        <is>
          <t>^Warhead_MissileAP_Medium</t>
        </is>
      </c>
    </row>
    <row r="159">
      <c r="B159" s="7" t="inlineStr">
        <is>
          <t xml:space="preserve">  ↳ MigMissiles_rad</t>
        </is>
      </c>
      <c r="C159" s="7" t="inlineStr">
        <is>
          <t>Armament@rad</t>
        </is>
      </c>
      <c r="L159" s="6" t="n">
        <v>36000</v>
      </c>
      <c r="M159" s="6" t="n">
        <v>50</v>
      </c>
      <c r="N159" s="6" t="n">
        <v>4</v>
      </c>
      <c r="O159" s="6" t="n">
        <v>2</v>
      </c>
      <c r="P159" s="6" t="n">
        <v>7600</v>
      </c>
      <c r="Q159" s="6" t="n">
        <v>1</v>
      </c>
      <c r="R159">
        <f>M159+IF(N159&gt;1,N(O159)*(N159-1),0)</f>
        <v/>
      </c>
      <c r="S159">
        <f>IFERROR(L159*MAX(N159,1)/R159*IF(ISBLANK(K157),1,K157),0)</f>
        <v/>
      </c>
      <c r="AB159" s="7" t="inlineStr">
        <is>
          <t>^Warhead_Chemical_Medium, ^Warhead_MissileAP_Medium</t>
        </is>
      </c>
    </row>
    <row r="160">
      <c r="B160" s="7" t="inlineStr">
        <is>
          <t xml:space="preserve">  ↳ MigMissiles_fire</t>
        </is>
      </c>
      <c r="C160" s="7" t="inlineStr">
        <is>
          <t>Armament@fire</t>
        </is>
      </c>
      <c r="L160" s="6" t="n">
        <v>32000</v>
      </c>
      <c r="M160" s="6" t="n">
        <v>50</v>
      </c>
      <c r="N160" s="6" t="n">
        <v>4</v>
      </c>
      <c r="O160" s="6" t="n">
        <v>2</v>
      </c>
      <c r="P160" s="6" t="n">
        <v>7600</v>
      </c>
      <c r="Q160" s="6" t="n">
        <v>1</v>
      </c>
      <c r="R160">
        <f>M160+IF(N160&gt;1,N(O160)*(N160-1),0)</f>
        <v/>
      </c>
      <c r="S160">
        <f>IFERROR(L160*MAX(N160,1)/R160*IF(ISBLANK(K157),1,K157),0)</f>
        <v/>
      </c>
      <c r="AB160" s="7" t="inlineStr">
        <is>
          <t>^Warhead_MissileAP_Medium</t>
        </is>
      </c>
    </row>
    <row r="161">
      <c r="B161" s="7" t="inlineStr">
        <is>
          <t xml:space="preserve">  ↳ MigMissiles_tesla</t>
        </is>
      </c>
      <c r="C161" s="7" t="inlineStr">
        <is>
          <t>Armament@tesla</t>
        </is>
      </c>
      <c r="L161" s="6" t="n">
        <v>32000</v>
      </c>
      <c r="M161" s="6" t="n">
        <v>50</v>
      </c>
      <c r="N161" s="6" t="n">
        <v>4</v>
      </c>
      <c r="O161" s="6" t="n">
        <v>2</v>
      </c>
      <c r="P161" s="6" t="n">
        <v>7600</v>
      </c>
      <c r="Q161" s="6" t="n">
        <v>1</v>
      </c>
      <c r="R161">
        <f>M161+IF(N161&gt;1,N(O161)*(N161-1),0)</f>
        <v/>
      </c>
      <c r="S161">
        <f>IFERROR(L161*MAX(N161,1)/R161*IF(ISBLANK(K157),1,K157),0)</f>
        <v/>
      </c>
      <c r="AB161" s="7" t="inlineStr">
        <is>
          <t>^Warhead_MissileAP_Medium</t>
        </is>
      </c>
    </row>
    <row r="162">
      <c r="B162" s="7" t="inlineStr">
        <is>
          <t xml:space="preserve">  ↳ MigMissiles_elite</t>
        </is>
      </c>
      <c r="C162" s="7" t="inlineStr">
        <is>
          <t>Armament@PRIMARYELITE</t>
        </is>
      </c>
      <c r="L162" s="6" t="n">
        <v>32000</v>
      </c>
      <c r="M162" s="6" t="n">
        <v>50</v>
      </c>
      <c r="N162" s="6" t="n">
        <v>8</v>
      </c>
      <c r="O162" s="6" t="n">
        <v>2</v>
      </c>
      <c r="P162" s="6" t="n">
        <v>8600</v>
      </c>
      <c r="Q162" s="6" t="n">
        <v>1</v>
      </c>
      <c r="R162">
        <f>M162+IF(N162&gt;1,N(O162)*(N162-1),0)</f>
        <v/>
      </c>
      <c r="S162">
        <f>IFERROR(L162*MAX(N162,1)/R162*IF(ISBLANK(K157),1,K157),0)</f>
        <v/>
      </c>
      <c r="AB162" s="7" t="inlineStr">
        <is>
          <t>^Warhead_MissileAP_Medium</t>
        </is>
      </c>
    </row>
    <row r="163">
      <c r="B163" s="7" t="inlineStr">
        <is>
          <t xml:space="preserve">  ↳ MigMissiles_tesla_elite</t>
        </is>
      </c>
      <c r="C163" s="7" t="inlineStr">
        <is>
          <t>Armament@PRIMARYELITERad</t>
        </is>
      </c>
      <c r="L163" s="6" t="n">
        <v>32000</v>
      </c>
      <c r="M163" s="6" t="n">
        <v>50</v>
      </c>
      <c r="N163" s="6" t="n">
        <v>8</v>
      </c>
      <c r="O163" s="6" t="n">
        <v>2</v>
      </c>
      <c r="P163" s="6" t="n">
        <v>8600</v>
      </c>
      <c r="Q163" s="6" t="n">
        <v>1</v>
      </c>
      <c r="R163">
        <f>M163+IF(N163&gt;1,N(O163)*(N163-1),0)</f>
        <v/>
      </c>
      <c r="S163">
        <f>IFERROR(L163*MAX(N163,1)/R163*IF(ISBLANK(K157),1,K157),0)</f>
        <v/>
      </c>
      <c r="AB163" s="7" t="inlineStr">
        <is>
          <t>^Warhead_MissileAP_Medium</t>
        </is>
      </c>
    </row>
    <row r="164">
      <c r="B164" s="7" t="inlineStr">
        <is>
          <t xml:space="preserve">  ↳ MigMissiles_AA</t>
        </is>
      </c>
      <c r="C164" s="7" t="inlineStr">
        <is>
          <t>Armament@AA</t>
        </is>
      </c>
      <c r="L164" s="6" t="n">
        <v>32000</v>
      </c>
      <c r="M164" s="6" t="n">
        <v>50</v>
      </c>
      <c r="N164" s="6" t="n">
        <v>4</v>
      </c>
      <c r="O164" s="6" t="n">
        <v>2</v>
      </c>
      <c r="P164" s="6" t="n">
        <v>7600</v>
      </c>
      <c r="Q164" s="6" t="n">
        <v>1</v>
      </c>
      <c r="R164">
        <f>M164+IF(N164&gt;1,N(O164)*(N164-1),0)</f>
        <v/>
      </c>
      <c r="S164">
        <f>IFERROR(L164*MAX(N164,1)/R164*IF(ISBLANK(K157),1,K157),0)</f>
        <v/>
      </c>
      <c r="AB164" s="7" t="inlineStr">
        <is>
          <t>^Warhead_MissileAP_Medium</t>
        </is>
      </c>
    </row>
    <row r="165">
      <c r="B165" s="7" t="inlineStr">
        <is>
          <t xml:space="preserve">  ↳ MigMissiles_AA_elite</t>
        </is>
      </c>
      <c r="C165" s="7" t="inlineStr">
        <is>
          <t>Armament@AAELITE</t>
        </is>
      </c>
      <c r="L165" s="6" t="n">
        <v>32000</v>
      </c>
      <c r="M165" s="6" t="n">
        <v>50</v>
      </c>
      <c r="N165" s="6" t="n">
        <v>8</v>
      </c>
      <c r="O165" s="6" t="n">
        <v>2</v>
      </c>
      <c r="P165" s="6" t="n">
        <v>8600</v>
      </c>
      <c r="Q165" s="6" t="n">
        <v>1</v>
      </c>
      <c r="R165">
        <f>M165+IF(N165&gt;1,N(O165)*(N165-1),0)</f>
        <v/>
      </c>
      <c r="S165">
        <f>IFERROR(L165*MAX(N165,1)/R165*IF(ISBLANK(K157),1,K157),0)</f>
        <v/>
      </c>
      <c r="AB165" s="7" t="inlineStr">
        <is>
          <t>^Warhead_MissileAP_Medium</t>
        </is>
      </c>
    </row>
    <row r="166">
      <c r="A166" t="inlineStr">
        <is>
          <t>redalert2mod</t>
        </is>
      </c>
      <c r="B166" t="inlineStr">
        <is>
          <t>asianalliance_phoenix</t>
        </is>
      </c>
      <c r="C166" t="inlineStr">
        <is>
          <t>Phoenix</t>
        </is>
      </c>
      <c r="D166" s="6" t="inlineStr">
        <is>
          <t>Bomber</t>
        </is>
      </c>
      <c r="E166" s="6" t="n">
        <v>90000</v>
      </c>
      <c r="F166" s="6" t="n">
        <v>180</v>
      </c>
      <c r="G166" t="inlineStr">
        <is>
          <t>Bomber</t>
        </is>
      </c>
      <c r="H166" s="6" t="n">
        <v>0.5</v>
      </c>
      <c r="I166" s="6" t="n">
        <v>1</v>
      </c>
      <c r="J166" s="6" t="n">
        <v>1</v>
      </c>
      <c r="K166" s="6" t="n"/>
      <c r="P166">
        <f>MAX(P167,P168)</f>
        <v/>
      </c>
      <c r="S166">
        <f>S167+S168</f>
        <v/>
      </c>
      <c r="T166">
        <f>(E166/100000+F166/100+(P166/1000)*J166/5+S166/200)*200*I166*H166</f>
        <v/>
      </c>
      <c r="U166">
        <f>((E166*F166/25000)+((P166/1000)*J166*S166/2.5))*I166*H166</f>
        <v/>
      </c>
      <c r="V166">
        <f>(E166*F166*(P166/1000)*J166*S166*I166*H166)/12500000</f>
        <v/>
      </c>
      <c r="W166">
        <f>(T166+U166+V166)/3</f>
        <v/>
      </c>
      <c r="X166" s="6" t="n">
        <v>1800</v>
      </c>
      <c r="Y166">
        <f>IFERROR(W166-X166,"")</f>
        <v/>
      </c>
      <c r="Z166">
        <f>IFERROR(ABS(Y166)/MAX(X166,1),"")</f>
        <v/>
      </c>
      <c r="AA166">
        <f>IFERROR((X166-(((E166/100000+F166/100+S166/200)*200*I166*H166)+((E166*F166/25000)*I166*H166))/3)/(((J166/5)*200*I166*H166)+((J166*S166/2.5)*I166*H166)+((E166*F166*J166*S166*I166*H166)/12500000))/3*1000,"")</f>
        <v/>
      </c>
    </row>
    <row r="167">
      <c r="B167" s="7" t="inlineStr">
        <is>
          <t xml:space="preserve">  ↳ AsianPhoenixRocket</t>
        </is>
      </c>
      <c r="C167" s="7" t="inlineStr">
        <is>
          <t>Armament@PRIMARY</t>
        </is>
      </c>
      <c r="L167" s="6" t="n">
        <v>60000</v>
      </c>
      <c r="M167" s="6" t="n">
        <v>65</v>
      </c>
      <c r="N167" s="6" t="n">
        <v>2</v>
      </c>
      <c r="O167" s="6" t="n">
        <v>2</v>
      </c>
      <c r="P167" s="6" t="n">
        <v>6500</v>
      </c>
      <c r="Q167" s="6" t="n">
        <v>1</v>
      </c>
      <c r="R167">
        <f>M167+IF(N167&gt;1,N(O167)*(N167-1),0)</f>
        <v/>
      </c>
      <c r="S167">
        <f>IFERROR(L167*MAX(N167,1)/R167*IF(ISBLANK(K166),1,K166),0)</f>
        <v/>
      </c>
      <c r="AB167" s="7" t="inlineStr">
        <is>
          <t>^Warhead_Flame_Medium, ^Warhead_Demolition_Light, ^Warhead_MissileAP_Heavy</t>
        </is>
      </c>
    </row>
    <row r="168">
      <c r="B168" s="7" t="inlineStr">
        <is>
          <t xml:space="preserve">  ↳ AsianPhoenixRocket_elite</t>
        </is>
      </c>
      <c r="C168" s="7" t="inlineStr">
        <is>
          <t>Armament@PRIMARYELITE</t>
        </is>
      </c>
      <c r="L168" s="6" t="n">
        <v>60000</v>
      </c>
      <c r="M168" s="6" t="n">
        <v>65</v>
      </c>
      <c r="N168" s="6" t="n">
        <v>4</v>
      </c>
      <c r="O168" s="6" t="n">
        <v>2</v>
      </c>
      <c r="P168" s="6" t="n">
        <v>7500</v>
      </c>
      <c r="Q168" s="6" t="n">
        <v>1</v>
      </c>
      <c r="R168">
        <f>M168+IF(N168&gt;1,N(O168)*(N168-1),0)</f>
        <v/>
      </c>
      <c r="S168">
        <f>IFERROR(L168*MAX(N168,1)/R168*IF(ISBLANK(K166),1,K166),0)</f>
        <v/>
      </c>
      <c r="AB168" s="7" t="inlineStr">
        <is>
          <t>^Warhead_Flame_Medium, ^Warhead_Demolition_Light, ^Warhead_MissileAP_Heavy</t>
        </is>
      </c>
    </row>
    <row r="169">
      <c r="A169" t="inlineStr">
        <is>
          <t>redalert2mod</t>
        </is>
      </c>
      <c r="B169" t="inlineStr">
        <is>
          <t>kami.asian</t>
        </is>
      </c>
      <c r="C169" t="inlineStr">
        <is>
          <t>Kamikaze</t>
        </is>
      </c>
      <c r="D169" s="6" t="inlineStr">
        <is>
          <t>Bomber</t>
        </is>
      </c>
      <c r="E169" s="6" t="n">
        <v>7500</v>
      </c>
      <c r="F169" s="6" t="n">
        <v>160</v>
      </c>
      <c r="G169" t="inlineStr">
        <is>
          <t>Bomber</t>
        </is>
      </c>
      <c r="H169" s="6" t="n">
        <v>1</v>
      </c>
      <c r="I169" s="6" t="n">
        <v>1</v>
      </c>
      <c r="J169" s="6" t="n">
        <v>1</v>
      </c>
      <c r="K169" s="6" t="n"/>
      <c r="X169" s="6" t="n">
        <v>90</v>
      </c>
    </row>
    <row r="170">
      <c r="B170" s="7" t="inlineStr">
        <is>
          <t xml:space="preserve">  ↳ AsianKamikazeImpactTargeting</t>
        </is>
      </c>
      <c r="C170" s="7" t="inlineStr">
        <is>
          <t>Armament@PRIMARY</t>
        </is>
      </c>
      <c r="L170" s="6" t="n"/>
      <c r="M170" s="6" t="n">
        <v>25</v>
      </c>
      <c r="N170" s="6" t="n">
        <v>1</v>
      </c>
      <c r="O170" s="6" t="n"/>
      <c r="P170" s="6" t="n">
        <v>7500</v>
      </c>
      <c r="Q170" s="6" t="n">
        <v>1</v>
      </c>
      <c r="R170">
        <f>M170+IF(N170&gt;1,N(O170)*(N170-1),0)</f>
        <v/>
      </c>
      <c r="S170">
        <f>IFERROR(L170*MAX(N170,1)/R170*IF(ISBLANK(K169),1,K169),0)</f>
        <v/>
      </c>
      <c r="AB170" s="7" t="inlineStr"/>
    </row>
    <row r="171">
      <c r="A171" t="inlineStr">
        <is>
          <t>redalert2mod</t>
        </is>
      </c>
      <c r="B171" t="inlineStr">
        <is>
          <t>kami_asdf.asian</t>
        </is>
      </c>
      <c r="C171" t="inlineStr">
        <is>
          <t>Airstrike Kamikaze</t>
        </is>
      </c>
      <c r="D171" s="6" t="inlineStr">
        <is>
          <t>Bomber</t>
        </is>
      </c>
      <c r="E171" s="6" t="n">
        <v>7500</v>
      </c>
      <c r="F171" s="6" t="n">
        <v>160</v>
      </c>
      <c r="G171" t="inlineStr">
        <is>
          <t>Bomber</t>
        </is>
      </c>
      <c r="H171" s="6" t="n">
        <v>1</v>
      </c>
      <c r="I171" s="6" t="n">
        <v>1</v>
      </c>
      <c r="J171" s="6" t="n">
        <v>1</v>
      </c>
      <c r="K171" s="6" t="n"/>
      <c r="X171" s="6" t="n">
        <v>50</v>
      </c>
    </row>
    <row r="172">
      <c r="B172" s="7" t="inlineStr">
        <is>
          <t xml:space="preserve">  ↳ AsianKamikazeImpactTargeting</t>
        </is>
      </c>
      <c r="C172" s="7" t="inlineStr">
        <is>
          <t>Armament@PRIMARY</t>
        </is>
      </c>
      <c r="L172" s="6" t="n"/>
      <c r="M172" s="6" t="n">
        <v>25</v>
      </c>
      <c r="N172" s="6" t="n">
        <v>1</v>
      </c>
      <c r="O172" s="6" t="n"/>
      <c r="P172" s="6" t="n">
        <v>7500</v>
      </c>
      <c r="Q172" s="6" t="n">
        <v>1</v>
      </c>
      <c r="R172">
        <f>M172+IF(N172&gt;1,N(O172)*(N172-1),0)</f>
        <v/>
      </c>
      <c r="S172">
        <f>IFERROR(L172*MAX(N172,1)/R172*IF(ISBLANK(K171),1,K171),0)</f>
        <v/>
      </c>
      <c r="AB172" s="7" t="inlineStr"/>
    </row>
    <row r="173">
      <c r="A173" t="inlineStr">
        <is>
          <t>redalert2mod</t>
        </is>
      </c>
      <c r="B173" t="inlineStr">
        <is>
          <t>kami_chemical.asian</t>
        </is>
      </c>
      <c r="C173" t="inlineStr">
        <is>
          <t>Chemical Attack Plane</t>
        </is>
      </c>
      <c r="D173" s="6" t="inlineStr">
        <is>
          <t>Bomber</t>
        </is>
      </c>
      <c r="E173" s="6" t="n">
        <v>15000</v>
      </c>
      <c r="F173" s="6" t="n">
        <v>160</v>
      </c>
      <c r="G173" t="inlineStr">
        <is>
          <t>Bomber</t>
        </is>
      </c>
      <c r="H173" s="6" t="n">
        <v>1</v>
      </c>
      <c r="I173" s="6" t="n">
        <v>1</v>
      </c>
      <c r="J173" s="6" t="n">
        <v>1</v>
      </c>
      <c r="K173" s="6" t="n"/>
      <c r="P173">
        <f>MAX(P174,P175)</f>
        <v/>
      </c>
      <c r="S173">
        <f>S174+S175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(T173+U173+V173)/3</f>
        <v/>
      </c>
      <c r="X173" s="6" t="n">
        <v>225</v>
      </c>
      <c r="Y173">
        <f>IFERROR(W173-X173,"")</f>
        <v/>
      </c>
      <c r="Z173">
        <f>IFERROR(ABS(Y173)/MAX(X173,1),"")</f>
        <v/>
      </c>
      <c r="AA173">
        <f>IFERROR((X173-(((E173/100000+F173/100+S173/200)*200*I173*H173)+((E173*F173/25000)*I173*H173))/3)/(((J173/5)*200*I173*H173)+((J173*S173/2.5)*I173*H173)+((E173*F173*J173*S173*I173*H173)/12500000))/3*1000,"")</f>
        <v/>
      </c>
    </row>
    <row r="174">
      <c r="B174" s="7" t="inlineStr">
        <is>
          <t xml:space="preserve">  ↳ AsianKamikazeChaingun</t>
        </is>
      </c>
      <c r="C174" s="7" t="inlineStr">
        <is>
          <t>Armament@PRIMARY</t>
        </is>
      </c>
      <c r="L174" s="6" t="n">
        <v>4000</v>
      </c>
      <c r="M174" s="6" t="n">
        <v>12</v>
      </c>
      <c r="N174" s="6" t="n">
        <v>3</v>
      </c>
      <c r="O174" s="6" t="n">
        <v>2</v>
      </c>
      <c r="P174" s="6" t="n">
        <v>7000</v>
      </c>
      <c r="Q174" s="6" t="n">
        <v>0.875</v>
      </c>
      <c r="R174">
        <f>M174+IF(N174&gt;1,N(O174)*(N174-1),0)</f>
        <v/>
      </c>
      <c r="S174">
        <f>IFERROR(L174*MAX(N174,1)/R174*IF(ISBLANK(K173),1,K173),0)</f>
        <v/>
      </c>
      <c r="AB174" s="7" t="inlineStr">
        <is>
          <t>^Warhead_Bullet_Light, ^Warhead_Bullet_Medium</t>
        </is>
      </c>
    </row>
    <row r="175">
      <c r="B175" s="7" t="inlineStr">
        <is>
          <t xml:space="preserve">  ↳ AsianChemicalBombs</t>
        </is>
      </c>
      <c r="C175" s="7" t="inlineStr">
        <is>
          <t>Armament@Secondary</t>
        </is>
      </c>
      <c r="L175" s="6" t="n">
        <v>4000</v>
      </c>
      <c r="M175" s="6" t="n">
        <v>8</v>
      </c>
      <c r="N175" s="6" t="n">
        <v>1</v>
      </c>
      <c r="O175" s="6" t="n"/>
      <c r="P175" s="6" t="n">
        <v>3000</v>
      </c>
      <c r="Q175" s="6" t="n">
        <v>1</v>
      </c>
      <c r="R175">
        <f>M175+IF(N175&gt;1,N(O175)*(N175-1),0)</f>
        <v/>
      </c>
      <c r="S175">
        <f>IFERROR(L175*MAX(N175,1)/R175*IF(ISBLANK(K173),1,K173),0)</f>
        <v/>
      </c>
      <c r="AB175" s="7" t="inlineStr">
        <is>
          <t>^Warhead_CannonHE_Medium</t>
        </is>
      </c>
    </row>
    <row r="176">
      <c r="A176" t="inlineStr">
        <is>
          <t>redalert2mod</t>
        </is>
      </c>
      <c r="B176" t="inlineStr">
        <is>
          <t>cruiser_f.steel</t>
        </is>
      </c>
      <c r="C176" t="inlineStr">
        <is>
          <t>Cruiser Fighter</t>
        </is>
      </c>
      <c r="D176" s="6" t="inlineStr">
        <is>
          <t>Bomber</t>
        </is>
      </c>
      <c r="E176" s="6" t="n">
        <v>37500</v>
      </c>
      <c r="F176" s="6" t="n">
        <v>225</v>
      </c>
      <c r="G176" t="inlineStr">
        <is>
          <t>Bomber</t>
        </is>
      </c>
      <c r="H176" s="6" t="n">
        <v>1</v>
      </c>
      <c r="I176" s="6" t="n">
        <v>1</v>
      </c>
      <c r="J176" s="6" t="n">
        <v>1</v>
      </c>
      <c r="K176" s="6" t="n">
        <v>0.001</v>
      </c>
      <c r="P176">
        <f>MAX(P177,P178)</f>
        <v/>
      </c>
      <c r="S176">
        <f>S177+S178</f>
        <v/>
      </c>
      <c r="T176">
        <f>(E176/100000+F176/100+(P176/1000)*J176/5+S176/200)*200*I176*H176</f>
        <v/>
      </c>
      <c r="U176">
        <f>((E176*F176/25000)+((P176/1000)*J176*S176/2.5))*I176*H176</f>
        <v/>
      </c>
      <c r="V176">
        <f>(E176*F176*(P176/1000)*J176*S176*I176*H176)/12500000</f>
        <v/>
      </c>
      <c r="W176">
        <f>(T176+U176+V176)/3</f>
        <v/>
      </c>
      <c r="X176" s="6" t="n">
        <v>125</v>
      </c>
      <c r="Y176">
        <f>IFERROR(W176-X176,"")</f>
        <v/>
      </c>
      <c r="Z176">
        <f>IFERROR(ABS(Y176)/MAX(X176,1),"")</f>
        <v/>
      </c>
      <c r="AA176">
        <f>IFERROR((X176-(((E176/100000+F176/100+S176/200)*200*I176*H176)+((E176*F176/25000)*I176*H176))/3)/(((J176/5)*200*I176*H176)+((J176*S176/2.5)*I176*H176)+((E176*F176*J176*S176*I176*H176)/12500000))/3*1000,"")</f>
        <v/>
      </c>
    </row>
    <row r="177">
      <c r="B177" s="7" t="inlineStr">
        <is>
          <t xml:space="preserve">  ↳ SteelFighterRailgun</t>
        </is>
      </c>
      <c r="C177" s="7" t="inlineStr">
        <is>
          <t>Armament@PRIMARY</t>
        </is>
      </c>
      <c r="L177" s="6" t="n">
        <v>10000</v>
      </c>
      <c r="M177" s="6" t="n">
        <v>80</v>
      </c>
      <c r="N177" s="6" t="n">
        <v>2</v>
      </c>
      <c r="O177" s="6" t="n">
        <v>0</v>
      </c>
      <c r="P177" s="6" t="n">
        <v>7000</v>
      </c>
      <c r="Q177" s="6" t="n">
        <v>1</v>
      </c>
      <c r="R177">
        <f>M177+IF(N177&gt;1,N(O177)*(N177-1),0)</f>
        <v/>
      </c>
      <c r="S177">
        <f>IFERROR(L177*MAX(N177,1)/R177*IF(ISBLANK(K176),1,K176),0)</f>
        <v/>
      </c>
      <c r="AB177" s="7" t="inlineStr">
        <is>
          <t>^Warhead_Railgun_Heavy, ^Warhead_CannonHE_Medium, ^Warhead_MissileAP_Light</t>
        </is>
      </c>
    </row>
    <row r="178">
      <c r="B178" s="7" t="inlineStr">
        <is>
          <t xml:space="preserve">  ↳ SteelMakoGun_EMP</t>
        </is>
      </c>
      <c r="C178" s="7" t="inlineStr">
        <is>
          <t>Armament@Secondary</t>
        </is>
      </c>
      <c r="L178" s="6" t="n">
        <v>12000</v>
      </c>
      <c r="M178" s="6" t="n">
        <v>25</v>
      </c>
      <c r="N178" s="6" t="n">
        <v>1</v>
      </c>
      <c r="O178" s="6" t="n"/>
      <c r="P178" s="6" t="n">
        <v>6050</v>
      </c>
      <c r="Q178" s="6" t="n">
        <v>1</v>
      </c>
      <c r="R178">
        <f>M178+IF(N178&gt;1,N(O178)*(N178-1),0)</f>
        <v/>
      </c>
      <c r="S178">
        <f>IFERROR(L178*MAX(N178,1)/R178*IF(ISBLANK(K176),1,K176),0)</f>
        <v/>
      </c>
      <c r="AB178" s="7" t="inlineStr">
        <is>
          <t>^Warhead_Demolition_Light, ^Warhead_Railgun_Heavy, ^Warhead_CannonHE_Medium</t>
        </is>
      </c>
    </row>
    <row r="179">
      <c r="A179" t="inlineStr">
        <is>
          <t>redalert2mod</t>
        </is>
      </c>
      <c r="B179" t="inlineStr">
        <is>
          <t>latinsyndicate_mig21</t>
        </is>
      </c>
      <c r="C179" t="inlineStr">
        <is>
          <t>MiG-21</t>
        </is>
      </c>
      <c r="D179" s="6" t="inlineStr">
        <is>
          <t>Bomber</t>
        </is>
      </c>
      <c r="E179" s="6" t="n">
        <v>50000</v>
      </c>
      <c r="F179" s="6" t="n">
        <v>190</v>
      </c>
      <c r="G179" t="inlineStr">
        <is>
          <t>Bomber</t>
        </is>
      </c>
      <c r="H179" s="6" t="n">
        <v>0.75</v>
      </c>
      <c r="I179" s="6" t="n">
        <v>1</v>
      </c>
      <c r="J179" s="6" t="n">
        <v>1</v>
      </c>
      <c r="K179" s="6" t="n"/>
      <c r="P179">
        <f>MAX(P180,P181,P182,P183)</f>
        <v/>
      </c>
      <c r="S179">
        <f>S180+S181+S182+S183</f>
        <v/>
      </c>
      <c r="T179">
        <f>(E179/100000+F179/100+(P179/1000)*J179/5+S179/200)*200*I179*H179</f>
        <v/>
      </c>
      <c r="U179">
        <f>((E179*F179/25000)+((P179/1000)*J179*S179/2.5))*I179*H179</f>
        <v/>
      </c>
      <c r="V179">
        <f>(E179*F179*(P179/1000)*J179*S179*I179*H179)/12500000</f>
        <v/>
      </c>
      <c r="W179">
        <f>(T179+U179+V179)/3</f>
        <v/>
      </c>
      <c r="X179" s="6" t="n">
        <v>1000</v>
      </c>
      <c r="Y179">
        <f>IFERROR(W179-X179,"")</f>
        <v/>
      </c>
      <c r="Z179">
        <f>IFERROR(ABS(Y179)/MAX(X179,1),"")</f>
        <v/>
      </c>
      <c r="AA179">
        <f>IFERROR((X179-(((E179/100000+F179/100+S179/200)*200*I179*H179)+((E179*F179/25000)*I179*H179))/3)/(((J179/5)*200*I179*H179)+((J179*S179/2.5)*I179*H179)+((E179*F179*J179*S179*I179*H179)/12500000))/3*1000,"")</f>
        <v/>
      </c>
    </row>
    <row r="180">
      <c r="B180" s="7" t="inlineStr">
        <is>
          <t xml:space="preserve">  ↳ MigMissiles</t>
        </is>
      </c>
      <c r="C180" s="7" t="inlineStr">
        <is>
          <t>Armament</t>
        </is>
      </c>
      <c r="L180" s="6" t="n">
        <v>32000</v>
      </c>
      <c r="M180" s="6" t="n">
        <v>50</v>
      </c>
      <c r="N180" s="6" t="n">
        <v>4</v>
      </c>
      <c r="O180" s="6" t="n">
        <v>2</v>
      </c>
      <c r="P180" s="6" t="n">
        <v>7600</v>
      </c>
      <c r="Q180" s="6" t="n">
        <v>1</v>
      </c>
      <c r="R180">
        <f>M180+IF(N180&gt;1,N(O180)*(N180-1),0)</f>
        <v/>
      </c>
      <c r="S180">
        <f>IFERROR(L180*MAX(N180,1)/R180*IF(ISBLANK(K179),1,K179),0)</f>
        <v/>
      </c>
      <c r="AB180" s="7" t="inlineStr">
        <is>
          <t>^Warhead_MissileAP_Medium</t>
        </is>
      </c>
    </row>
    <row r="181">
      <c r="B181" s="7" t="inlineStr">
        <is>
          <t xml:space="preserve">  ↳ MigMissiles_elite</t>
        </is>
      </c>
      <c r="C181" s="7" t="inlineStr">
        <is>
          <t>Armament@PRIMARYELITE</t>
        </is>
      </c>
      <c r="L181" s="6" t="n">
        <v>32000</v>
      </c>
      <c r="M181" s="6" t="n">
        <v>50</v>
      </c>
      <c r="N181" s="6" t="n">
        <v>8</v>
      </c>
      <c r="O181" s="6" t="n">
        <v>2</v>
      </c>
      <c r="P181" s="6" t="n">
        <v>8600</v>
      </c>
      <c r="Q181" s="6" t="n">
        <v>1</v>
      </c>
      <c r="R181">
        <f>M181+IF(N181&gt;1,N(O181)*(N181-1),0)</f>
        <v/>
      </c>
      <c r="S181">
        <f>IFERROR(L181*MAX(N181,1)/R181*IF(ISBLANK(K179),1,K179),0)</f>
        <v/>
      </c>
      <c r="AB181" s="7" t="inlineStr">
        <is>
          <t>^Warhead_MissileAP_Medium</t>
        </is>
      </c>
    </row>
    <row r="182">
      <c r="B182" s="7" t="inlineStr">
        <is>
          <t xml:space="preserve">  ↳ MigMissiles_AA</t>
        </is>
      </c>
      <c r="C182" s="7" t="inlineStr">
        <is>
          <t>Armament@AA</t>
        </is>
      </c>
      <c r="L182" s="6" t="n">
        <v>32000</v>
      </c>
      <c r="M182" s="6" t="n">
        <v>50</v>
      </c>
      <c r="N182" s="6" t="n">
        <v>4</v>
      </c>
      <c r="O182" s="6" t="n">
        <v>2</v>
      </c>
      <c r="P182" s="6" t="n">
        <v>7600</v>
      </c>
      <c r="Q182" s="6" t="n">
        <v>1</v>
      </c>
      <c r="R182">
        <f>M182+IF(N182&gt;1,N(O182)*(N182-1),0)</f>
        <v/>
      </c>
      <c r="S182">
        <f>IFERROR(L182*MAX(N182,1)/R182*IF(ISBLANK(K179),1,K179),0)</f>
        <v/>
      </c>
      <c r="AB182" s="7" t="inlineStr">
        <is>
          <t>^Warhead_MissileAP_Medium</t>
        </is>
      </c>
    </row>
    <row r="183">
      <c r="B183" s="7" t="inlineStr">
        <is>
          <t xml:space="preserve">  ↳ MigMissiles_AA_elite</t>
        </is>
      </c>
      <c r="C183" s="7" t="inlineStr">
        <is>
          <t>Armament@AAELITE</t>
        </is>
      </c>
      <c r="L183" s="6" t="n">
        <v>32000</v>
      </c>
      <c r="M183" s="6" t="n">
        <v>50</v>
      </c>
      <c r="N183" s="6" t="n">
        <v>8</v>
      </c>
      <c r="O183" s="6" t="n">
        <v>2</v>
      </c>
      <c r="P183" s="6" t="n">
        <v>8600</v>
      </c>
      <c r="Q183" s="6" t="n">
        <v>1</v>
      </c>
      <c r="R183">
        <f>M183+IF(N183&gt;1,N(O183)*(N183-1),0)</f>
        <v/>
      </c>
      <c r="S183">
        <f>IFERROR(L183*MAX(N183,1)/R183*IF(ISBLANK(K179),1,K179),0)</f>
        <v/>
      </c>
      <c r="AB183" s="7" t="inlineStr">
        <is>
          <t>^Warhead_MissileAP_Medium</t>
        </is>
      </c>
    </row>
    <row r="184">
      <c r="A184" t="inlineStr">
        <is>
          <t>redalert2mod</t>
        </is>
      </c>
      <c r="B184" t="inlineStr">
        <is>
          <t>landcarr_drone.futu</t>
        </is>
      </c>
      <c r="C184" t="inlineStr">
        <is>
          <t>Hornet</t>
        </is>
      </c>
      <c r="D184" s="6" t="inlineStr">
        <is>
          <t>Bomber</t>
        </is>
      </c>
      <c r="E184" s="6" t="n">
        <v>10000</v>
      </c>
      <c r="F184" s="6" t="n">
        <v>225</v>
      </c>
      <c r="G184" t="inlineStr">
        <is>
          <t>Bomber</t>
        </is>
      </c>
      <c r="H184" s="6" t="n">
        <v>1</v>
      </c>
      <c r="I184" s="6" t="n">
        <v>1</v>
      </c>
      <c r="J184" s="6" t="n">
        <v>1</v>
      </c>
      <c r="K184" s="6" t="n">
        <v>0.005</v>
      </c>
      <c r="P184">
        <f>MAX(P185)</f>
        <v/>
      </c>
      <c r="S184">
        <f>S185</f>
        <v/>
      </c>
      <c r="T184">
        <f>(E184/100000+F184/100+(P184/1000)*J184/5+S184/200)*200*I184*H184</f>
        <v/>
      </c>
      <c r="U184">
        <f>((E184*F184/25000)+((P184/1000)*J184*S184/2.5))*I184*H184</f>
        <v/>
      </c>
      <c r="V184">
        <f>(E184*F184*(P184/1000)*J184*S184*I184*H184)/12500000</f>
        <v/>
      </c>
      <c r="W184">
        <f>(T184+U184+V184)/3</f>
        <v/>
      </c>
      <c r="X184" s="6" t="n">
        <v>140</v>
      </c>
      <c r="Y184">
        <f>IFERROR(W184-X184,"")</f>
        <v/>
      </c>
      <c r="Z184">
        <f>IFERROR(ABS(Y184)/MAX(X184,1),"")</f>
        <v/>
      </c>
      <c r="AA184">
        <f>IFERROR((X184-(((E184/100000+F184/100+S184/200)*200*I184*H184)+((E184*F184/25000)*I184*H184))/3)/(((J184/5)*200*I184*H184)+((J184*S184/2.5)*I184*H184)+((E184*F184*J184*S184*I184*H184)/12500000))/3*1000,"")</f>
        <v/>
      </c>
    </row>
    <row r="185">
      <c r="B185" s="7" t="inlineStr">
        <is>
          <t xml:space="preserve">  ↳ RA2HornetMissile</t>
        </is>
      </c>
      <c r="C185" s="7" t="inlineStr">
        <is>
          <t>Armament@PRIMARY</t>
        </is>
      </c>
      <c r="L185" s="6" t="n">
        <v>6000</v>
      </c>
      <c r="M185" s="6" t="n">
        <v>3</v>
      </c>
      <c r="N185" s="6" t="n">
        <v>1</v>
      </c>
      <c r="O185" s="6" t="n"/>
      <c r="P185" s="6" t="n">
        <v>5000</v>
      </c>
      <c r="Q185" s="6" t="n">
        <v>1</v>
      </c>
      <c r="R185">
        <f>M185+IF(N185&gt;1,N(O185)*(N185-1),0)</f>
        <v/>
      </c>
      <c r="S185">
        <f>IFERROR(L185*MAX(N185,1)/R185*IF(ISBLANK(K184),1,K184),0)</f>
        <v/>
      </c>
      <c r="AB185" s="7" t="inlineStr">
        <is>
          <t>^Warhead_Demolition_Light, ^Warhead_Demolition_Heavy, ^Warhead_MissileAP_Medium</t>
        </is>
      </c>
    </row>
    <row r="186">
      <c r="A186" t="inlineStr">
        <is>
          <t>redalert2mod</t>
        </is>
      </c>
      <c r="B186" t="inlineStr">
        <is>
          <t>tkm_viper</t>
        </is>
      </c>
      <c r="C186" t="inlineStr">
        <is>
          <t>Viper</t>
        </is>
      </c>
      <c r="D186" s="6" t="inlineStr">
        <is>
          <t>Bomber</t>
        </is>
      </c>
      <c r="E186" s="6" t="n">
        <v>100000</v>
      </c>
      <c r="F186" s="6" t="n">
        <v>150</v>
      </c>
      <c r="G186" t="inlineStr">
        <is>
          <t>Bomber</t>
        </is>
      </c>
      <c r="H186" s="6" t="n">
        <v>0.4424</v>
      </c>
      <c r="I186" s="6" t="n">
        <v>1</v>
      </c>
      <c r="J186" s="6" t="n">
        <v>1</v>
      </c>
      <c r="K186" s="6" t="n"/>
      <c r="P186">
        <f>MAX(P187,P188,P189,P190)</f>
        <v/>
      </c>
      <c r="S186">
        <f>S187+S188+S189+S190</f>
        <v/>
      </c>
      <c r="T186">
        <f>(E186/100000+F186/100+(P186/1000)*J186/5+S186/200)*200*I186*H186</f>
        <v/>
      </c>
      <c r="U186">
        <f>((E186*F186/25000)+((P186/1000)*J186*S186/2.5))*I186*H186</f>
        <v/>
      </c>
      <c r="V186">
        <f>(E186*F186*(P186/1000)*J186*S186*I186*H186)/12500000</f>
        <v/>
      </c>
      <c r="W186">
        <f>(T186+U186+V186)/3</f>
        <v/>
      </c>
      <c r="X186" s="6" t="n">
        <v>1750</v>
      </c>
      <c r="Y186">
        <f>IFERROR(W186-X186,"")</f>
        <v/>
      </c>
      <c r="Z186">
        <f>IFERROR(ABS(Y186)/MAX(X186,1),"")</f>
        <v/>
      </c>
      <c r="AA186">
        <f>IFERROR((X186-(((E186/100000+F186/100+S186/200)*200*I186*H186)+((E186*F186/25000)*I186*H186))/3)/(((J186/5)*200*I186*H186)+((J186*S186/2.5)*I186*H186)+((E186*F186*J186*S186*I186*H186)/12500000))/3*1000,"")</f>
        <v/>
      </c>
    </row>
    <row r="187">
      <c r="B187" s="7" t="inlineStr">
        <is>
          <t xml:space="preserve">  ↳ ViperMissiles</t>
        </is>
      </c>
      <c r="C187" s="7" t="inlineStr">
        <is>
          <t>Armament@BOMBS</t>
        </is>
      </c>
      <c r="L187" s="6" t="n">
        <v>32000</v>
      </c>
      <c r="M187" s="6" t="n">
        <v>50</v>
      </c>
      <c r="N187" s="6" t="n">
        <v>4</v>
      </c>
      <c r="O187" s="6" t="n">
        <v>2</v>
      </c>
      <c r="P187" s="6" t="n">
        <v>6271</v>
      </c>
      <c r="Q187" s="6" t="n">
        <v>1</v>
      </c>
      <c r="R187">
        <f>M187+IF(N187&gt;1,N(O187)*(N187-1),0)</f>
        <v/>
      </c>
      <c r="S187">
        <f>IFERROR(L187*MAX(N187,1)/R187*IF(ISBLANK(K186),1,K186),0)</f>
        <v/>
      </c>
      <c r="AB187" s="7" t="inlineStr">
        <is>
          <t>^Warhead_Concussion_Medium, ^Warhead_MissileAP_Medium</t>
        </is>
      </c>
    </row>
    <row r="188">
      <c r="B188" s="7" t="inlineStr">
        <is>
          <t xml:space="preserve">  ↳ ViperMissilesCryo</t>
        </is>
      </c>
      <c r="C188" s="7" t="inlineStr">
        <is>
          <t>Armament@PRIMARYNATO</t>
        </is>
      </c>
      <c r="L188" s="6" t="n">
        <v>32000</v>
      </c>
      <c r="M188" s="6" t="n">
        <v>50</v>
      </c>
      <c r="N188" s="6" t="n">
        <v>4</v>
      </c>
      <c r="O188" s="6" t="n">
        <v>2</v>
      </c>
      <c r="P188" s="6" t="n">
        <v>6271</v>
      </c>
      <c r="Q188" s="6" t="n">
        <v>1</v>
      </c>
      <c r="R188">
        <f>M188+IF(N188&gt;1,N(O188)*(N188-1),0)</f>
        <v/>
      </c>
      <c r="S188">
        <f>IFERROR(L188*MAX(N188,1)/R188*IF(ISBLANK(K186),1,K186),0)</f>
        <v/>
      </c>
      <c r="AB188" s="7" t="inlineStr">
        <is>
          <t>^Warhead_Concussion_Medium, ^Warhead_MissileAP_Medium</t>
        </is>
      </c>
    </row>
    <row r="189">
      <c r="B189" s="7" t="inlineStr">
        <is>
          <t xml:space="preserve">  ↳ ViperMissilesTwin</t>
        </is>
      </c>
      <c r="C189" s="7" t="inlineStr">
        <is>
          <t>Armament@PRIMARYBEREZKA</t>
        </is>
      </c>
      <c r="L189" s="6" t="n">
        <v>32000</v>
      </c>
      <c r="M189" s="6" t="n">
        <v>50</v>
      </c>
      <c r="N189" s="6" t="n">
        <v>8</v>
      </c>
      <c r="O189" s="6" t="n">
        <v>2</v>
      </c>
      <c r="P189" s="6" t="n">
        <v>6271</v>
      </c>
      <c r="Q189" s="6" t="n">
        <v>1</v>
      </c>
      <c r="R189">
        <f>M189+IF(N189&gt;1,N(O189)*(N189-1),0)</f>
        <v/>
      </c>
      <c r="S189">
        <f>IFERROR(L189*MAX(N189,1)/R189*IF(ISBLANK(K186),1,K186),0)</f>
        <v/>
      </c>
      <c r="AB189" s="7" t="inlineStr">
        <is>
          <t>^Warhead_Concussion_Medium, ^Warhead_MissileAP_Medium</t>
        </is>
      </c>
    </row>
    <row r="190">
      <c r="B190" s="7" t="inlineStr">
        <is>
          <t xml:space="preserve">  ↳ ViperMissilesFire</t>
        </is>
      </c>
      <c r="C190" s="7" t="inlineStr">
        <is>
          <t>Armament@PRIMARYTITAN</t>
        </is>
      </c>
      <c r="L190" s="6" t="n">
        <v>40000</v>
      </c>
      <c r="M190" s="6" t="n">
        <v>50</v>
      </c>
      <c r="N190" s="6" t="n">
        <v>4</v>
      </c>
      <c r="O190" s="6" t="n">
        <v>2</v>
      </c>
      <c r="P190" s="6" t="n">
        <v>6271</v>
      </c>
      <c r="Q190" s="6" t="n">
        <v>1</v>
      </c>
      <c r="R190">
        <f>M190+IF(N190&gt;1,N(O190)*(N190-1),0)</f>
        <v/>
      </c>
      <c r="S190">
        <f>IFERROR(L190*MAX(N190,1)/R190*IF(ISBLANK(K186),1,K186),0)</f>
        <v/>
      </c>
      <c r="AB190" s="7" t="inlineStr">
        <is>
          <t>^Warhead_MissileAP_Light, ^Warhead_Flame_Light, ^Warhead_Concussion_Medium, ^Warhead_MissileAP_Medium</t>
        </is>
      </c>
    </row>
    <row r="191">
      <c r="A191" t="inlineStr">
        <is>
          <t>redalert2mod</t>
        </is>
      </c>
      <c r="B191" t="inlineStr">
        <is>
          <t>tkmsuicidedrone</t>
        </is>
      </c>
      <c r="C191" t="inlineStr">
        <is>
          <t>Wraith Drone</t>
        </is>
      </c>
      <c r="D191" s="6" t="inlineStr">
        <is>
          <t>Bomber</t>
        </is>
      </c>
      <c r="E191" s="6" t="n">
        <v>25000</v>
      </c>
      <c r="F191" s="6" t="n">
        <v>200</v>
      </c>
      <c r="G191" t="inlineStr">
        <is>
          <t>Bomber</t>
        </is>
      </c>
      <c r="H191" s="6" t="n">
        <v>1</v>
      </c>
      <c r="I191" s="6" t="n">
        <v>1</v>
      </c>
      <c r="J191" s="6" t="n">
        <v>1</v>
      </c>
      <c r="K191" s="6" t="n"/>
      <c r="P191">
        <f>MAX(P192)</f>
        <v/>
      </c>
      <c r="S191">
        <f>S192</f>
        <v/>
      </c>
      <c r="T191">
        <f>(E191/100000+F191/100+(P191/1000)*J191/5+S191/200)*200*I191*H191</f>
        <v/>
      </c>
      <c r="U191">
        <f>((E191*F191/25000)+((P191/1000)*J191*S191/2.5))*I191*H191</f>
        <v/>
      </c>
      <c r="V191">
        <f>(E191*F191*(P191/1000)*J191*S191*I191*H191)/12500000</f>
        <v/>
      </c>
      <c r="W191">
        <f>(T191+U191+V191)/3</f>
        <v/>
      </c>
      <c r="X191" s="6" t="n">
        <v>100</v>
      </c>
      <c r="Y191">
        <f>IFERROR(W191-X191,"")</f>
        <v/>
      </c>
      <c r="Z191">
        <f>IFERROR(ABS(Y191)/MAX(X191,1),"")</f>
        <v/>
      </c>
      <c r="AA191">
        <f>IFERROR((X191-(((E191/100000+F191/100+S191/200)*200*I191*H191)+((E191*F191/25000)*I191*H191))/3)/(((J191/5)*200*I191*H191)+((J191*S191/2.5)*I191*H191)+((E191*F191*J191*S191*I191*H191)/12500000))/3*1000,"")</f>
        <v/>
      </c>
    </row>
    <row r="192">
      <c r="B192" s="7" t="inlineStr">
        <is>
          <t xml:space="preserve">  ↳ TKMDroneExplosion</t>
        </is>
      </c>
      <c r="C192" s="7" t="inlineStr">
        <is>
          <t>Armament@PRIMARY</t>
        </is>
      </c>
      <c r="L192" s="6" t="n">
        <v>40000</v>
      </c>
      <c r="M192" s="6" t="n">
        <v>25</v>
      </c>
      <c r="N192" s="6" t="n">
        <v>1</v>
      </c>
      <c r="O192" s="6" t="n"/>
      <c r="P192" s="6" t="n">
        <v>2000</v>
      </c>
      <c r="Q192" s="6" t="n">
        <v>1</v>
      </c>
      <c r="R192">
        <f>M192+IF(N192&gt;1,N(O192)*(N192-1),0)</f>
        <v/>
      </c>
      <c r="S192">
        <f>IFERROR(L192*MAX(N192,1)/R192*IF(ISBLANK(K191),1,K191),0)</f>
        <v/>
      </c>
      <c r="AB192" s="7" t="inlineStr">
        <is>
          <t>^Warhead_Concussion_Medium</t>
        </is>
      </c>
    </row>
    <row r="193">
      <c r="A193" t="inlineStr">
        <is>
          <t>d2k</t>
        </is>
      </c>
      <c r="B193" t="inlineStr">
        <is>
          <t>ordos_airmine</t>
        </is>
      </c>
      <c r="C193" t="inlineStr">
        <is>
          <t>Air Mine</t>
        </is>
      </c>
      <c r="D193" s="6" t="inlineStr">
        <is>
          <t>Bomber</t>
        </is>
      </c>
      <c r="E193" s="6" t="n">
        <v>25000</v>
      </c>
      <c r="F193" s="6" t="n">
        <v>35</v>
      </c>
      <c r="G193" t="inlineStr">
        <is>
          <t>Light</t>
        </is>
      </c>
      <c r="H193" s="6" t="n">
        <v>0.7333</v>
      </c>
      <c r="I193" s="6" t="n">
        <v>1</v>
      </c>
      <c r="J193" s="6" t="n">
        <v>1</v>
      </c>
      <c r="K193" s="6" t="n"/>
      <c r="P193">
        <f>MAX(P194)</f>
        <v/>
      </c>
      <c r="S193">
        <f>S194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(T193+U193+V193)/3</f>
        <v/>
      </c>
      <c r="X193" s="6" t="n">
        <v>500</v>
      </c>
      <c r="Y193">
        <f>IFERROR(W193-X193,"")</f>
        <v/>
      </c>
      <c r="Z193">
        <f>IFERROR(ABS(Y193)/MAX(X193,1),"")</f>
        <v/>
      </c>
      <c r="AA193">
        <f>IFERROR((X193-(((E193/100000+F193/100+S193/200)*200*I193*H193)+((E193*F193/25000)*I193*H193))/3)/(((J193/5)*200*I193*H193)+((J193*S193/2.5)*I193*H193)+((E193*F193*J193*S193*I193*H193)/12500000))/3*1000,"")</f>
        <v/>
      </c>
    </row>
    <row r="194">
      <c r="B194" s="7" t="inlineStr">
        <is>
          <t xml:space="preserve">  ↳ ordos_airmine</t>
        </is>
      </c>
      <c r="C194" s="7" t="inlineStr">
        <is>
          <t>Armament@PRIMARY</t>
        </is>
      </c>
      <c r="L194" s="6" t="n">
        <v>22000</v>
      </c>
      <c r="M194" s="6" t="n">
        <v>132</v>
      </c>
      <c r="N194" s="6" t="n">
        <v>15</v>
      </c>
      <c r="O194" s="6" t="n">
        <v>0</v>
      </c>
      <c r="P194" s="6" t="n">
        <v>2048</v>
      </c>
      <c r="Q194" s="6" t="n">
        <v>1.25</v>
      </c>
      <c r="R194">
        <f>M194+IF(N194&gt;1,N(O194)*(N194-1),0)</f>
        <v/>
      </c>
      <c r="S194">
        <f>IFERROR(L194*MAX(N194,1)/R194*IF(ISBLANK(K193),1,K193),0)</f>
        <v/>
      </c>
      <c r="AB194" s="7" t="inlineStr">
        <is>
          <t>^Warhead_MissileAP_Heavy</t>
        </is>
      </c>
    </row>
    <row r="195">
      <c r="A195" t="inlineStr">
        <is>
          <t>d2k</t>
        </is>
      </c>
      <c r="B195" t="inlineStr">
        <is>
          <t>ordos_eyeinthesky</t>
        </is>
      </c>
      <c r="C195" t="inlineStr">
        <is>
          <t>Eye In The Sky</t>
        </is>
      </c>
      <c r="D195" s="6" t="inlineStr">
        <is>
          <t>Bomber</t>
        </is>
      </c>
      <c r="E195" s="6" t="n">
        <v>150000</v>
      </c>
      <c r="F195" s="6" t="n">
        <v>180</v>
      </c>
      <c r="G195" t="inlineStr">
        <is>
          <t>Bomber</t>
        </is>
      </c>
      <c r="H195" s="6" t="n">
        <v>0.75</v>
      </c>
      <c r="I195" s="6" t="n">
        <v>1</v>
      </c>
      <c r="J195" s="6" t="n">
        <v>1</v>
      </c>
      <c r="K195" s="6" t="n"/>
      <c r="P195">
        <f>MAX(P196)</f>
        <v/>
      </c>
      <c r="S195">
        <f>S196</f>
        <v/>
      </c>
      <c r="T195">
        <f>(E195/100000+F195/100+(P195/1000)*J195/5+S195/200)*200*I195*H195</f>
        <v/>
      </c>
      <c r="U195">
        <f>((E195*F195/25000)+((P195/1000)*J195*S195/2.5))*I195*H195</f>
        <v/>
      </c>
      <c r="V195">
        <f>(E195*F195*(P195/1000)*J195*S195*I195*H195)/12500000</f>
        <v/>
      </c>
      <c r="W195">
        <f>(T195+U195+V195)/3</f>
        <v/>
      </c>
      <c r="X195" s="6" t="n">
        <v>2500</v>
      </c>
      <c r="Y195">
        <f>IFERROR(W195-X195,"")</f>
        <v/>
      </c>
      <c r="Z195">
        <f>IFERROR(ABS(Y195)/MAX(X195,1),"")</f>
        <v/>
      </c>
      <c r="AA195">
        <f>IFERROR((X195-(((E195/100000+F195/100+S195/200)*200*I195*H195)+((E195*F195/25000)*I195*H195))/3)/(((J195/5)*200*I195*H195)+((J195*S195/2.5)*I195*H195)+((E195*F195*J195*S195*I195*H195)/12500000))/3*1000,"")</f>
        <v/>
      </c>
    </row>
    <row r="196">
      <c r="B196" s="7" t="inlineStr">
        <is>
          <t xml:space="preserve">  ↳ eye_bomberguy</t>
        </is>
      </c>
      <c r="C196" s="7" t="inlineStr">
        <is>
          <t>Armament@PRIMARY</t>
        </is>
      </c>
      <c r="L196" s="6" t="n">
        <v>100000</v>
      </c>
      <c r="M196" s="6" t="n">
        <v>125</v>
      </c>
      <c r="N196" s="6" t="n">
        <v>1</v>
      </c>
      <c r="O196" s="6" t="n"/>
      <c r="P196" s="6" t="n">
        <v>3905</v>
      </c>
      <c r="Q196" s="6" t="n">
        <v>1</v>
      </c>
      <c r="R196">
        <f>M196+IF(N196&gt;1,N(O196)*(N196-1),0)</f>
        <v/>
      </c>
      <c r="S196">
        <f>IFERROR(L196*MAX(N196,1)/R196*IF(ISBLANK(K195),1,K195),0)</f>
        <v/>
      </c>
      <c r="AB196" s="7" t="inlineStr">
        <is>
          <t>^Grenade, ^MediumChemicalWeapon, ^MediumFlameWeapon, ^ShrapnelWeapon, ^HeavyBomb</t>
        </is>
      </c>
    </row>
    <row r="197">
      <c r="A197" t="inlineStr">
        <is>
          <t>d2k</t>
        </is>
      </c>
      <c r="B197" t="inlineStr">
        <is>
          <t>farasha_drone_ixian</t>
        </is>
      </c>
      <c r="C197" t="inlineStr">
        <is>
          <t>Alfayrus</t>
        </is>
      </c>
      <c r="D197" s="6" t="inlineStr">
        <is>
          <t>Bomber</t>
        </is>
      </c>
      <c r="E197" s="6" t="n">
        <v>25000</v>
      </c>
      <c r="F197" s="6" t="n">
        <v>215</v>
      </c>
      <c r="G197" t="inlineStr">
        <is>
          <t>Bomber</t>
        </is>
      </c>
      <c r="H197" s="6" t="n">
        <v>1</v>
      </c>
      <c r="I197" s="6" t="n">
        <v>1</v>
      </c>
      <c r="J197" s="6" t="n">
        <v>1</v>
      </c>
      <c r="K197" s="6" t="n"/>
      <c r="P197">
        <f>MAX(P198)</f>
        <v/>
      </c>
      <c r="S197">
        <f>S198</f>
        <v/>
      </c>
      <c r="T197">
        <f>(E197/100000+F197/100+(P197/1000)*J197/5+S197/200)*200*I197*H197</f>
        <v/>
      </c>
      <c r="U197">
        <f>((E197*F197/25000)+((P197/1000)*J197*S197/2.5))*I197*H197</f>
        <v/>
      </c>
      <c r="V197">
        <f>(E197*F197*(P197/1000)*J197*S197*I197*H197)/12500000</f>
        <v/>
      </c>
      <c r="W197">
        <f>(T197+U197+V197)/3</f>
        <v/>
      </c>
      <c r="X197" s="6" t="n">
        <v>240</v>
      </c>
      <c r="Y197">
        <f>IFERROR(W197-X197,"")</f>
        <v/>
      </c>
      <c r="Z197">
        <f>IFERROR(ABS(Y197)/MAX(X197,1),"")</f>
        <v/>
      </c>
      <c r="AA197">
        <f>IFERROR((X197-(((E197/100000+F197/100+S197/200)*200*I197*H197)+((E197*F197/25000)*I197*H197))/3)/(((J197/5)*200*I197*H197)+((J197*S197/2.5)*I197*H197)+((E197*F197*J197*S197*I197*H197)/12500000))/3*1000,"")</f>
        <v/>
      </c>
    </row>
    <row r="198">
      <c r="B198" s="7" t="inlineStr">
        <is>
          <t xml:space="preserve">  ↳ farasha_drone_ixian</t>
        </is>
      </c>
      <c r="C198" s="7" t="inlineStr">
        <is>
          <t>Armament@PRIMARY</t>
        </is>
      </c>
      <c r="L198" s="6" t="n">
        <v>6000</v>
      </c>
      <c r="M198" s="6" t="n">
        <v>25</v>
      </c>
      <c r="N198" s="6" t="n">
        <v>1</v>
      </c>
      <c r="O198" s="6" t="n"/>
      <c r="P198" s="6" t="n">
        <v>2500</v>
      </c>
      <c r="Q198" s="6" t="n">
        <v>0.75</v>
      </c>
      <c r="R198">
        <f>M198+IF(N198&gt;1,N(O198)*(N198-1),0)</f>
        <v/>
      </c>
      <c r="S198">
        <f>IFERROR(L198*MAX(N198,1)/R198*IF(ISBLANK(K197),1,K197),0)</f>
        <v/>
      </c>
      <c r="AB198" s="7" t="inlineStr">
        <is>
          <t>^Warhead_Inferno_Light</t>
        </is>
      </c>
    </row>
    <row r="199">
      <c r="A199" t="inlineStr">
        <is>
          <t>d2k</t>
        </is>
      </c>
      <c r="B199" t="inlineStr">
        <is>
          <t>ixian_airdrone</t>
        </is>
      </c>
      <c r="C199" t="inlineStr">
        <is>
          <t>Ixian Air Drone</t>
        </is>
      </c>
      <c r="D199" s="6" t="inlineStr">
        <is>
          <t>Bomber</t>
        </is>
      </c>
      <c r="E199" s="6" t="n">
        <v>62500</v>
      </c>
      <c r="F199" s="6" t="n">
        <v>165</v>
      </c>
      <c r="G199" t="inlineStr">
        <is>
          <t>Bomber</t>
        </is>
      </c>
      <c r="H199" s="6" t="n">
        <v>1</v>
      </c>
      <c r="I199" s="6" t="n">
        <v>1</v>
      </c>
      <c r="J199" s="6" t="n">
        <v>1.25</v>
      </c>
      <c r="K199" s="6" t="n"/>
      <c r="P199">
        <f>MAX(P200,P201,P202)</f>
        <v/>
      </c>
      <c r="S199">
        <f>S200+S201+S202</f>
        <v/>
      </c>
      <c r="T199">
        <f>(E199/100000+F199/100+(P199/1000)*J199/5+S199/200)*200*I199*H199</f>
        <v/>
      </c>
      <c r="U199">
        <f>((E199*F199/25000)+((P199/1000)*J199*S199/2.5))*I199*H199</f>
        <v/>
      </c>
      <c r="V199">
        <f>(E199*F199*(P199/1000)*J199*S199*I199*H199)/12500000</f>
        <v/>
      </c>
      <c r="W199">
        <f>(T199+U199+V199)/3</f>
        <v/>
      </c>
      <c r="X199" s="6" t="n">
        <v>1800</v>
      </c>
      <c r="Y199">
        <f>IFERROR(W199-X199,"")</f>
        <v/>
      </c>
      <c r="Z199">
        <f>IFERROR(ABS(Y199)/MAX(X199,1),"")</f>
        <v/>
      </c>
      <c r="AA199">
        <f>IFERROR((X199-(((E199/100000+F199/100+S199/200)*200*I199*H199)+((E199*F199/25000)*I199*H199))/3)/(((J199/5)*200*I199*H199)+((J199*S199/2.5)*I199*H199)+((E199*F199*J199*S199*I199*H199)/12500000))/3*1000,"")</f>
        <v/>
      </c>
    </row>
    <row r="200">
      <c r="B200" s="7" t="inlineStr">
        <is>
          <t xml:space="preserve">  ↳ ixian_airdrone</t>
        </is>
      </c>
      <c r="C200" s="7" t="inlineStr">
        <is>
          <t>Armament</t>
        </is>
      </c>
      <c r="L200" s="6" t="n">
        <v>12000</v>
      </c>
      <c r="M200" s="6" t="n">
        <v>132</v>
      </c>
      <c r="N200" s="6" t="n">
        <v>4</v>
      </c>
      <c r="O200" s="6" t="n">
        <v>5</v>
      </c>
      <c r="P200" s="6" t="n">
        <v>6500</v>
      </c>
      <c r="Q200" s="6" t="n">
        <v>1.25</v>
      </c>
      <c r="R200">
        <f>M200+IF(N200&gt;1,N(O200)*(N200-1),0)</f>
        <v/>
      </c>
      <c r="S200">
        <f>IFERROR(L200*MAX(N200,1)/R200*IF(ISBLANK(K199),1,K199),0)</f>
        <v/>
      </c>
      <c r="AB200" s="7" t="inlineStr">
        <is>
          <t>^Warhead_MissileAP_Heavy</t>
        </is>
      </c>
    </row>
    <row r="201">
      <c r="B201" s="7" t="inlineStr">
        <is>
          <t xml:space="preserve">  ↳ d2k_air_drone_guns</t>
        </is>
      </c>
      <c r="C201" s="7" t="inlineStr">
        <is>
          <t>Armament@PRIMARY</t>
        </is>
      </c>
      <c r="L201" s="6" t="n">
        <v>12000</v>
      </c>
      <c r="M201" s="6" t="n">
        <v>28</v>
      </c>
      <c r="N201" s="6" t="n">
        <v>4</v>
      </c>
      <c r="O201" s="6" t="n">
        <v>2</v>
      </c>
      <c r="P201" s="6" t="n">
        <v>6500</v>
      </c>
      <c r="Q201" s="6" t="n">
        <v>1</v>
      </c>
      <c r="R201">
        <f>M201+IF(N201&gt;1,N(O201)*(N201-1),0)</f>
        <v/>
      </c>
      <c r="S201">
        <f>IFERROR(L201*MAX(N201,1)/R201*IF(ISBLANK(K199),1,K199),0)</f>
        <v/>
      </c>
      <c r="AB201" s="7" t="inlineStr">
        <is>
          <t>^Warhead_MissileAP_Heavy, ^Warhead_Bullet_Light, ^Warhead_Bullet_Medium</t>
        </is>
      </c>
    </row>
    <row r="202">
      <c r="B202" s="7" t="inlineStr">
        <is>
          <t xml:space="preserve">  ↳ d2k_air_drone_guns_upgrade</t>
        </is>
      </c>
      <c r="C202" s="7" t="inlineStr">
        <is>
          <t>Armament@Upgrade</t>
        </is>
      </c>
      <c r="L202" s="6" t="n">
        <v>10000</v>
      </c>
      <c r="M202" s="6" t="n">
        <v>28</v>
      </c>
      <c r="N202" s="6" t="n">
        <v>4</v>
      </c>
      <c r="O202" s="6" t="n">
        <v>2</v>
      </c>
      <c r="P202" s="6" t="n">
        <v>6500</v>
      </c>
      <c r="Q202" s="6" t="n">
        <v>1</v>
      </c>
      <c r="R202">
        <f>M202+IF(N202&gt;1,N(O202)*(N202-1),0)</f>
        <v/>
      </c>
      <c r="S202">
        <f>IFERROR(L202*MAX(N202,1)/R202*IF(ISBLANK(K199),1,K199),0)</f>
        <v/>
      </c>
      <c r="AB202" s="7" t="inlineStr">
        <is>
          <t>^Warhead_CannonHE_Heavy, ^Warhead_MissileAP_Heavy, ^Warhead_Bullet_Light, ^Warhead_Bullet_Medium</t>
        </is>
      </c>
    </row>
    <row r="203">
      <c r="A203" t="inlineStr">
        <is>
          <t>d2k</t>
        </is>
      </c>
      <c r="B203" t="inlineStr">
        <is>
          <t>ixian_empbomber</t>
        </is>
      </c>
      <c r="C203" t="inlineStr">
        <is>
          <t>Ixian EMP Bomber</t>
        </is>
      </c>
      <c r="D203" s="6" t="inlineStr">
        <is>
          <t>Bomber</t>
        </is>
      </c>
      <c r="E203" s="6" t="n">
        <v>111000</v>
      </c>
      <c r="F203" s="6" t="n">
        <v>145</v>
      </c>
      <c r="G203" t="inlineStr">
        <is>
          <t>Bomber</t>
        </is>
      </c>
      <c r="H203" s="6" t="n">
        <v>0.75</v>
      </c>
      <c r="I203" s="6" t="n">
        <v>1</v>
      </c>
      <c r="J203" s="6" t="n">
        <v>2</v>
      </c>
      <c r="K203" s="6" t="n"/>
      <c r="P203">
        <f>MAX(P204)</f>
        <v/>
      </c>
      <c r="S203">
        <f>S204</f>
        <v/>
      </c>
      <c r="T203">
        <f>(E203/100000+F203/100+(P203/1000)*J203/5+S203/200)*200*I203*H203</f>
        <v/>
      </c>
      <c r="U203">
        <f>((E203*F203/25000)+((P203/1000)*J203*S203/2.5))*I203*H203</f>
        <v/>
      </c>
      <c r="V203">
        <f>(E203*F203*(P203/1000)*J203*S203*I203*H203)/12500000</f>
        <v/>
      </c>
      <c r="W203">
        <f>(T203+U203+V203)/3</f>
        <v/>
      </c>
      <c r="X203" s="6" t="n">
        <v>2400</v>
      </c>
      <c r="Y203">
        <f>IFERROR(W203-X203,"")</f>
        <v/>
      </c>
      <c r="Z203">
        <f>IFERROR(ABS(Y203)/MAX(X203,1),"")</f>
        <v/>
      </c>
      <c r="AA203">
        <f>IFERROR((X203-(((E203/100000+F203/100+S203/200)*200*I203*H203)+((E203*F203/25000)*I203*H203))/3)/(((J203/5)*200*I203*H203)+((J203*S203/2.5)*I203*H203)+((E203*F203*J203*S203*I203*H203)/12500000))/3*1000,"")</f>
        <v/>
      </c>
    </row>
    <row r="204">
      <c r="B204" s="7" t="inlineStr">
        <is>
          <t xml:space="preserve">  ↳ IxianBomb_EMP</t>
        </is>
      </c>
      <c r="C204" s="7" t="inlineStr">
        <is>
          <t>Armament@PRIMARY</t>
        </is>
      </c>
      <c r="L204" s="6" t="n">
        <v>90000</v>
      </c>
      <c r="M204" s="6" t="n">
        <v>250</v>
      </c>
      <c r="N204" s="6" t="n">
        <v>1</v>
      </c>
      <c r="O204" s="6" t="n"/>
      <c r="P204" s="6" t="n">
        <v>1250</v>
      </c>
      <c r="Q204" s="6" t="n">
        <v>1</v>
      </c>
      <c r="R204">
        <f>M204+IF(N204&gt;1,N(O204)*(N204-1),0)</f>
        <v/>
      </c>
      <c r="S204">
        <f>IFERROR(L204*MAX(N204,1)/R204*IF(ISBLANK(K203),1,K203),0)</f>
        <v/>
      </c>
      <c r="AB204" s="7" t="inlineStr">
        <is>
          <t>^MediumFlameWeapon, ^HeavyBomb, ^TeslaChargedWeapon</t>
        </is>
      </c>
    </row>
    <row r="205">
      <c r="A205" s="4" t="inlineStr">
        <is>
          <t>Helicopter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</row>
    <row r="206">
      <c r="A206" t="inlineStr">
        <is>
          <t>tiberiandawn</t>
        </is>
      </c>
      <c r="B206" t="inlineStr">
        <is>
          <t>td_gdi_orca</t>
        </is>
      </c>
      <c r="C206" t="inlineStr">
        <is>
          <t>Orca</t>
        </is>
      </c>
      <c r="D206" s="6" t="inlineStr">
        <is>
          <t>Helicopter</t>
        </is>
      </c>
      <c r="E206" s="6" t="n">
        <v>32500</v>
      </c>
      <c r="F206" s="6" t="n">
        <v>175</v>
      </c>
      <c r="G206" t="inlineStr">
        <is>
          <t>Helicopter</t>
        </is>
      </c>
      <c r="H206" s="6" t="n">
        <v>1</v>
      </c>
      <c r="I206" s="6" t="n">
        <v>1</v>
      </c>
      <c r="J206" s="6" t="n">
        <v>1</v>
      </c>
      <c r="K206" s="6" t="n"/>
      <c r="P206">
        <f>MAX(P207,P208)</f>
        <v/>
      </c>
      <c r="S206">
        <f>S207+S208</f>
        <v/>
      </c>
      <c r="T206">
        <f>(E206/100000+F206/100+(P206/1000)*J206/5+S206/200)*200*I206*H206</f>
        <v/>
      </c>
      <c r="U206">
        <f>((E206*F206/25000)+((P206/1000)*J206*S206/2.5))*I206*H206</f>
        <v/>
      </c>
      <c r="V206">
        <f>(E206*F206*(P206/1000)*J206*S206*I206*H206)/12500000</f>
        <v/>
      </c>
      <c r="W206">
        <f>(T206+U206+V206)/3</f>
        <v/>
      </c>
      <c r="X206" s="6" t="n">
        <v>1700</v>
      </c>
      <c r="Y206">
        <f>IFERROR(W206-X206,"")</f>
        <v/>
      </c>
      <c r="Z206">
        <f>IFERROR(ABS(Y206)/MAX(X206,1),"")</f>
        <v/>
      </c>
      <c r="AA206">
        <f>IFERROR((X206-(((E206/100000+F206/100+S206/200)*200*I206*H206)+((E206*F206/25000)*I206*H206))/3)/(((J206/5)*200*I206*H206)+((J206*S206/2.5)*I206*H206)+((E206*F206*J206*S206*I206*H206)/12500000))/3*1000,"")</f>
        <v/>
      </c>
    </row>
    <row r="207">
      <c r="B207" s="7" t="inlineStr">
        <is>
          <t xml:space="preserve">  ↳ OrcaMissiles</t>
        </is>
      </c>
      <c r="C207" s="7" t="inlineStr">
        <is>
          <t>Armament@PRIMARY</t>
        </is>
      </c>
      <c r="L207" s="6" t="n">
        <v>12000</v>
      </c>
      <c r="M207" s="6" t="n">
        <v>16</v>
      </c>
      <c r="N207" s="6" t="n">
        <v>1</v>
      </c>
      <c r="O207" s="6" t="n"/>
      <c r="P207" s="6" t="n">
        <v>5442</v>
      </c>
      <c r="Q207" s="6" t="n">
        <v>1</v>
      </c>
      <c r="R207">
        <f>M207+IF(N207&gt;1,N(O207)*(N207-1),0)</f>
        <v/>
      </c>
      <c r="S207">
        <f>IFERROR(L207*MAX(N207,1)/R207*IF(ISBLANK(K206),1,K206),0)</f>
        <v/>
      </c>
      <c r="AB207" s="7" t="inlineStr">
        <is>
          <t>^HeavyCannon, ^TankDestroyerCannon, ^ShrapnelWeapon, ^Grenade, ^HeavyMissile, ^MediumMissile</t>
        </is>
      </c>
    </row>
    <row r="208">
      <c r="B208" s="7" t="inlineStr">
        <is>
          <t xml:space="preserve">  ↳ OrcaMissilesAMT</t>
        </is>
      </c>
      <c r="C208" s="7" t="inlineStr">
        <is>
          <t>Armament@AdvancedMissileTargeting</t>
        </is>
      </c>
      <c r="L208" s="6" t="n">
        <v>12000</v>
      </c>
      <c r="M208" s="6" t="n">
        <v>16</v>
      </c>
      <c r="N208" s="6" t="n">
        <v>1</v>
      </c>
      <c r="O208" s="6" t="n"/>
      <c r="P208" s="6" t="n">
        <v>5442</v>
      </c>
      <c r="Q208" s="6" t="n">
        <v>1</v>
      </c>
      <c r="R208">
        <f>M208+IF(N208&gt;1,N(O208)*(N208-1),0)</f>
        <v/>
      </c>
      <c r="S208">
        <f>IFERROR(L208*MAX(N208,1)/R208*IF(ISBLANK(K206),1,K206),0)</f>
        <v/>
      </c>
      <c r="AB208" s="7" t="inlineStr">
        <is>
          <t>OrcaMissiles, ^AMTProjectile</t>
        </is>
      </c>
    </row>
    <row r="209">
      <c r="A209" t="inlineStr">
        <is>
          <t>tiberiandawn</t>
        </is>
      </c>
      <c r="B209" t="inlineStr">
        <is>
          <t>td_nod_apacheattackhelicopter</t>
        </is>
      </c>
      <c r="C209" t="inlineStr">
        <is>
          <t>Apache Attack Helicopter</t>
        </is>
      </c>
      <c r="D209" s="6" t="inlineStr">
        <is>
          <t>Helicopter</t>
        </is>
      </c>
      <c r="E209" s="6" t="n">
        <v>45000</v>
      </c>
      <c r="F209" s="6" t="n">
        <v>160</v>
      </c>
      <c r="G209" t="inlineStr">
        <is>
          <t>Helicopter</t>
        </is>
      </c>
      <c r="H209" s="6" t="n">
        <v>0.7333</v>
      </c>
      <c r="I209" s="6" t="n">
        <v>1</v>
      </c>
      <c r="J209" s="6" t="n">
        <v>1</v>
      </c>
      <c r="K209" s="6" t="n"/>
      <c r="P209">
        <f>MAX(P210,P211)</f>
        <v/>
      </c>
      <c r="S209">
        <f>S210+S211</f>
        <v/>
      </c>
      <c r="T209">
        <f>(E209/100000+F209/100+(P209/1000)*J209/5+S209/200)*200*I209*H209</f>
        <v/>
      </c>
      <c r="U209">
        <f>((E209*F209/25000)+((P209/1000)*J209*S209/2.5))*I209*H209</f>
        <v/>
      </c>
      <c r="V209">
        <f>(E209*F209*(P209/1000)*J209*S209*I209*H209)/12500000</f>
        <v/>
      </c>
      <c r="W209">
        <f>(T209+U209+V209)/3</f>
        <v/>
      </c>
      <c r="X209" s="6" t="n">
        <v>1600</v>
      </c>
      <c r="Y209">
        <f>IFERROR(W209-X209,"")</f>
        <v/>
      </c>
      <c r="Z209">
        <f>IFERROR(ABS(Y209)/MAX(X209,1),"")</f>
        <v/>
      </c>
      <c r="AA209">
        <f>IFERROR((X209-(((E209/100000+F209/100+S209/200)*200*I209*H209)+((E209*F209/25000)*I209*H209))/3)/(((J209/5)*200*I209*H209)+((J209*S209/2.5)*I209*H209)+((E209*F209*J209*S209*I209*H209)/12500000))/3*1000,"")</f>
        <v/>
      </c>
    </row>
    <row r="210">
      <c r="B210" s="7" t="inlineStr">
        <is>
          <t xml:space="preserve">  ↳ HeliGun</t>
        </is>
      </c>
      <c r="C210" s="7" t="inlineStr">
        <is>
          <t>Armament@PRIMARY</t>
        </is>
      </c>
      <c r="L210" s="6" t="n">
        <v>4000</v>
      </c>
      <c r="M210" s="6" t="n">
        <v>16</v>
      </c>
      <c r="N210" s="6" t="n">
        <v>4</v>
      </c>
      <c r="O210" s="6" t="n">
        <v>2</v>
      </c>
      <c r="P210" s="6" t="n">
        <v>4501</v>
      </c>
      <c r="Q210" s="6" t="n">
        <v>1</v>
      </c>
      <c r="R210">
        <f>M210+IF(N210&gt;1,N(O210)*(N210-1),0)</f>
        <v/>
      </c>
      <c r="S210">
        <f>IFERROR(L210*MAX(N210,1)/R210*IF(ISBLANK(K209),1,K209),0)</f>
        <v/>
      </c>
      <c r="AB210" s="7" t="inlineStr">
        <is>
          <t>^Warhead_Bullet_Medium</t>
        </is>
      </c>
    </row>
    <row r="211">
      <c r="B211" s="7" t="inlineStr">
        <is>
          <t xml:space="preserve">  ↳ HeliMissiles</t>
        </is>
      </c>
      <c r="C211" s="7" t="inlineStr">
        <is>
          <t>Armament@Upgrade</t>
        </is>
      </c>
      <c r="L211" s="6" t="n">
        <v>2000</v>
      </c>
      <c r="M211" s="6" t="n">
        <v>16</v>
      </c>
      <c r="N211" s="6" t="n">
        <v>4</v>
      </c>
      <c r="O211" s="6" t="n">
        <v>2</v>
      </c>
      <c r="P211" s="6" t="n">
        <v>4501</v>
      </c>
      <c r="Q211" s="6" t="n">
        <v>1</v>
      </c>
      <c r="R211">
        <f>M211+IF(N211&gt;1,N(O211)*(N211-1),0)</f>
        <v/>
      </c>
      <c r="S211">
        <f>IFERROR(L211*MAX(N211,1)/R211*IF(ISBLANK(K209),1,K209),0)</f>
        <v/>
      </c>
      <c r="AB211" s="7" t="inlineStr">
        <is>
          <t>^Warhead_MissileAP_Medium</t>
        </is>
      </c>
    </row>
    <row r="212">
      <c r="A212" t="inlineStr">
        <is>
          <t>tiberiandawn</t>
        </is>
      </c>
      <c r="B212" t="inlineStr">
        <is>
          <t>td_nod_venom</t>
        </is>
      </c>
      <c r="C212" t="inlineStr">
        <is>
          <t>Venom</t>
        </is>
      </c>
      <c r="D212" s="6" t="inlineStr">
        <is>
          <t>Helicopter</t>
        </is>
      </c>
      <c r="E212" s="6" t="n">
        <v>27500</v>
      </c>
      <c r="F212" s="6" t="n">
        <v>200</v>
      </c>
      <c r="G212" t="inlineStr">
        <is>
          <t>Helicopter</t>
        </is>
      </c>
      <c r="H212" s="6" t="n">
        <v>0.75</v>
      </c>
      <c r="I212" s="6" t="n">
        <v>1</v>
      </c>
      <c r="J212" s="6" t="n">
        <v>1.5</v>
      </c>
      <c r="K212" s="6" t="n"/>
      <c r="P212">
        <f>MAX(P213,P214,P215)</f>
        <v/>
      </c>
      <c r="S212">
        <f>S213+S214+S215</f>
        <v/>
      </c>
      <c r="T212">
        <f>(E212/100000+F212/100+(P212/1000)*J212/5+S212/200)*200*I212*H212</f>
        <v/>
      </c>
      <c r="U212">
        <f>((E212*F212/25000)+((P212/1000)*J212*S212/2.5))*I212*H212</f>
        <v/>
      </c>
      <c r="V212">
        <f>(E212*F212*(P212/1000)*J212*S212*I212*H212)/12500000</f>
        <v/>
      </c>
      <c r="W212">
        <f>(T212+U212+V212)/3</f>
        <v/>
      </c>
      <c r="X212" s="6" t="n">
        <v>900</v>
      </c>
      <c r="Y212">
        <f>IFERROR(W212-X212,"")</f>
        <v/>
      </c>
      <c r="Z212">
        <f>IFERROR(ABS(Y212)/MAX(X212,1),"")</f>
        <v/>
      </c>
      <c r="AA212">
        <f>IFERROR((X212-(((E212/100000+F212/100+S212/200)*200*I212*H212)+((E212*F212/25000)*I212*H212))/3)/(((J212/5)*200*I212*H212)+((J212*S212/2.5)*I212*H212)+((E212*F212*J212*S212*I212*H212)/12500000))/3*1000,"")</f>
        <v/>
      </c>
    </row>
    <row r="213">
      <c r="B213" s="7" t="inlineStr">
        <is>
          <t xml:space="preserve">  ↳ VenomLaser</t>
        </is>
      </c>
      <c r="C213" s="7" t="inlineStr">
        <is>
          <t>Armament@Base</t>
        </is>
      </c>
      <c r="L213" s="6" t="n">
        <v>8000</v>
      </c>
      <c r="M213" s="6" t="n">
        <v>18</v>
      </c>
      <c r="N213" s="6" t="n">
        <v>1</v>
      </c>
      <c r="O213" s="6" t="n"/>
      <c r="P213" s="6" t="n">
        <v>4000</v>
      </c>
      <c r="Q213" s="6" t="n">
        <v>1</v>
      </c>
      <c r="R213">
        <f>M213+IF(N213&gt;1,N(O213)*(N213-1),0)</f>
        <v/>
      </c>
      <c r="S213">
        <f>IFERROR(L213*MAX(N213,1)/R213*IF(ISBLANK(K212),1,K212),0)</f>
        <v/>
      </c>
      <c r="AB213" s="7" t="inlineStr">
        <is>
          <t>^Warhead_Laser_Medium</t>
        </is>
      </c>
    </row>
    <row r="214">
      <c r="B214" s="7" t="inlineStr">
        <is>
          <t xml:space="preserve">  ↳ VenomLaserInferno</t>
        </is>
      </c>
      <c r="C214" s="7" t="inlineStr">
        <is>
          <t>Armament@Elite</t>
        </is>
      </c>
      <c r="L214" s="6" t="n">
        <v>8000</v>
      </c>
      <c r="M214" s="6" t="n">
        <v>18</v>
      </c>
      <c r="N214" s="6" t="n">
        <v>1</v>
      </c>
      <c r="O214" s="6" t="n"/>
      <c r="P214" s="6" t="n">
        <v>4000</v>
      </c>
      <c r="Q214" s="6" t="n">
        <v>1</v>
      </c>
      <c r="R214">
        <f>M214+IF(N214&gt;1,N(O214)*(N214-1),0)</f>
        <v/>
      </c>
      <c r="S214">
        <f>IFERROR(L214*MAX(N214,1)/R214*IF(ISBLANK(K212),1,K212),0)</f>
        <v/>
      </c>
      <c r="AB214" s="7" t="inlineStr">
        <is>
          <t>^Warhead_Inferno_Medium</t>
        </is>
      </c>
    </row>
    <row r="215">
      <c r="B215" s="7" t="inlineStr">
        <is>
          <t xml:space="preserve">  ↳ VenomLaserBurning</t>
        </is>
      </c>
      <c r="C215" s="7" t="inlineStr">
        <is>
          <t>Armament@Burning</t>
        </is>
      </c>
      <c r="L215" s="6" t="n">
        <v>8000</v>
      </c>
      <c r="M215" s="6" t="n">
        <v>18</v>
      </c>
      <c r="N215" s="6" t="n">
        <v>10</v>
      </c>
      <c r="O215" s="6" t="n">
        <v>1</v>
      </c>
      <c r="P215" s="6" t="n">
        <v>4000</v>
      </c>
      <c r="Q215" s="6" t="n">
        <v>1</v>
      </c>
      <c r="R215">
        <f>M215+IF(N215&gt;1,N(O215)*(N215-1),0)</f>
        <v/>
      </c>
      <c r="S215">
        <f>IFERROR(L215*MAX(N215,1)/R215*IF(ISBLANK(K212),1,K212),0)</f>
        <v/>
      </c>
      <c r="AB215" s="7" t="inlineStr">
        <is>
          <t>^Warhead_Inferno_Medium</t>
        </is>
      </c>
    </row>
    <row r="216">
      <c r="A216" t="inlineStr">
        <is>
          <t>redalert</t>
        </is>
      </c>
      <c r="B216" t="inlineStr">
        <is>
          <t>japan_skyhawk</t>
        </is>
      </c>
      <c r="C216" t="inlineStr">
        <is>
          <t>Sky Hawk</t>
        </is>
      </c>
      <c r="D216" s="6" t="inlineStr">
        <is>
          <t>Helicopter</t>
        </is>
      </c>
      <c r="E216" s="6" t="n">
        <v>75000</v>
      </c>
      <c r="F216" s="6" t="n">
        <v>125</v>
      </c>
      <c r="G216" t="inlineStr">
        <is>
          <t>Helicopter</t>
        </is>
      </c>
      <c r="H216" s="6" t="n">
        <v>0.75</v>
      </c>
      <c r="I216" s="6" t="n">
        <v>1</v>
      </c>
      <c r="J216" s="6" t="n">
        <v>1.25</v>
      </c>
      <c r="K216" s="6" t="n"/>
      <c r="P216">
        <f>MAX(P217,P218,P219,P220,P221,P222)</f>
        <v/>
      </c>
      <c r="S216">
        <f>S217+S218+S219+S220+S221+S222</f>
        <v/>
      </c>
      <c r="T216">
        <f>(E216/100000+F216/100+(P216/1000)*J216/5+S216/200)*200*I216*H216</f>
        <v/>
      </c>
      <c r="U216">
        <f>((E216*F216/25000)+((P216/1000)*J216*S216/2.5))*I216*H216</f>
        <v/>
      </c>
      <c r="V216">
        <f>(E216*F216*(P216/1000)*J216*S216*I216*H216)/12500000</f>
        <v/>
      </c>
      <c r="W216">
        <f>(T216+U216+V216)/3</f>
        <v/>
      </c>
      <c r="X216" s="6" t="n">
        <v>2000</v>
      </c>
      <c r="Y216">
        <f>IFERROR(W216-X216,"")</f>
        <v/>
      </c>
      <c r="Z216">
        <f>IFERROR(ABS(Y216)/MAX(X216,1),"")</f>
        <v/>
      </c>
      <c r="AA216">
        <f>IFERROR((X216-(((E216/100000+F216/100+S216/200)*200*I216*H216)+((E216*F216/25000)*I216*H216))/3)/(((J216/5)*200*I216*H216)+((J216*S216/2.5)*I216*H216)+((E216*F216*J216*S216*I216*H216)/12500000))/3*1000,"")</f>
        <v/>
      </c>
    </row>
    <row r="217">
      <c r="B217" s="7" t="inlineStr">
        <is>
          <t xml:space="preserve">  ↳ SkyHawkArrows</t>
        </is>
      </c>
      <c r="C217" s="7" t="inlineStr">
        <is>
          <t>Armament@Missiles</t>
        </is>
      </c>
      <c r="L217" s="6" t="n">
        <v>64000</v>
      </c>
      <c r="M217" s="6" t="n">
        <v>128</v>
      </c>
      <c r="N217" s="6" t="n">
        <v>1</v>
      </c>
      <c r="O217" s="6" t="n"/>
      <c r="P217" s="6" t="n">
        <v>3053</v>
      </c>
      <c r="Q217" s="6" t="n">
        <v>0.875</v>
      </c>
      <c r="R217">
        <f>M217+IF(N217&gt;1,N(O217)*(N217-1),0)</f>
        <v/>
      </c>
      <c r="S217">
        <f>IFERROR(L217*MAX(N217,1)/R217*IF(ISBLANK(K216),1,K216),0)</f>
        <v/>
      </c>
      <c r="AB217" s="7" t="inlineStr">
        <is>
          <t>^Warhead_MissileHE_Medium, ^Warhead_Arrow_Light</t>
        </is>
      </c>
    </row>
    <row r="218">
      <c r="B218" s="7" t="inlineStr">
        <is>
          <t xml:space="preserve">  ↳ SkyHawkArrowsEnergized</t>
        </is>
      </c>
      <c r="C218" s="7" t="inlineStr">
        <is>
          <t>Armament@MissilesUpgrade</t>
        </is>
      </c>
      <c r="L218" s="6" t="n">
        <v>64000</v>
      </c>
      <c r="M218" s="6" t="n">
        <v>128</v>
      </c>
      <c r="N218" s="6" t="n">
        <v>1</v>
      </c>
      <c r="O218" s="6" t="n"/>
      <c r="P218" s="6" t="n">
        <v>3053</v>
      </c>
      <c r="Q218" s="6" t="n">
        <v>0.875</v>
      </c>
      <c r="R218">
        <f>M218+IF(N218&gt;1,N(O218)*(N218-1),0)</f>
        <v/>
      </c>
      <c r="S218">
        <f>IFERROR(L218*MAX(N218,1)/R218*IF(ISBLANK(K216),1,K216),0)</f>
        <v/>
      </c>
      <c r="AB218" s="7" t="inlineStr">
        <is>
          <t>^Warhead_MissileHE_Medium, ^Warhead_Arrow_Light</t>
        </is>
      </c>
    </row>
    <row r="219">
      <c r="B219" s="7" t="inlineStr">
        <is>
          <t xml:space="preserve">  ↳ SkyHawkCannon</t>
        </is>
      </c>
      <c r="C219" s="7" t="inlineStr">
        <is>
          <t>Armament@Cannon</t>
        </is>
      </c>
      <c r="L219" s="6" t="n">
        <v>16000</v>
      </c>
      <c r="M219" s="6" t="n">
        <v>32</v>
      </c>
      <c r="N219" s="6" t="n">
        <v>1</v>
      </c>
      <c r="O219" s="6" t="n"/>
      <c r="P219" s="6" t="n">
        <v>3053</v>
      </c>
      <c r="Q219" s="6" t="n">
        <v>0.875</v>
      </c>
      <c r="R219">
        <f>M219+IF(N219&gt;1,N(O219)*(N219-1),0)</f>
        <v/>
      </c>
      <c r="S219">
        <f>IFERROR(L219*MAX(N219,1)/R219*IF(ISBLANK(K216),1,K216),0)</f>
        <v/>
      </c>
      <c r="AB219" s="7" t="inlineStr">
        <is>
          <t>^Warhead_Concussion_Medium, ^Warhead_CannonAP_Light</t>
        </is>
      </c>
    </row>
    <row r="220">
      <c r="B220" s="7" t="inlineStr">
        <is>
          <t xml:space="preserve">  ↳ SkyHawkPlasmaCannon</t>
        </is>
      </c>
      <c r="C220" s="7" t="inlineStr">
        <is>
          <t>Armament@CannonUpgrade</t>
        </is>
      </c>
      <c r="L220" s="6" t="n">
        <v>16000</v>
      </c>
      <c r="M220" s="6" t="n">
        <v>32</v>
      </c>
      <c r="N220" s="6" t="n">
        <v>1</v>
      </c>
      <c r="O220" s="6" t="n"/>
      <c r="P220" s="6" t="n">
        <v>3053</v>
      </c>
      <c r="Q220" s="6" t="n">
        <v>1</v>
      </c>
      <c r="R220">
        <f>M220+IF(N220&gt;1,N(O220)*(N220-1),0)</f>
        <v/>
      </c>
      <c r="S220">
        <f>IFERROR(L220*MAX(N220,1)/R220*IF(ISBLANK(K216),1,K216),0)</f>
        <v/>
      </c>
      <c r="AB220" s="7" t="inlineStr">
        <is>
          <t>^Warhead_Tesla_Heavy, ^Warhead_MissileAP_Medium, ^Warhead_Concussion_Medium, ^Warhead_CannonAP_Light</t>
        </is>
      </c>
    </row>
    <row r="221">
      <c r="B221" s="7" t="inlineStr">
        <is>
          <t xml:space="preserve">  ↳ SkyHawkChainGun</t>
        </is>
      </c>
      <c r="C221" s="7" t="inlineStr">
        <is>
          <t>Armament@ChainGun</t>
        </is>
      </c>
      <c r="L221" s="6" t="n">
        <v>4000</v>
      </c>
      <c r="M221" s="6" t="n">
        <v>8</v>
      </c>
      <c r="N221" s="6" t="n">
        <v>1</v>
      </c>
      <c r="O221" s="6" t="n"/>
      <c r="P221" s="6" t="n">
        <v>3053</v>
      </c>
      <c r="Q221" s="6" t="n">
        <v>0.875</v>
      </c>
      <c r="R221">
        <f>M221+IF(N221&gt;1,N(O221)*(N221-1),0)</f>
        <v/>
      </c>
      <c r="S221">
        <f>IFERROR(L221*MAX(N221,1)/R221*IF(ISBLANK(K216),1,K216),0)</f>
        <v/>
      </c>
      <c r="AB221" s="7" t="inlineStr">
        <is>
          <t>^Warhead_Demolition_Light, ^Warhead_Bullet_Medium</t>
        </is>
      </c>
    </row>
    <row r="222">
      <c r="B222" s="7" t="inlineStr">
        <is>
          <t xml:space="preserve">  ↳ SkyHawkChainGunWaveforce</t>
        </is>
      </c>
      <c r="C222" s="7" t="inlineStr">
        <is>
          <t>Armament@ChainGunUpgrade</t>
        </is>
      </c>
      <c r="L222" s="6" t="n">
        <v>6000</v>
      </c>
      <c r="M222" s="6" t="n">
        <v>8</v>
      </c>
      <c r="N222" s="6" t="n">
        <v>1</v>
      </c>
      <c r="O222" s="6" t="n"/>
      <c r="P222" s="6" t="n">
        <v>3053</v>
      </c>
      <c r="Q222" s="6" t="n">
        <v>1</v>
      </c>
      <c r="R222">
        <f>M222+IF(N222&gt;1,N(O222)*(N222-1),0)</f>
        <v/>
      </c>
      <c r="S222">
        <f>IFERROR(L222*MAX(N222,1)/R222*IF(ISBLANK(K216),1,K216),0)</f>
        <v/>
      </c>
      <c r="AB222" s="7" t="inlineStr">
        <is>
          <t>^Warhead_Railgun_Heavy, ^Warhead_Demolition_Light, ^Warhead_Bullet_Medium</t>
        </is>
      </c>
    </row>
    <row r="223">
      <c r="A223" t="inlineStr">
        <is>
          <t>redalert</t>
        </is>
      </c>
      <c r="B223" t="inlineStr">
        <is>
          <t>ra1_soviets_hindattackhelicopter</t>
        </is>
      </c>
      <c r="C223" t="inlineStr">
        <is>
          <t>Hind Attack Helicopter</t>
        </is>
      </c>
      <c r="D223" s="6" t="inlineStr">
        <is>
          <t>Helicopter</t>
        </is>
      </c>
      <c r="E223" s="6" t="n">
        <v>100000</v>
      </c>
      <c r="F223" s="6" t="n">
        <v>120</v>
      </c>
      <c r="G223" t="inlineStr">
        <is>
          <t>Helicopter</t>
        </is>
      </c>
      <c r="H223" s="6" t="n">
        <v>0.7333</v>
      </c>
      <c r="I223" s="6" t="n">
        <v>1</v>
      </c>
      <c r="J223" s="6" t="n">
        <v>1</v>
      </c>
      <c r="K223" s="6" t="n">
        <v>0.005</v>
      </c>
      <c r="P223">
        <f>MAX(P224,P225,P226,P227,P228,P229,P230,P231,P232,P233,P234,P235,P236)</f>
        <v/>
      </c>
      <c r="S223">
        <f>S224+S225+S226+S227+S228+S229+S230+S231+S232+S233+S234+S235+S236</f>
        <v/>
      </c>
      <c r="T223">
        <f>(E223/100000+F223/100+(P223/1000)*J223/5+S223/200)*200*I223*H223</f>
        <v/>
      </c>
      <c r="U223">
        <f>((E223*F223/25000)+((P223/1000)*J223*S223/2.5))*I223*H223</f>
        <v/>
      </c>
      <c r="V223">
        <f>(E223*F223*(P223/1000)*J223*S223*I223*H223)/12500000</f>
        <v/>
      </c>
      <c r="W223">
        <f>(T223+U223+V223)/3</f>
        <v/>
      </c>
      <c r="X223" s="6" t="n">
        <v>1800</v>
      </c>
      <c r="Y223">
        <f>IFERROR(W223-X223,"")</f>
        <v/>
      </c>
      <c r="Z223">
        <f>IFERROR(ABS(Y223)/MAX(X223,1),"")</f>
        <v/>
      </c>
      <c r="AA223">
        <f>IFERROR((X223-(((E223/100000+F223/100+S223/200)*200*I223*H223)+((E223*F223/25000)*I223*H223))/3)/(((J223/5)*200*I223*H223)+((J223*S223/2.5)*I223*H223)+((E223*F223*J223*S223*I223*H223)/12500000))/3*1000,"")</f>
        <v/>
      </c>
    </row>
    <row r="224">
      <c r="B224" s="7" t="inlineStr">
        <is>
          <t xml:space="preserve">  ↳ HindMissiles</t>
        </is>
      </c>
      <c r="C224" s="7" t="inlineStr">
        <is>
          <t>Armament@Missiles</t>
        </is>
      </c>
      <c r="L224" s="6" t="n">
        <v>6000</v>
      </c>
      <c r="M224" s="6" t="n">
        <v>16</v>
      </c>
      <c r="N224" s="6" t="n">
        <v>1</v>
      </c>
      <c r="O224" s="6" t="n"/>
      <c r="P224" s="6" t="n">
        <v>5528</v>
      </c>
      <c r="Q224" s="6" t="n">
        <v>1</v>
      </c>
      <c r="R224">
        <f>M224+IF(N224&gt;1,N(O224)*(N224-1),0)</f>
        <v/>
      </c>
      <c r="S224">
        <f>IFERROR(L224*MAX(N224,1)/R224*IF(ISBLANK(K223),1,K223),0)</f>
        <v/>
      </c>
      <c r="AB224" s="7" t="inlineStr">
        <is>
          <t>^Warhead_Demolition_Light, ^Warhead_MissileAP_Medium, ^Warhead_Concussion_Medium</t>
        </is>
      </c>
    </row>
    <row r="225">
      <c r="B225" s="7" t="inlineStr">
        <is>
          <t xml:space="preserve">  ↳ HindMissiles</t>
        </is>
      </c>
      <c r="C225" s="7" t="inlineStr">
        <is>
          <t>Armament@MissilesRocketPod1</t>
        </is>
      </c>
      <c r="L225" s="6" t="n">
        <v>6000</v>
      </c>
      <c r="M225" s="6" t="n">
        <v>16</v>
      </c>
      <c r="N225" s="6" t="n">
        <v>1</v>
      </c>
      <c r="O225" s="6" t="n"/>
      <c r="P225" s="6" t="n">
        <v>5528</v>
      </c>
      <c r="Q225" s="6" t="n">
        <v>1</v>
      </c>
      <c r="R225">
        <f>M225+IF(N225&gt;1,N(O225)*(N225-1),0)</f>
        <v/>
      </c>
      <c r="S225">
        <f>IFERROR(L225*MAX(N225,1)/R225*IF(ISBLANK(K223),1,K223),0)</f>
        <v/>
      </c>
      <c r="AB225" s="7" t="inlineStr">
        <is>
          <t>^Warhead_Demolition_Light, ^Warhead_MissileAP_Medium, ^Warhead_Concussion_Medium</t>
        </is>
      </c>
    </row>
    <row r="226">
      <c r="B226" s="7" t="inlineStr">
        <is>
          <t xml:space="preserve">  ↳ HindMissiles</t>
        </is>
      </c>
      <c r="C226" s="7" t="inlineStr">
        <is>
          <t>Armament@MissilesRocketPod2</t>
        </is>
      </c>
      <c r="L226" s="6" t="n">
        <v>6000</v>
      </c>
      <c r="M226" s="6" t="n">
        <v>16</v>
      </c>
      <c r="N226" s="6" t="n">
        <v>1</v>
      </c>
      <c r="O226" s="6" t="n"/>
      <c r="P226" s="6" t="n">
        <v>5528</v>
      </c>
      <c r="Q226" s="6" t="n">
        <v>1</v>
      </c>
      <c r="R226">
        <f>M226+IF(N226&gt;1,N(O226)*(N226-1),0)</f>
        <v/>
      </c>
      <c r="S226">
        <f>IFERROR(L226*MAX(N226,1)/R226*IF(ISBLANK(K223),1,K223),0)</f>
        <v/>
      </c>
      <c r="AB226" s="7" t="inlineStr">
        <is>
          <t>^Warhead_Demolition_Light, ^Warhead_MissileAP_Medium, ^Warhead_Concussion_Medium</t>
        </is>
      </c>
    </row>
    <row r="227">
      <c r="B227" s="7" t="inlineStr">
        <is>
          <t xml:space="preserve">  ↳ HindMissilesThermobaric</t>
        </is>
      </c>
      <c r="C227" s="7" t="inlineStr">
        <is>
          <t>Armament@MissilesHE</t>
        </is>
      </c>
      <c r="L227" s="6" t="n">
        <v>10000</v>
      </c>
      <c r="M227" s="6" t="n">
        <v>16</v>
      </c>
      <c r="N227" s="6" t="n">
        <v>1</v>
      </c>
      <c r="O227" s="6" t="n"/>
      <c r="P227" s="6" t="n">
        <v>5528</v>
      </c>
      <c r="Q227" s="6" t="n">
        <v>1.25</v>
      </c>
      <c r="R227">
        <f>M227+IF(N227&gt;1,N(O227)*(N227-1),0)</f>
        <v/>
      </c>
      <c r="S227">
        <f>IFERROR(L227*MAX(N227,1)/R227*IF(ISBLANK(K223),1,K223),0)</f>
        <v/>
      </c>
      <c r="AB227" s="7" t="inlineStr">
        <is>
          <t>^Warhead_CannonHE_Heavy</t>
        </is>
      </c>
    </row>
    <row r="228">
      <c r="B228" s="7" t="inlineStr">
        <is>
          <t xml:space="preserve">  ↳ HindMissilesThermobaric</t>
        </is>
      </c>
      <c r="C228" s="7" t="inlineStr">
        <is>
          <t>Armament@MissilesHERocketPod1</t>
        </is>
      </c>
      <c r="L228" s="6" t="n">
        <v>10000</v>
      </c>
      <c r="M228" s="6" t="n">
        <v>16</v>
      </c>
      <c r="N228" s="6" t="n">
        <v>1</v>
      </c>
      <c r="O228" s="6" t="n"/>
      <c r="P228" s="6" t="n">
        <v>5528</v>
      </c>
      <c r="Q228" s="6" t="n">
        <v>1.25</v>
      </c>
      <c r="R228">
        <f>M228+IF(N228&gt;1,N(O228)*(N228-1),0)</f>
        <v/>
      </c>
      <c r="S228">
        <f>IFERROR(L228*MAX(N228,1)/R228*IF(ISBLANK(K223),1,K223),0)</f>
        <v/>
      </c>
      <c r="AB228" s="7" t="inlineStr">
        <is>
          <t>^Warhead_CannonHE_Heavy</t>
        </is>
      </c>
    </row>
    <row r="229">
      <c r="B229" s="7" t="inlineStr">
        <is>
          <t xml:space="preserve">  ↳ HindMissilesThermobaric</t>
        </is>
      </c>
      <c r="C229" s="7" t="inlineStr">
        <is>
          <t>Armament@MissilesHERocketPod2</t>
        </is>
      </c>
      <c r="L229" s="6" t="n">
        <v>10000</v>
      </c>
      <c r="M229" s="6" t="n">
        <v>16</v>
      </c>
      <c r="N229" s="6" t="n">
        <v>1</v>
      </c>
      <c r="O229" s="6" t="n"/>
      <c r="P229" s="6" t="n">
        <v>5528</v>
      </c>
      <c r="Q229" s="6" t="n">
        <v>1.25</v>
      </c>
      <c r="R229">
        <f>M229+IF(N229&gt;1,N(O229)*(N229-1),0)</f>
        <v/>
      </c>
      <c r="S229">
        <f>IFERROR(L229*MAX(N229,1)/R229*IF(ISBLANK(K223),1,K223),0)</f>
        <v/>
      </c>
      <c r="AB229" s="7" t="inlineStr">
        <is>
          <t>^Warhead_CannonHE_Heavy</t>
        </is>
      </c>
    </row>
    <row r="230">
      <c r="B230" s="7" t="inlineStr">
        <is>
          <t xml:space="preserve">  ↳ HindMissilesNuclear</t>
        </is>
      </c>
      <c r="C230" s="7" t="inlineStr">
        <is>
          <t>Armament@MissilesNuke</t>
        </is>
      </c>
      <c r="L230" s="6" t="n">
        <v>8000</v>
      </c>
      <c r="M230" s="6" t="n">
        <v>16</v>
      </c>
      <c r="N230" s="6" t="n">
        <v>1</v>
      </c>
      <c r="O230" s="6" t="n"/>
      <c r="P230" s="6" t="n">
        <v>5528</v>
      </c>
      <c r="Q230" s="6" t="n">
        <v>1</v>
      </c>
      <c r="R230">
        <f>M230+IF(N230&gt;1,N(O230)*(N230-1),0)</f>
        <v/>
      </c>
      <c r="S230">
        <f>IFERROR(L230*MAX(N230,1)/R230*IF(ISBLANK(K223),1,K223),0)</f>
        <v/>
      </c>
      <c r="AB230" s="7" t="inlineStr">
        <is>
          <t>^TankDestroyerCannon, ^MediumFlameWeapon, ^NuclearWarhead, ^MediumMissile</t>
        </is>
      </c>
    </row>
    <row r="231">
      <c r="B231" s="7" t="inlineStr">
        <is>
          <t xml:space="preserve">  ↳ HindMissilesNuclear</t>
        </is>
      </c>
      <c r="C231" s="7" t="inlineStr">
        <is>
          <t>Armament@MissilesNukeRocketPod1</t>
        </is>
      </c>
      <c r="L231" s="6" t="n">
        <v>8000</v>
      </c>
      <c r="M231" s="6" t="n">
        <v>16</v>
      </c>
      <c r="N231" s="6" t="n">
        <v>1</v>
      </c>
      <c r="O231" s="6" t="n"/>
      <c r="P231" s="6" t="n">
        <v>5528</v>
      </c>
      <c r="Q231" s="6" t="n">
        <v>1</v>
      </c>
      <c r="R231">
        <f>M231+IF(N231&gt;1,N(O231)*(N231-1),0)</f>
        <v/>
      </c>
      <c r="S231">
        <f>IFERROR(L231*MAX(N231,1)/R231*IF(ISBLANK(K223),1,K223),0)</f>
        <v/>
      </c>
      <c r="AB231" s="7" t="inlineStr">
        <is>
          <t>^TankDestroyerCannon, ^MediumFlameWeapon, ^NuclearWarhead, ^MediumMissile</t>
        </is>
      </c>
    </row>
    <row r="232">
      <c r="B232" s="7" t="inlineStr">
        <is>
          <t xml:space="preserve">  ↳ HindMissilesNuclear</t>
        </is>
      </c>
      <c r="C232" s="7" t="inlineStr">
        <is>
          <t>Armament@MissilesNukeRocketPod2</t>
        </is>
      </c>
      <c r="L232" s="6" t="n">
        <v>8000</v>
      </c>
      <c r="M232" s="6" t="n">
        <v>16</v>
      </c>
      <c r="N232" s="6" t="n">
        <v>1</v>
      </c>
      <c r="O232" s="6" t="n"/>
      <c r="P232" s="6" t="n">
        <v>5528</v>
      </c>
      <c r="Q232" s="6" t="n">
        <v>1</v>
      </c>
      <c r="R232">
        <f>M232+IF(N232&gt;1,N(O232)*(N232-1),0)</f>
        <v/>
      </c>
      <c r="S232">
        <f>IFERROR(L232*MAX(N232,1)/R232*IF(ISBLANK(K223),1,K223),0)</f>
        <v/>
      </c>
      <c r="AB232" s="7" t="inlineStr">
        <is>
          <t>^TankDestroyerCannon, ^MediumFlameWeapon, ^NuclearWarhead, ^MediumMissile</t>
        </is>
      </c>
    </row>
    <row r="233">
      <c r="B233" s="7" t="inlineStr">
        <is>
          <t xml:space="preserve">  ↳ ChainGun</t>
        </is>
      </c>
      <c r="C233" s="7" t="inlineStr">
        <is>
          <t>Armament@PRIMARY</t>
        </is>
      </c>
      <c r="L233" s="6" t="n">
        <v>2000</v>
      </c>
      <c r="M233" s="6" t="n">
        <v>8</v>
      </c>
      <c r="N233" s="6" t="n">
        <v>1</v>
      </c>
      <c r="O233" s="6" t="n"/>
      <c r="P233" s="6" t="n">
        <v>5528</v>
      </c>
      <c r="Q233" s="6" t="n">
        <v>1</v>
      </c>
      <c r="R233">
        <f>M233+IF(N233&gt;1,N(O233)*(N233-1),0)</f>
        <v/>
      </c>
      <c r="S233">
        <f>IFERROR(L233*MAX(N233,1)/R233*IF(ISBLANK(K223),1,K223),0)</f>
        <v/>
      </c>
      <c r="AB233" s="7" t="inlineStr">
        <is>
          <t>^Warhead_Bullet_Medium</t>
        </is>
      </c>
    </row>
    <row r="234">
      <c r="B234" s="7" t="inlineStr">
        <is>
          <t xml:space="preserve">  ↳ ChainGun</t>
        </is>
      </c>
      <c r="C234" s="7" t="inlineStr">
        <is>
          <t>Armament@SECONDARY</t>
        </is>
      </c>
      <c r="L234" s="6" t="n">
        <v>2000</v>
      </c>
      <c r="M234" s="6" t="n">
        <v>8</v>
      </c>
      <c r="N234" s="6" t="n">
        <v>1</v>
      </c>
      <c r="O234" s="6" t="n"/>
      <c r="P234" s="6" t="n">
        <v>5528</v>
      </c>
      <c r="Q234" s="6" t="n">
        <v>1</v>
      </c>
      <c r="R234">
        <f>M234+IF(N234&gt;1,N(O234)*(N234-1),0)</f>
        <v/>
      </c>
      <c r="S234">
        <f>IFERROR(L234*MAX(N234,1)/R234*IF(ISBLANK(K223),1,K223),0)</f>
        <v/>
      </c>
      <c r="AB234" s="7" t="inlineStr">
        <is>
          <t>^Warhead_Bullet_Medium</t>
        </is>
      </c>
    </row>
    <row r="235">
      <c r="B235" s="7" t="inlineStr">
        <is>
          <t xml:space="preserve">  ↳ IncendiaryChainGun</t>
        </is>
      </c>
      <c r="C235" s="7" t="inlineStr">
        <is>
          <t>Armament@Upgrade1</t>
        </is>
      </c>
      <c r="L235" s="6" t="n">
        <v>4000</v>
      </c>
      <c r="M235" s="6" t="n">
        <v>8</v>
      </c>
      <c r="N235" s="6" t="n">
        <v>1</v>
      </c>
      <c r="O235" s="6" t="n"/>
      <c r="P235" s="6" t="n">
        <v>5528</v>
      </c>
      <c r="Q235" s="6" t="n">
        <v>0.875</v>
      </c>
      <c r="R235">
        <f>M235+IF(N235&gt;1,N(O235)*(N235-1),0)</f>
        <v/>
      </c>
      <c r="S235">
        <f>IFERROR(L235*MAX(N235,1)/R235*IF(ISBLANK(K223),1,K223),0)</f>
        <v/>
      </c>
      <c r="AB235" s="7" t="inlineStr">
        <is>
          <t>^Warhead_Flame_Light, ^Warhead_Bullet_Medium</t>
        </is>
      </c>
    </row>
    <row r="236">
      <c r="B236" s="7" t="inlineStr">
        <is>
          <t xml:space="preserve">  ↳ IncendiaryChainGun</t>
        </is>
      </c>
      <c r="C236" s="7" t="inlineStr">
        <is>
          <t>Armament@Upgrade2</t>
        </is>
      </c>
      <c r="L236" s="6" t="n">
        <v>4000</v>
      </c>
      <c r="M236" s="6" t="n">
        <v>8</v>
      </c>
      <c r="N236" s="6" t="n">
        <v>1</v>
      </c>
      <c r="O236" s="6" t="n"/>
      <c r="P236" s="6" t="n">
        <v>5528</v>
      </c>
      <c r="Q236" s="6" t="n">
        <v>0.875</v>
      </c>
      <c r="R236">
        <f>M236+IF(N236&gt;1,N(O236)*(N236-1),0)</f>
        <v/>
      </c>
      <c r="S236">
        <f>IFERROR(L236*MAX(N236,1)/R236*IF(ISBLANK(K223),1,K223),0)</f>
        <v/>
      </c>
      <c r="AB236" s="7" t="inlineStr">
        <is>
          <t>^Warhead_Flame_Light, ^Warhead_Bullet_Medium</t>
        </is>
      </c>
    </row>
    <row r="237">
      <c r="A237" t="inlineStr">
        <is>
          <t>redalert</t>
        </is>
      </c>
      <c r="B237" t="inlineStr">
        <is>
          <t>ra1_soviets_kamovattackhelicopter</t>
        </is>
      </c>
      <c r="C237" t="inlineStr">
        <is>
          <t>Kamov Attack Helicopter</t>
        </is>
      </c>
      <c r="D237" s="6" t="inlineStr">
        <is>
          <t>Helicopter</t>
        </is>
      </c>
      <c r="E237" s="6" t="n">
        <v>122500</v>
      </c>
      <c r="F237" s="6" t="n">
        <v>125</v>
      </c>
      <c r="G237" t="inlineStr">
        <is>
          <t>Helicopter</t>
        </is>
      </c>
      <c r="H237" s="6" t="n">
        <v>0.7333</v>
      </c>
      <c r="I237" s="6" t="n">
        <v>1</v>
      </c>
      <c r="J237" s="6" t="n">
        <v>1</v>
      </c>
      <c r="K237" s="6" t="n">
        <v>0.0025</v>
      </c>
      <c r="P237">
        <f>MAX(P238,P239,P240,P241,P242,P243,P244,P245,P246,P247,P248,P249)</f>
        <v/>
      </c>
      <c r="S237">
        <f>S238+S239+S240+S241+S242+S243+S244+S245+S246+S247+S248+S249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(T237+U237+V237)/3</f>
        <v/>
      </c>
      <c r="X237" s="6" t="n">
        <v>2100</v>
      </c>
      <c r="Y237">
        <f>IFERROR(W237-X237,"")</f>
        <v/>
      </c>
      <c r="Z237">
        <f>IFERROR(ABS(Y237)/MAX(X237,1),"")</f>
        <v/>
      </c>
      <c r="AA237">
        <f>IFERROR((X237-(((E237/100000+F237/100+S237/200)*200*I237*H237)+((E237*F237/25000)*I237*H237))/3)/(((J237/5)*200*I237*H237)+((J237*S237/2.5)*I237*H237)+((E237*F237*J237*S237*I237*H237)/12500000))/3*1000,"")</f>
        <v/>
      </c>
    </row>
    <row r="238">
      <c r="B238" s="7" t="inlineStr">
        <is>
          <t xml:space="preserve">  ↳ KamovTesla</t>
        </is>
      </c>
      <c r="C238" s="7" t="inlineStr">
        <is>
          <t>Armament@Tesla</t>
        </is>
      </c>
      <c r="L238" s="6" t="n">
        <v>32000</v>
      </c>
      <c r="M238" s="6" t="n">
        <v>32</v>
      </c>
      <c r="N238" s="6" t="n">
        <v>1</v>
      </c>
      <c r="O238" s="6" t="n"/>
      <c r="P238" s="6" t="n">
        <v>5528</v>
      </c>
      <c r="Q238" s="6" t="n">
        <v>1</v>
      </c>
      <c r="R238">
        <f>M238+IF(N238&gt;1,N(O238)*(N238-1),0)</f>
        <v/>
      </c>
      <c r="S238">
        <f>IFERROR(L238*MAX(N238,1)/R238*IF(ISBLANK(K237),1,K237),0)</f>
        <v/>
      </c>
      <c r="AB238" s="7" t="inlineStr">
        <is>
          <t>^Warhead_MissileAP_Light, ^Warhead_Tesla_Heavy</t>
        </is>
      </c>
    </row>
    <row r="239">
      <c r="B239" s="7" t="inlineStr">
        <is>
          <t xml:space="preserve">  ↳ KamovTeslaArc</t>
        </is>
      </c>
      <c r="C239" s="7" t="inlineStr">
        <is>
          <t>Armament@Arcing</t>
        </is>
      </c>
      <c r="L239" s="6" t="n">
        <v>32000</v>
      </c>
      <c r="M239" s="6" t="n">
        <v>32</v>
      </c>
      <c r="N239" s="6" t="n">
        <v>1</v>
      </c>
      <c r="O239" s="6" t="n"/>
      <c r="P239" s="6" t="n">
        <v>5528</v>
      </c>
      <c r="Q239" s="6" t="n">
        <v>1</v>
      </c>
      <c r="R239">
        <f>M239+IF(N239&gt;1,N(O239)*(N239-1),0)</f>
        <v/>
      </c>
      <c r="S239">
        <f>IFERROR(L239*MAX(N239,1)/R239*IF(ISBLANK(K237),1,K237),0)</f>
        <v/>
      </c>
      <c r="AB239" s="7" t="inlineStr">
        <is>
          <t>^Warhead_MissileAP_Light, ^Warhead_Tesla_Heavy</t>
        </is>
      </c>
    </row>
    <row r="240">
      <c r="B240" s="7" t="inlineStr">
        <is>
          <t xml:space="preserve">  ↳ HindMissiles</t>
        </is>
      </c>
      <c r="C240" s="7" t="inlineStr">
        <is>
          <t>Armament@Missiles</t>
        </is>
      </c>
      <c r="L240" s="6" t="n">
        <v>6000</v>
      </c>
      <c r="M240" s="6" t="n">
        <v>16</v>
      </c>
      <c r="N240" s="6" t="n">
        <v>1</v>
      </c>
      <c r="O240" s="6" t="n"/>
      <c r="P240" s="6" t="n">
        <v>5528</v>
      </c>
      <c r="Q240" s="6" t="n">
        <v>1</v>
      </c>
      <c r="R240">
        <f>M240+IF(N240&gt;1,N(O240)*(N240-1),0)</f>
        <v/>
      </c>
      <c r="S240">
        <f>IFERROR(L240*MAX(N240,1)/R240*IF(ISBLANK(K237),1,K237),0)</f>
        <v/>
      </c>
      <c r="AB240" s="7" t="inlineStr">
        <is>
          <t>^Warhead_Demolition_Light, ^Warhead_MissileAP_Medium, ^Warhead_Concussion_Medium</t>
        </is>
      </c>
    </row>
    <row r="241">
      <c r="B241" s="7" t="inlineStr">
        <is>
          <t xml:space="preserve">  ↳ HindMissiles</t>
        </is>
      </c>
      <c r="C241" s="7" t="inlineStr">
        <is>
          <t>Armament@MissilesRocketPod1</t>
        </is>
      </c>
      <c r="L241" s="6" t="n">
        <v>6000</v>
      </c>
      <c r="M241" s="6" t="n">
        <v>16</v>
      </c>
      <c r="N241" s="6" t="n">
        <v>1</v>
      </c>
      <c r="O241" s="6" t="n"/>
      <c r="P241" s="6" t="n">
        <v>5528</v>
      </c>
      <c r="Q241" s="6" t="n">
        <v>1</v>
      </c>
      <c r="R241">
        <f>M241+IF(N241&gt;1,N(O241)*(N241-1),0)</f>
        <v/>
      </c>
      <c r="S241">
        <f>IFERROR(L241*MAX(N241,1)/R241*IF(ISBLANK(K237),1,K237),0)</f>
        <v/>
      </c>
      <c r="AB241" s="7" t="inlineStr">
        <is>
          <t>^Warhead_Demolition_Light, ^Warhead_MissileAP_Medium, ^Warhead_Concussion_Medium</t>
        </is>
      </c>
    </row>
    <row r="242">
      <c r="B242" s="7" t="inlineStr">
        <is>
          <t xml:space="preserve">  ↳ HindMissiles</t>
        </is>
      </c>
      <c r="C242" s="7" t="inlineStr">
        <is>
          <t>Armament@MissilesRocketPod2</t>
        </is>
      </c>
      <c r="L242" s="6" t="n">
        <v>6000</v>
      </c>
      <c r="M242" s="6" t="n">
        <v>16</v>
      </c>
      <c r="N242" s="6" t="n">
        <v>1</v>
      </c>
      <c r="O242" s="6" t="n"/>
      <c r="P242" s="6" t="n">
        <v>5528</v>
      </c>
      <c r="Q242" s="6" t="n">
        <v>1</v>
      </c>
      <c r="R242">
        <f>M242+IF(N242&gt;1,N(O242)*(N242-1),0)</f>
        <v/>
      </c>
      <c r="S242">
        <f>IFERROR(L242*MAX(N242,1)/R242*IF(ISBLANK(K237),1,K237),0)</f>
        <v/>
      </c>
      <c r="AB242" s="7" t="inlineStr">
        <is>
          <t>^Warhead_Demolition_Light, ^Warhead_MissileAP_Medium, ^Warhead_Concussion_Medium</t>
        </is>
      </c>
    </row>
    <row r="243">
      <c r="B243" s="7" t="inlineStr">
        <is>
          <t xml:space="preserve">  ↳ KamovMissilesTesla</t>
        </is>
      </c>
      <c r="C243" s="7" t="inlineStr">
        <is>
          <t>Armament@MissilesUpgrade</t>
        </is>
      </c>
      <c r="L243" s="6" t="n">
        <v>10000</v>
      </c>
      <c r="M243" s="6" t="n">
        <v>16</v>
      </c>
      <c r="N243" s="6" t="n">
        <v>1</v>
      </c>
      <c r="O243" s="6" t="n"/>
      <c r="P243" s="6" t="n">
        <v>5528</v>
      </c>
      <c r="Q243" s="6" t="n">
        <v>1</v>
      </c>
      <c r="R243">
        <f>M243+IF(N243&gt;1,N(O243)*(N243-1),0)</f>
        <v/>
      </c>
      <c r="S243">
        <f>IFERROR(L243*MAX(N243,1)/R243*IF(ISBLANK(K237),1,K237),0)</f>
        <v/>
      </c>
      <c r="AB243" s="7" t="inlineStr">
        <is>
          <t>^Grenade, ^ShrapnelWeapon, ^MediumFlameWeapon, ^TeslaWeapon, ^MediumMissile, ^Effect_Tesla_Impact_RA2</t>
        </is>
      </c>
    </row>
    <row r="244">
      <c r="B244" s="7" t="inlineStr">
        <is>
          <t xml:space="preserve">  ↳ KamovMissilesTesla</t>
        </is>
      </c>
      <c r="C244" s="7" t="inlineStr">
        <is>
          <t>Armament@MissilesUpgradeRocketPod1</t>
        </is>
      </c>
      <c r="L244" s="6" t="n">
        <v>10000</v>
      </c>
      <c r="M244" s="6" t="n">
        <v>16</v>
      </c>
      <c r="N244" s="6" t="n">
        <v>1</v>
      </c>
      <c r="O244" s="6" t="n"/>
      <c r="P244" s="6" t="n">
        <v>5528</v>
      </c>
      <c r="Q244" s="6" t="n">
        <v>1</v>
      </c>
      <c r="R244">
        <f>M244+IF(N244&gt;1,N(O244)*(N244-1),0)</f>
        <v/>
      </c>
      <c r="S244">
        <f>IFERROR(L244*MAX(N244,1)/R244*IF(ISBLANK(K237),1,K237),0)</f>
        <v/>
      </c>
      <c r="AB244" s="7" t="inlineStr">
        <is>
          <t>^Grenade, ^ShrapnelWeapon, ^MediumFlameWeapon, ^TeslaWeapon, ^MediumMissile, ^Effect_Tesla_Impact_RA2</t>
        </is>
      </c>
    </row>
    <row r="245">
      <c r="B245" s="7" t="inlineStr">
        <is>
          <t xml:space="preserve">  ↳ KamovMissilesTesla</t>
        </is>
      </c>
      <c r="C245" s="7" t="inlineStr">
        <is>
          <t>Armament@MissilesUpgradeRocketPod2</t>
        </is>
      </c>
      <c r="L245" s="6" t="n">
        <v>10000</v>
      </c>
      <c r="M245" s="6" t="n">
        <v>16</v>
      </c>
      <c r="N245" s="6" t="n">
        <v>1</v>
      </c>
      <c r="O245" s="6" t="n"/>
      <c r="P245" s="6" t="n">
        <v>5528</v>
      </c>
      <c r="Q245" s="6" t="n">
        <v>1</v>
      </c>
      <c r="R245">
        <f>M245+IF(N245&gt;1,N(O245)*(N245-1),0)</f>
        <v/>
      </c>
      <c r="S245">
        <f>IFERROR(L245*MAX(N245,1)/R245*IF(ISBLANK(K237),1,K237),0)</f>
        <v/>
      </c>
      <c r="AB245" s="7" t="inlineStr">
        <is>
          <t>^Grenade, ^ShrapnelWeapon, ^MediumFlameWeapon, ^TeslaWeapon, ^MediumMissile, ^Effect_Tesla_Impact_RA2</t>
        </is>
      </c>
    </row>
    <row r="246">
      <c r="B246" s="7" t="inlineStr">
        <is>
          <t xml:space="preserve">  ↳ ChainGun</t>
        </is>
      </c>
      <c r="C246" s="7" t="inlineStr">
        <is>
          <t>Armament@PRIMARY</t>
        </is>
      </c>
      <c r="L246" s="6" t="n">
        <v>2000</v>
      </c>
      <c r="M246" s="6" t="n">
        <v>8</v>
      </c>
      <c r="N246" s="6" t="n">
        <v>1</v>
      </c>
      <c r="O246" s="6" t="n"/>
      <c r="P246" s="6" t="n">
        <v>5528</v>
      </c>
      <c r="Q246" s="6" t="n">
        <v>1</v>
      </c>
      <c r="R246">
        <f>M246+IF(N246&gt;1,N(O246)*(N246-1),0)</f>
        <v/>
      </c>
      <c r="S246">
        <f>IFERROR(L246*MAX(N246,1)/R246*IF(ISBLANK(K237),1,K237),0)</f>
        <v/>
      </c>
      <c r="AB246" s="7" t="inlineStr">
        <is>
          <t>^Warhead_Bullet_Medium</t>
        </is>
      </c>
    </row>
    <row r="247">
      <c r="B247" s="7" t="inlineStr">
        <is>
          <t xml:space="preserve">  ↳ ChainGun</t>
        </is>
      </c>
      <c r="C247" s="7" t="inlineStr">
        <is>
          <t>Armament@SECONDARY</t>
        </is>
      </c>
      <c r="L247" s="6" t="n">
        <v>2000</v>
      </c>
      <c r="M247" s="6" t="n">
        <v>8</v>
      </c>
      <c r="N247" s="6" t="n">
        <v>1</v>
      </c>
      <c r="O247" s="6" t="n"/>
      <c r="P247" s="6" t="n">
        <v>5528</v>
      </c>
      <c r="Q247" s="6" t="n">
        <v>1</v>
      </c>
      <c r="R247">
        <f>M247+IF(N247&gt;1,N(O247)*(N247-1),0)</f>
        <v/>
      </c>
      <c r="S247">
        <f>IFERROR(L247*MAX(N247,1)/R247*IF(ISBLANK(K237),1,K237),0)</f>
        <v/>
      </c>
      <c r="AB247" s="7" t="inlineStr">
        <is>
          <t>^Warhead_Bullet_Medium</t>
        </is>
      </c>
    </row>
    <row r="248">
      <c r="B248" s="7" t="inlineStr">
        <is>
          <t xml:space="preserve">  ↳ IncendiaryChainGun</t>
        </is>
      </c>
      <c r="C248" s="7" t="inlineStr">
        <is>
          <t>Armament@Upgrade1</t>
        </is>
      </c>
      <c r="L248" s="6" t="n">
        <v>4000</v>
      </c>
      <c r="M248" s="6" t="n">
        <v>8</v>
      </c>
      <c r="N248" s="6" t="n">
        <v>1</v>
      </c>
      <c r="O248" s="6" t="n"/>
      <c r="P248" s="6" t="n">
        <v>5528</v>
      </c>
      <c r="Q248" s="6" t="n">
        <v>0.875</v>
      </c>
      <c r="R248">
        <f>M248+IF(N248&gt;1,N(O248)*(N248-1),0)</f>
        <v/>
      </c>
      <c r="S248">
        <f>IFERROR(L248*MAX(N248,1)/R248*IF(ISBLANK(K237),1,K237),0)</f>
        <v/>
      </c>
      <c r="AB248" s="7" t="inlineStr">
        <is>
          <t>^Warhead_Flame_Light, ^Warhead_Bullet_Medium</t>
        </is>
      </c>
    </row>
    <row r="249">
      <c r="B249" s="7" t="inlineStr">
        <is>
          <t xml:space="preserve">  ↳ IncendiaryChainGun</t>
        </is>
      </c>
      <c r="C249" s="7" t="inlineStr">
        <is>
          <t>Armament@Upgrade2</t>
        </is>
      </c>
      <c r="L249" s="6" t="n">
        <v>4000</v>
      </c>
      <c r="M249" s="6" t="n">
        <v>8</v>
      </c>
      <c r="N249" s="6" t="n">
        <v>1</v>
      </c>
      <c r="O249" s="6" t="n"/>
      <c r="P249" s="6" t="n">
        <v>5528</v>
      </c>
      <c r="Q249" s="6" t="n">
        <v>0.875</v>
      </c>
      <c r="R249">
        <f>M249+IF(N249&gt;1,N(O249)*(N249-1),0)</f>
        <v/>
      </c>
      <c r="S249">
        <f>IFERROR(L249*MAX(N249,1)/R249*IF(ISBLANK(K237),1,K237),0)</f>
        <v/>
      </c>
      <c r="AB249" s="7" t="inlineStr">
        <is>
          <t>^Warhead_Flame_Light, ^Warhead_Bullet_Medium</t>
        </is>
      </c>
    </row>
    <row r="250">
      <c r="A250" t="inlineStr">
        <is>
          <t>redalert</t>
        </is>
      </c>
      <c r="B250" t="inlineStr">
        <is>
          <t>ra1_allies_blackhawk</t>
        </is>
      </c>
      <c r="C250" t="inlineStr">
        <is>
          <t>Black Hawk</t>
        </is>
      </c>
      <c r="D250" s="6" t="inlineStr">
        <is>
          <t>Helicopter</t>
        </is>
      </c>
      <c r="E250" s="6" t="n">
        <v>50000</v>
      </c>
      <c r="F250" s="6" t="n">
        <v>130</v>
      </c>
      <c r="G250" t="inlineStr">
        <is>
          <t>Helicopter</t>
        </is>
      </c>
      <c r="H250" s="6" t="n">
        <v>1</v>
      </c>
      <c r="I250" s="6" t="n">
        <v>1</v>
      </c>
      <c r="J250" s="6" t="n">
        <v>1</v>
      </c>
      <c r="K250" s="6" t="n">
        <v>0.0025</v>
      </c>
      <c r="P250">
        <f>MAX(P251,P252)</f>
        <v/>
      </c>
      <c r="S250">
        <f>S251+S252</f>
        <v/>
      </c>
      <c r="T250">
        <f>(E250/100000+F250/100+(P250/1000)*J250/5+S250/200)*200*I250*H250</f>
        <v/>
      </c>
      <c r="U250">
        <f>((E250*F250/25000)+((P250/1000)*J250*S250/2.5))*I250*H250</f>
        <v/>
      </c>
      <c r="V250">
        <f>(E250*F250*(P250/1000)*J250*S250*I250*H250)/12500000</f>
        <v/>
      </c>
      <c r="W250">
        <f>(T250+U250+V250)/3</f>
        <v/>
      </c>
      <c r="X250" s="6" t="n">
        <v>1000</v>
      </c>
      <c r="Y250">
        <f>IFERROR(W250-X250,"")</f>
        <v/>
      </c>
      <c r="Z250">
        <f>IFERROR(ABS(Y250)/MAX(X250,1),"")</f>
        <v/>
      </c>
      <c r="AA250">
        <f>IFERROR((X250-(((E250/100000+F250/100+S250/200)*200*I250*H250)+((E250*F250/25000)*I250*H250))/3)/(((J250/5)*200*I250*H250)+((J250*S250/2.5)*I250*H250)+((E250*F250*J250*S250*I250*H250)/12500000))/3*1000,"")</f>
        <v/>
      </c>
    </row>
    <row r="251">
      <c r="B251" s="7" t="inlineStr">
        <is>
          <t xml:space="preserve">  ↳ ChainGunMH60</t>
        </is>
      </c>
      <c r="C251" s="7" t="inlineStr">
        <is>
          <t>Armament@PRIMARY</t>
        </is>
      </c>
      <c r="L251" s="6" t="n">
        <v>8000</v>
      </c>
      <c r="M251" s="6" t="n">
        <v>6</v>
      </c>
      <c r="N251" s="6" t="n">
        <v>1</v>
      </c>
      <c r="O251" s="6" t="n"/>
      <c r="P251" s="6" t="n">
        <v>3375</v>
      </c>
      <c r="Q251" s="6" t="n">
        <v>1</v>
      </c>
      <c r="R251">
        <f>M251+IF(N251&gt;1,N(O251)*(N251-1),0)</f>
        <v/>
      </c>
      <c r="S251">
        <f>IFERROR(L251*MAX(N251,1)/R251*IF(ISBLANK(K250),1,K250),0)</f>
        <v/>
      </c>
      <c r="AB251" s="7" t="inlineStr">
        <is>
          <t>^SmallArms, ^Grenade, ^FlakWeapon, ^Chaingun</t>
        </is>
      </c>
    </row>
    <row r="252">
      <c r="B252" s="7" t="inlineStr">
        <is>
          <t xml:space="preserve">  ↳ ChainGunMH60</t>
        </is>
      </c>
      <c r="C252" s="7" t="inlineStr">
        <is>
          <t>Armament@SECONDARY</t>
        </is>
      </c>
      <c r="L252" s="6" t="n">
        <v>8000</v>
      </c>
      <c r="M252" s="6" t="n">
        <v>6</v>
      </c>
      <c r="N252" s="6" t="n">
        <v>1</v>
      </c>
      <c r="O252" s="6" t="n"/>
      <c r="P252" s="6" t="n">
        <v>3375</v>
      </c>
      <c r="Q252" s="6" t="n">
        <v>1</v>
      </c>
      <c r="R252">
        <f>M252+IF(N252&gt;1,N(O252)*(N252-1),0)</f>
        <v/>
      </c>
      <c r="S252">
        <f>IFERROR(L252*MAX(N252,1)/R252*IF(ISBLANK(K250),1,K250),0)</f>
        <v/>
      </c>
      <c r="AB252" s="7" t="inlineStr">
        <is>
          <t>^SmallArms, ^Grenade, ^FlakWeapon, ^Chaingun</t>
        </is>
      </c>
    </row>
    <row r="253">
      <c r="A253" t="inlineStr">
        <is>
          <t>redalert</t>
        </is>
      </c>
      <c r="B253" t="inlineStr">
        <is>
          <t>ra1_allies_longbow</t>
        </is>
      </c>
      <c r="C253" t="inlineStr">
        <is>
          <t>Longbow</t>
        </is>
      </c>
      <c r="D253" s="6" t="inlineStr">
        <is>
          <t>Helicopter</t>
        </is>
      </c>
      <c r="E253" s="6" t="n">
        <v>35000</v>
      </c>
      <c r="F253" s="6" t="n">
        <v>150</v>
      </c>
      <c r="G253" t="inlineStr">
        <is>
          <t>Helicopter</t>
        </is>
      </c>
      <c r="H253" s="6" t="n">
        <v>0.75</v>
      </c>
      <c r="I253" s="6" t="n">
        <v>1</v>
      </c>
      <c r="J253" s="6" t="n">
        <v>1</v>
      </c>
      <c r="K253" s="6" t="n"/>
      <c r="P253">
        <f>MAX(P254,P255)</f>
        <v/>
      </c>
      <c r="S253">
        <f>S254+S255</f>
        <v/>
      </c>
      <c r="T253">
        <f>(E253/100000+F253/100+(P253/1000)*J253/5+S253/200)*200*I253*H253</f>
        <v/>
      </c>
      <c r="U253">
        <f>((E253*F253/25000)+((P253/1000)*J253*S253/2.5))*I253*H253</f>
        <v/>
      </c>
      <c r="V253">
        <f>(E253*F253*(P253/1000)*J253*S253*I253*H253)/12500000</f>
        <v/>
      </c>
      <c r="W253">
        <f>(T253+U253+V253)/3</f>
        <v/>
      </c>
      <c r="X253" s="6" t="n">
        <v>2000</v>
      </c>
      <c r="Y253">
        <f>IFERROR(W253-X253,"")</f>
        <v/>
      </c>
      <c r="Z253">
        <f>IFERROR(ABS(Y253)/MAX(X253,1),"")</f>
        <v/>
      </c>
      <c r="AA253">
        <f>IFERROR((X253-(((E253/100000+F253/100+S253/200)*200*I253*H253)+((E253*F253/25000)*I253*H253))/3)/(((J253/5)*200*I253*H253)+((J253*S253/2.5)*I253*H253)+((E253*F253*J253*S253*I253*H253)/12500000))/3*1000,"")</f>
        <v/>
      </c>
    </row>
    <row r="254">
      <c r="B254" s="7" t="inlineStr">
        <is>
          <t xml:space="preserve">  ↳ Hellfire</t>
        </is>
      </c>
      <c r="C254" s="7" t="inlineStr">
        <is>
          <t>Armament</t>
        </is>
      </c>
      <c r="L254" s="6" t="n">
        <v>16000</v>
      </c>
      <c r="M254" s="6" t="n">
        <v>16</v>
      </c>
      <c r="N254" s="6" t="n">
        <v>1</v>
      </c>
      <c r="O254" s="6" t="n"/>
      <c r="P254" s="6" t="n">
        <v>6540</v>
      </c>
      <c r="Q254" s="6" t="n">
        <v>1.125</v>
      </c>
      <c r="R254">
        <f>M254+IF(N254&gt;1,N(O254)*(N254-1),0)</f>
        <v/>
      </c>
      <c r="S254">
        <f>IFERROR(L254*MAX(N254,1)/R254*IF(ISBLANK(K253),1,K253),0)</f>
        <v/>
      </c>
      <c r="AB254" s="7" t="inlineStr">
        <is>
          <t>^Warhead_Concussion_Medium, ^Warhead_MissileHE_Heavy</t>
        </is>
      </c>
    </row>
    <row r="255">
      <c r="B255" s="7" t="inlineStr">
        <is>
          <t xml:space="preserve">  ↳ HellfireCryo</t>
        </is>
      </c>
      <c r="C255" s="7" t="inlineStr">
        <is>
          <t>Armament@Upgrade</t>
        </is>
      </c>
      <c r="L255" s="6" t="n">
        <v>16000</v>
      </c>
      <c r="M255" s="6" t="n">
        <v>16</v>
      </c>
      <c r="N255" s="6" t="n">
        <v>1</v>
      </c>
      <c r="O255" s="6" t="n"/>
      <c r="P255" s="6" t="n">
        <v>6540</v>
      </c>
      <c r="Q255" s="6" t="n">
        <v>1.125</v>
      </c>
      <c r="R255">
        <f>M255+IF(N255&gt;1,N(O255)*(N255-1),0)</f>
        <v/>
      </c>
      <c r="S255">
        <f>IFERROR(L255*MAX(N255,1)/R255*IF(ISBLANK(K253),1,K253),0)</f>
        <v/>
      </c>
      <c r="AB255" s="7" t="inlineStr">
        <is>
          <t>^Warhead_Concussion_Medium, ^Warhead_MissileHE_Heavy</t>
        </is>
      </c>
    </row>
    <row r="256">
      <c r="A256" t="inlineStr">
        <is>
          <t>tiberiansun</t>
        </is>
      </c>
      <c r="B256" t="inlineStr">
        <is>
          <t>cabal_hunterkillermk1</t>
        </is>
      </c>
      <c r="C256" t="inlineStr">
        <is>
          <t>Hunter Killer</t>
        </is>
      </c>
      <c r="D256" s="6" t="inlineStr">
        <is>
          <t>Helicopter</t>
        </is>
      </c>
      <c r="E256" s="6" t="n">
        <v>35000</v>
      </c>
      <c r="F256" s="6" t="n">
        <v>160</v>
      </c>
      <c r="G256" t="inlineStr">
        <is>
          <t>Helicopter</t>
        </is>
      </c>
      <c r="H256" s="6" t="n">
        <v>1</v>
      </c>
      <c r="I256" s="6" t="n">
        <v>1</v>
      </c>
      <c r="J256" s="6" t="n">
        <v>1</v>
      </c>
      <c r="K256" s="6" t="n"/>
      <c r="P256">
        <f>MAX(P257,P258)</f>
        <v/>
      </c>
      <c r="S256">
        <f>S257+S258</f>
        <v/>
      </c>
      <c r="T256">
        <f>(E256/100000+F256/100+(P256/1000)*J256/5+S256/200)*200*I256*H256</f>
        <v/>
      </c>
      <c r="U256">
        <f>((E256*F256/25000)+((P256/1000)*J256*S256/2.5))*I256*H256</f>
        <v/>
      </c>
      <c r="V256">
        <f>(E256*F256*(P256/1000)*J256*S256*I256*H256)/12500000</f>
        <v/>
      </c>
      <c r="W256">
        <f>(T256+U256+V256)/3</f>
        <v/>
      </c>
      <c r="X256" s="6" t="n">
        <v>1500</v>
      </c>
      <c r="Y256">
        <f>IFERROR(W256-X256,"")</f>
        <v/>
      </c>
      <c r="Z256">
        <f>IFERROR(ABS(Y256)/MAX(X256,1),"")</f>
        <v/>
      </c>
      <c r="AA256">
        <f>IFERROR((X256-(((E256/100000+F256/100+S256/200)*200*I256*H256)+((E256*F256/25000)*I256*H256))/3)/(((J256/5)*200*I256*H256)+((J256*S256/2.5)*I256*H256)+((E256*F256*J256*S256*I256*H256)/12500000))/3*1000,"")</f>
        <v/>
      </c>
    </row>
    <row r="257">
      <c r="B257" s="7" t="inlineStr">
        <is>
          <t xml:space="preserve">  ↳ CabalHunterKillerLasers</t>
        </is>
      </c>
      <c r="C257" s="7" t="inlineStr">
        <is>
          <t>Armament@PRIMARY</t>
        </is>
      </c>
      <c r="L257" s="6" t="n">
        <v>16000</v>
      </c>
      <c r="M257" s="6" t="n">
        <v>24</v>
      </c>
      <c r="N257" s="6" t="n">
        <v>1</v>
      </c>
      <c r="O257" s="6" t="n"/>
      <c r="P257" s="6" t="n">
        <v>5318</v>
      </c>
      <c r="Q257" s="6" t="n">
        <v>1</v>
      </c>
      <c r="R257">
        <f>M257+IF(N257&gt;1,N(O257)*(N257-1),0)</f>
        <v/>
      </c>
      <c r="S257">
        <f>IFERROR(L257*MAX(N257,1)/R257*IF(ISBLANK(K256),1,K256),0)</f>
        <v/>
      </c>
      <c r="AB257" s="7" t="inlineStr">
        <is>
          <t>^LaserWeapon, ^MediumMissile</t>
        </is>
      </c>
    </row>
    <row r="258">
      <c r="B258" s="7" t="inlineStr">
        <is>
          <t xml:space="preserve">  ↳ TSHellfireTwin</t>
        </is>
      </c>
      <c r="C258" s="7" t="inlineStr">
        <is>
          <t>Armament@ROCKETS</t>
        </is>
      </c>
      <c r="L258" s="6" t="n">
        <v>24000</v>
      </c>
      <c r="M258" s="6" t="n">
        <v>32</v>
      </c>
      <c r="N258" s="6" t="n">
        <v>2</v>
      </c>
      <c r="O258" s="6" t="n">
        <v>8</v>
      </c>
      <c r="P258" s="6" t="n">
        <v>5740</v>
      </c>
      <c r="Q258" s="6" t="n">
        <v>1</v>
      </c>
      <c r="R258">
        <f>M258+IF(N258&gt;1,N(O258)*(N258-1),0)</f>
        <v/>
      </c>
      <c r="S258">
        <f>IFERROR(L258*MAX(N258,1)/R258*IF(ISBLANK(K256),1,K256),0)</f>
        <v/>
      </c>
      <c r="AB258" s="7" t="inlineStr">
        <is>
          <t>^HeavyCannon, ^TankDestroyerCannon, ^ShrapnelWeapon, ^Grenade, ^HeavyMissile, ^MediumMissile</t>
        </is>
      </c>
    </row>
    <row r="259">
      <c r="A259" t="inlineStr">
        <is>
          <t>tiberiansun</t>
        </is>
      </c>
      <c r="B259" t="inlineStr">
        <is>
          <t>cabal_hunterkillermk1_elite</t>
        </is>
      </c>
      <c r="C259" t="inlineStr">
        <is>
          <t>Super Hunter Killer</t>
        </is>
      </c>
      <c r="D259" s="6" t="inlineStr">
        <is>
          <t>Helicopter</t>
        </is>
      </c>
      <c r="E259" s="6" t="n">
        <v>40000</v>
      </c>
      <c r="F259" s="6" t="n">
        <v>170</v>
      </c>
      <c r="G259" t="inlineStr">
        <is>
          <t>Helicopter</t>
        </is>
      </c>
      <c r="H259" s="6" t="n">
        <v>1</v>
      </c>
      <c r="I259" s="6" t="n">
        <v>1</v>
      </c>
      <c r="J259" s="6" t="n">
        <v>1</v>
      </c>
      <c r="K259" s="6" t="n"/>
      <c r="P259">
        <f>MAX(P260,P261)</f>
        <v/>
      </c>
      <c r="S259">
        <f>S260+S261</f>
        <v/>
      </c>
      <c r="T259">
        <f>(E259/100000+F259/100+(P259/1000)*J259/5+S259/200)*200*I259*H259</f>
        <v/>
      </c>
      <c r="U259">
        <f>((E259*F259/25000)+((P259/1000)*J259*S259/2.5))*I259*H259</f>
        <v/>
      </c>
      <c r="V259">
        <f>(E259*F259*(P259/1000)*J259*S259*I259*H259)/12500000</f>
        <v/>
      </c>
      <c r="W259">
        <f>(T259+U259+V259)/3</f>
        <v/>
      </c>
      <c r="X259" s="6" t="n">
        <v>3000</v>
      </c>
      <c r="Y259">
        <f>IFERROR(W259-X259,"")</f>
        <v/>
      </c>
      <c r="Z259">
        <f>IFERROR(ABS(Y259)/MAX(X259,1),"")</f>
        <v/>
      </c>
      <c r="AA259">
        <f>IFERROR((X259-(((E259/100000+F259/100+S259/200)*200*I259*H259)+((E259*F259/25000)*I259*H259))/3)/(((J259/5)*200*I259*H259)+((J259*S259/2.5)*I259*H259)+((E259*F259*J259*S259*I259*H259)/12500000))/3*1000,"")</f>
        <v/>
      </c>
    </row>
    <row r="260">
      <c r="B260" s="7" t="inlineStr">
        <is>
          <t xml:space="preserve">  ↳ CabalHunterKillerLasers_elite</t>
        </is>
      </c>
      <c r="C260" s="7" t="inlineStr">
        <is>
          <t>Armament@PRIMARY</t>
        </is>
      </c>
      <c r="L260" s="6" t="n">
        <v>30000</v>
      </c>
      <c r="M260" s="6" t="n">
        <v>20</v>
      </c>
      <c r="N260" s="6" t="n">
        <v>1</v>
      </c>
      <c r="O260" s="6" t="n"/>
      <c r="P260" s="6" t="n">
        <v>6000</v>
      </c>
      <c r="Q260" s="6" t="n">
        <v>1</v>
      </c>
      <c r="R260">
        <f>M260+IF(N260&gt;1,N(O260)*(N260-1),0)</f>
        <v/>
      </c>
      <c r="S260">
        <f>IFERROR(L260*MAX(N260,1)/R260*IF(ISBLANK(K259),1,K259),0)</f>
        <v/>
      </c>
      <c r="AB260" s="7" t="inlineStr">
        <is>
          <t>^LaserWeapon, ^RailgunWeapon, ^HeavyMissile</t>
        </is>
      </c>
    </row>
    <row r="261">
      <c r="B261" s="7" t="inlineStr">
        <is>
          <t xml:space="preserve">  ↳ TSHellfireTwin</t>
        </is>
      </c>
      <c r="C261" s="7" t="inlineStr">
        <is>
          <t>Armament@ROCKETS</t>
        </is>
      </c>
      <c r="L261" s="6" t="n">
        <v>24000</v>
      </c>
      <c r="M261" s="6" t="n">
        <v>32</v>
      </c>
      <c r="N261" s="6" t="n">
        <v>2</v>
      </c>
      <c r="O261" s="6" t="n">
        <v>8</v>
      </c>
      <c r="P261" s="6" t="n">
        <v>5740</v>
      </c>
      <c r="Q261" s="6" t="n">
        <v>1</v>
      </c>
      <c r="R261">
        <f>M261+IF(N261&gt;1,N(O261)*(N261-1),0)</f>
        <v/>
      </c>
      <c r="S261">
        <f>IFERROR(L261*MAX(N261,1)/R261*IF(ISBLANK(K259),1,K259),0)</f>
        <v/>
      </c>
      <c r="AB261" s="7" t="inlineStr">
        <is>
          <t>^HeavyCannon, ^TankDestroyerCannon, ^ShrapnelWeapon, ^Grenade, ^HeavyMissile, ^MediumMissile</t>
        </is>
      </c>
    </row>
    <row r="262">
      <c r="A262" t="inlineStr">
        <is>
          <t>tiberiansun</t>
        </is>
      </c>
      <c r="B262" t="inlineStr">
        <is>
          <t>cabal_overkillgunship</t>
        </is>
      </c>
      <c r="C262" t="inlineStr">
        <is>
          <t>Overkill Gunship</t>
        </is>
      </c>
      <c r="D262" s="6" t="inlineStr">
        <is>
          <t>Helicopter</t>
        </is>
      </c>
      <c r="E262" s="6" t="n">
        <v>45000</v>
      </c>
      <c r="F262" s="6" t="n">
        <v>150</v>
      </c>
      <c r="G262" t="inlineStr">
        <is>
          <t>Helicopter</t>
        </is>
      </c>
      <c r="H262" s="6" t="n">
        <v>0.782</v>
      </c>
      <c r="I262" s="6" t="n">
        <v>1</v>
      </c>
      <c r="J262" s="6" t="n">
        <v>1</v>
      </c>
      <c r="K262" s="6" t="n"/>
      <c r="P262">
        <f>MAX(P263,P264)</f>
        <v/>
      </c>
      <c r="S262">
        <f>S263+S264</f>
        <v/>
      </c>
      <c r="T262">
        <f>(E262/100000+F262/100+(P262/1000)*J262/5+S262/200)*200*I262*H262</f>
        <v/>
      </c>
      <c r="U262">
        <f>((E262*F262/25000)+((P262/1000)*J262*S262/2.5))*I262*H262</f>
        <v/>
      </c>
      <c r="V262">
        <f>(E262*F262*(P262/1000)*J262*S262*I262*H262)/12500000</f>
        <v/>
      </c>
      <c r="W262">
        <f>(T262+U262+V262)/3</f>
        <v/>
      </c>
      <c r="X262" s="6" t="n">
        <v>1000</v>
      </c>
      <c r="Y262">
        <f>IFERROR(W262-X262,"")</f>
        <v/>
      </c>
      <c r="Z262">
        <f>IFERROR(ABS(Y262)/MAX(X262,1),"")</f>
        <v/>
      </c>
      <c r="AA262">
        <f>IFERROR((X262-(((E262/100000+F262/100+S262/200)*200*I262*H262)+((E262*F262/25000)*I262*H262))/3)/(((J262/5)*200*I262*H262)+((J262*S262/2.5)*I262*H262)+((E262*F262*J262*S262*I262*H262)/12500000))/3*1000,"")</f>
        <v/>
      </c>
    </row>
    <row r="263">
      <c r="B263" s="7" t="inlineStr">
        <is>
          <t xml:space="preserve">  ↳ CabalOverkillGunshipLaser</t>
        </is>
      </c>
      <c r="C263" s="7" t="inlineStr">
        <is>
          <t>Armament@LEFT</t>
        </is>
      </c>
      <c r="L263" s="6" t="n">
        <v>12500</v>
      </c>
      <c r="M263" s="6" t="n">
        <v>40</v>
      </c>
      <c r="N263" s="6" t="n">
        <v>1</v>
      </c>
      <c r="O263" s="6" t="n"/>
      <c r="P263" s="6" t="n">
        <v>6000</v>
      </c>
      <c r="Q263" s="6" t="n">
        <v>1.25</v>
      </c>
      <c r="R263">
        <f>M263+IF(N263&gt;1,N(O263)*(N263-1),0)</f>
        <v/>
      </c>
      <c r="S263">
        <f>IFERROR(L263*MAX(N263,1)/R263*IF(ISBLANK(K262),1,K262),0)</f>
        <v/>
      </c>
      <c r="AB263" s="7" t="inlineStr">
        <is>
          <t>^Warhead_Laser_Heavy</t>
        </is>
      </c>
    </row>
    <row r="264">
      <c r="B264" s="7" t="inlineStr">
        <is>
          <t xml:space="preserve">  ↳ CabalOverkillGunshipLaser</t>
        </is>
      </c>
      <c r="C264" s="7" t="inlineStr">
        <is>
          <t>Armament@RIGHT</t>
        </is>
      </c>
      <c r="L264" s="6" t="n">
        <v>12500</v>
      </c>
      <c r="M264" s="6" t="n">
        <v>40</v>
      </c>
      <c r="N264" s="6" t="n">
        <v>1</v>
      </c>
      <c r="O264" s="6" t="n"/>
      <c r="P264" s="6" t="n">
        <v>6000</v>
      </c>
      <c r="Q264" s="6" t="n">
        <v>1.25</v>
      </c>
      <c r="R264">
        <f>M264+IF(N264&gt;1,N(O264)*(N264-1),0)</f>
        <v/>
      </c>
      <c r="S264">
        <f>IFERROR(L264*MAX(N264,1)/R264*IF(ISBLANK(K262),1,K262),0)</f>
        <v/>
      </c>
      <c r="AB264" s="7" t="inlineStr">
        <is>
          <t>^Warhead_Laser_Heavy</t>
        </is>
      </c>
    </row>
    <row r="265">
      <c r="A265" t="inlineStr">
        <is>
          <t>tiberiansun</t>
        </is>
      </c>
      <c r="B265" t="inlineStr">
        <is>
          <t>cabal_repairdrone</t>
        </is>
      </c>
      <c r="C265" t="inlineStr">
        <is>
          <t>Repair Drone</t>
        </is>
      </c>
      <c r="D265" s="6" t="inlineStr">
        <is>
          <t>Helicopter</t>
        </is>
      </c>
      <c r="E265" s="6" t="n">
        <v>25000</v>
      </c>
      <c r="F265" s="6" t="n">
        <v>140</v>
      </c>
      <c r="G265" t="inlineStr">
        <is>
          <t>Helicopter</t>
        </is>
      </c>
      <c r="H265" s="6" t="n">
        <v>1</v>
      </c>
      <c r="I265" s="6" t="n">
        <v>1</v>
      </c>
      <c r="J265" s="6" t="n">
        <v>1</v>
      </c>
      <c r="K265" s="6" t="n"/>
      <c r="P265">
        <f>MAX(P266)</f>
        <v/>
      </c>
      <c r="S265">
        <f>S266</f>
        <v/>
      </c>
      <c r="T265">
        <f>(E265/100000+F265/100+(P265/1000)*J265/5+S265/200)*200*I265*H265</f>
        <v/>
      </c>
      <c r="U265">
        <f>((E265*F265/25000)+((P265/1000)*J265*S265/2.5))*I265*H265</f>
        <v/>
      </c>
      <c r="V265">
        <f>(E265*F265*(P265/1000)*J265*S265*I265*H265)/12500000</f>
        <v/>
      </c>
      <c r="W265">
        <f>(T265+U265+V265)/3</f>
        <v/>
      </c>
      <c r="X265" s="6" t="n">
        <v>1000</v>
      </c>
      <c r="Y265">
        <f>IFERROR(W265-X265,"")</f>
        <v/>
      </c>
      <c r="Z265">
        <f>IFERROR(ABS(Y265)/MAX(X265,1),"")</f>
        <v/>
      </c>
      <c r="AA265">
        <f>IFERROR((X265-(((E265/100000+F265/100+S265/200)*200*I265*H265)+((E265*F265/25000)*I265*H265))/3)/(((J265/5)*200*I265*H265)+((J265*S265/2.5)*I265*H265)+((E265*F265*J265*S265*I265*H265)/12500000))/3*1000,"")</f>
        <v/>
      </c>
    </row>
    <row r="266">
      <c r="B266" s="7" t="inlineStr">
        <is>
          <t xml:space="preserve">  ↳ CabalEngineerRepairBeam</t>
        </is>
      </c>
      <c r="C266" s="7" t="inlineStr">
        <is>
          <t>Armament@PRIMARY</t>
        </is>
      </c>
      <c r="L266" s="6" t="n">
        <v>-2600</v>
      </c>
      <c r="M266" s="6" t="n">
        <v>31</v>
      </c>
      <c r="N266" s="6" t="n">
        <v>10</v>
      </c>
      <c r="O266" s="6" t="n">
        <v>1</v>
      </c>
      <c r="P266" s="6" t="n">
        <v>6128</v>
      </c>
      <c r="Q266" s="6" t="n">
        <v>1</v>
      </c>
      <c r="R266">
        <f>M266+IF(N266&gt;1,N(O266)*(N266-1),0)</f>
        <v/>
      </c>
      <c r="S266">
        <f>IFERROR(L266*MAX(N266,1)/R266*IF(ISBLANK(K265),1,K265),0)</f>
        <v/>
      </c>
      <c r="AB266" s="7" t="inlineStr">
        <is>
          <t>^RepairWeapon</t>
        </is>
      </c>
    </row>
    <row r="267">
      <c r="A267" t="inlineStr">
        <is>
          <t>tiberiansun</t>
        </is>
      </c>
      <c r="B267" t="inlineStr">
        <is>
          <t>ts_nod_harpy</t>
        </is>
      </c>
      <c r="C267" t="inlineStr">
        <is>
          <t>Harpy</t>
        </is>
      </c>
      <c r="D267" s="6" t="inlineStr">
        <is>
          <t>Helicopter</t>
        </is>
      </c>
      <c r="E267" s="6" t="n">
        <v>50000</v>
      </c>
      <c r="F267" s="6" t="n">
        <v>140</v>
      </c>
      <c r="G267" t="inlineStr">
        <is>
          <t>Helicopter</t>
        </is>
      </c>
      <c r="H267" s="6" t="n">
        <v>1</v>
      </c>
      <c r="I267" s="6" t="n">
        <v>1</v>
      </c>
      <c r="J267" s="6" t="n">
        <v>1</v>
      </c>
      <c r="K267" s="6" t="n"/>
      <c r="P267">
        <f>MAX(P268,P269,P270,P271,P272,P273)</f>
        <v/>
      </c>
      <c r="S267">
        <f>S268+S269+S270+S271+S272+S273</f>
        <v/>
      </c>
      <c r="T267">
        <f>(E267/100000+F267/100+(P267/1000)*J267/5+S267/200)*200*I267*H267</f>
        <v/>
      </c>
      <c r="U267">
        <f>((E267*F267/25000)+((P267/1000)*J267*S267/2.5))*I267*H267</f>
        <v/>
      </c>
      <c r="V267">
        <f>(E267*F267*(P267/1000)*J267*S267*I267*H267)/12500000</f>
        <v/>
      </c>
      <c r="W267">
        <f>(T267+U267+V267)/3</f>
        <v/>
      </c>
      <c r="X267" s="6" t="n">
        <v>1800</v>
      </c>
      <c r="Y267">
        <f>IFERROR(W267-X267,"")</f>
        <v/>
      </c>
      <c r="Z267">
        <f>IFERROR(ABS(Y267)/MAX(X267,1),"")</f>
        <v/>
      </c>
      <c r="AA267">
        <f>IFERROR((X267-(((E267/100000+F267/100+S267/200)*200*I267*H267)+((E267*F267/25000)*I267*H267))/3)/(((J267/5)*200*I267*H267)+((J267*S267/2.5)*I267*H267)+((E267*F267*J267*S267*I267*H267)/12500000))/3*1000,"")</f>
        <v/>
      </c>
    </row>
    <row r="268">
      <c r="B268" s="7" t="inlineStr">
        <is>
          <t xml:space="preserve">  ↳ TSHarpyClaw</t>
        </is>
      </c>
      <c r="C268" s="7" t="inlineStr">
        <is>
          <t>Armament@PRIMARY</t>
        </is>
      </c>
      <c r="L268" s="6" t="n">
        <v>4000</v>
      </c>
      <c r="M268" s="6" t="n">
        <v>24</v>
      </c>
      <c r="N268" s="6" t="n">
        <v>5</v>
      </c>
      <c r="O268" s="6" t="n">
        <v>0</v>
      </c>
      <c r="P268" s="6" t="n">
        <v>4882</v>
      </c>
      <c r="Q268" s="6" t="n">
        <v>1</v>
      </c>
      <c r="R268">
        <f>M268+IF(N268&gt;1,N(O268)*(N268-1),0)</f>
        <v/>
      </c>
      <c r="S268">
        <f>IFERROR(L268*MAX(N268,1)/R268*IF(ISBLANK(K267),1,K267),0)</f>
        <v/>
      </c>
      <c r="AB268" s="7" t="inlineStr">
        <is>
          <t>^Warhead_Bullet_Medium</t>
        </is>
      </c>
    </row>
    <row r="269">
      <c r="B269" s="7" t="inlineStr">
        <is>
          <t xml:space="preserve">  ↳ TSHarpyMultiClaw</t>
        </is>
      </c>
      <c r="C269" s="7" t="inlineStr">
        <is>
          <t>Armament@SECONDARY</t>
        </is>
      </c>
      <c r="L269" s="6" t="n">
        <v>0</v>
      </c>
      <c r="M269" s="6" t="n">
        <v>24</v>
      </c>
      <c r="N269" s="6" t="n">
        <v>4</v>
      </c>
      <c r="O269" s="6" t="n">
        <v>0</v>
      </c>
      <c r="P269" s="6" t="n">
        <v>4882</v>
      </c>
      <c r="Q269" s="6" t="n">
        <v>1</v>
      </c>
      <c r="R269">
        <f>M269+IF(N269&gt;1,N(O269)*(N269-1),0)</f>
        <v/>
      </c>
      <c r="S269">
        <f>IFERROR(L269*MAX(N269,1)/R269*IF(ISBLANK(K267),1,K267),0)</f>
        <v/>
      </c>
      <c r="AB269" s="7" t="inlineStr">
        <is>
          <t>^Warhead_Bullet_Medium</t>
        </is>
      </c>
    </row>
    <row r="270">
      <c r="B270" s="7" t="inlineStr">
        <is>
          <t xml:space="preserve">  ↳ TSHarpyAOEClaw</t>
        </is>
      </c>
      <c r="C270" s="7" t="inlineStr">
        <is>
          <t>Armament@PRIMARYAOE</t>
        </is>
      </c>
      <c r="L270" s="6" t="n">
        <v>4000</v>
      </c>
      <c r="M270" s="6" t="n">
        <v>24</v>
      </c>
      <c r="N270" s="6" t="n">
        <v>5</v>
      </c>
      <c r="O270" s="6" t="n">
        <v>0</v>
      </c>
      <c r="P270" s="6" t="n">
        <v>4882</v>
      </c>
      <c r="Q270" s="6" t="n">
        <v>1</v>
      </c>
      <c r="R270">
        <f>M270+IF(N270&gt;1,N(O270)*(N270-1),0)</f>
        <v/>
      </c>
      <c r="S270">
        <f>IFERROR(L270*MAX(N270,1)/R270*IF(ISBLANK(K267),1,K267),0)</f>
        <v/>
      </c>
      <c r="AB270" s="7" t="inlineStr">
        <is>
          <t>^Warhead_Bullet_Medium</t>
        </is>
      </c>
    </row>
    <row r="271">
      <c r="B271" s="7" t="inlineStr">
        <is>
          <t xml:space="preserve">  ↳ TSLaserHarpyClaw</t>
        </is>
      </c>
      <c r="C271" s="7" t="inlineStr">
        <is>
          <t>Armament@UPGRADE</t>
        </is>
      </c>
      <c r="L271" s="6" t="n">
        <v>8000</v>
      </c>
      <c r="M271" s="6" t="n">
        <v>25</v>
      </c>
      <c r="N271" s="6" t="n">
        <v>4</v>
      </c>
      <c r="O271" s="6" t="n">
        <v>0</v>
      </c>
      <c r="P271" s="6" t="n">
        <v>4969</v>
      </c>
      <c r="Q271" s="6" t="n">
        <v>1.125</v>
      </c>
      <c r="R271">
        <f>M271+IF(N271&gt;1,N(O271)*(N271-1),0)</f>
        <v/>
      </c>
      <c r="S271">
        <f>IFERROR(L271*MAX(N271,1)/R271*IF(ISBLANK(K267),1,K267),0)</f>
        <v/>
      </c>
      <c r="AB271" s="7" t="inlineStr">
        <is>
          <t>^Warhead_Bullet_Medium, ^Warhead_Laser_Heavy</t>
        </is>
      </c>
    </row>
    <row r="272">
      <c r="B272" s="7" t="inlineStr">
        <is>
          <t xml:space="preserve">  ↳ TSLaserHarpyMultiClaw</t>
        </is>
      </c>
      <c r="C272" s="7" t="inlineStr">
        <is>
          <t>Armament@SECONDARYUPGRADE</t>
        </is>
      </c>
      <c r="L272" s="6" t="n">
        <v>4000</v>
      </c>
      <c r="M272" s="6" t="n">
        <v>25</v>
      </c>
      <c r="N272" s="6" t="n">
        <v>4</v>
      </c>
      <c r="O272" s="6" t="n">
        <v>0</v>
      </c>
      <c r="P272" s="6" t="n">
        <v>4969</v>
      </c>
      <c r="Q272" s="6" t="n">
        <v>1.125</v>
      </c>
      <c r="R272">
        <f>M272+IF(N272&gt;1,N(O272)*(N272-1),0)</f>
        <v/>
      </c>
      <c r="S272">
        <f>IFERROR(L272*MAX(N272,1)/R272*IF(ISBLANK(K267),1,K267),0)</f>
        <v/>
      </c>
      <c r="AB272" s="7" t="inlineStr">
        <is>
          <t>^Warhead_Bullet_Medium, ^Warhead_Laser_Heavy</t>
        </is>
      </c>
    </row>
    <row r="273">
      <c r="B273" s="7" t="inlineStr">
        <is>
          <t xml:space="preserve">  ↳ TSLaserHarpyAOEClaw</t>
        </is>
      </c>
      <c r="C273" s="7" t="inlineStr">
        <is>
          <t>Armament@UPGRADEAOE</t>
        </is>
      </c>
      <c r="L273" s="6" t="n">
        <v>8000</v>
      </c>
      <c r="M273" s="6" t="n">
        <v>25</v>
      </c>
      <c r="N273" s="6" t="n">
        <v>4</v>
      </c>
      <c r="O273" s="6" t="n">
        <v>0</v>
      </c>
      <c r="P273" s="6" t="n">
        <v>4969</v>
      </c>
      <c r="Q273" s="6" t="n">
        <v>1.125</v>
      </c>
      <c r="R273">
        <f>M273+IF(N273&gt;1,N(O273)*(N273-1),0)</f>
        <v/>
      </c>
      <c r="S273">
        <f>IFERROR(L273*MAX(N273,1)/R273*IF(ISBLANK(K267),1,K267),0)</f>
        <v/>
      </c>
      <c r="AB273" s="7" t="inlineStr">
        <is>
          <t>^Warhead_Bullet_Medium, ^Warhead_Laser_Heavy</t>
        </is>
      </c>
    </row>
    <row r="274">
      <c r="A274" t="inlineStr">
        <is>
          <t>tiberiansun</t>
        </is>
      </c>
      <c r="B274" t="inlineStr">
        <is>
          <t>ts_gdi_hammerhead</t>
        </is>
      </c>
      <c r="C274" t="inlineStr">
        <is>
          <t>Hammerhead</t>
        </is>
      </c>
      <c r="D274" s="6" t="inlineStr">
        <is>
          <t>Helicopter</t>
        </is>
      </c>
      <c r="E274" s="6" t="n">
        <v>80000</v>
      </c>
      <c r="F274" s="6" t="n">
        <v>140</v>
      </c>
      <c r="G274" t="inlineStr">
        <is>
          <t>Helicopter</t>
        </is>
      </c>
      <c r="H274" s="6" t="n">
        <v>1</v>
      </c>
      <c r="I274" s="6" t="n">
        <v>1</v>
      </c>
      <c r="J274" s="6" t="n">
        <v>1</v>
      </c>
      <c r="K274" s="6" t="n"/>
      <c r="P274">
        <f>MAX(P275)</f>
        <v/>
      </c>
      <c r="S274">
        <f>S275</f>
        <v/>
      </c>
      <c r="T274">
        <f>(E274/100000+F274/100+(P274/1000)*J274/5+S274/200)*200*I274*H274</f>
        <v/>
      </c>
      <c r="U274">
        <f>((E274*F274/25000)+((P274/1000)*J274*S274/2.5))*I274*H274</f>
        <v/>
      </c>
      <c r="V274">
        <f>(E274*F274*(P274/1000)*J274*S274*I274*H274)/12500000</f>
        <v/>
      </c>
      <c r="W274">
        <f>(T274+U274+V274)/3</f>
        <v/>
      </c>
      <c r="X274" s="6" t="n">
        <v>2400</v>
      </c>
      <c r="Y274">
        <f>IFERROR(W274-X274,"")</f>
        <v/>
      </c>
      <c r="Z274">
        <f>IFERROR(ABS(Y274)/MAX(X274,1),"")</f>
        <v/>
      </c>
      <c r="AA274">
        <f>IFERROR((X274-(((E274/100000+F274/100+S274/200)*200*I274*H274)+((E274*F274/25000)*I274*H274))/3)/(((J274/5)*200*I274*H274)+((J274*S274/2.5)*I274*H274)+((E274*F274*J274*S274*I274*H274)/12500000))/3*1000,"")</f>
        <v/>
      </c>
    </row>
    <row r="275">
      <c r="B275" s="7" t="inlineStr">
        <is>
          <t xml:space="preserve">  ↳ TSHammerheadGun</t>
        </is>
      </c>
      <c r="C275" s="7" t="inlineStr">
        <is>
          <t>Armament@PRIMARY</t>
        </is>
      </c>
      <c r="L275" s="6" t="n">
        <v>4000</v>
      </c>
      <c r="M275" s="6" t="n">
        <v>6</v>
      </c>
      <c r="N275" s="6" t="n">
        <v>1</v>
      </c>
      <c r="O275" s="6" t="n"/>
      <c r="P275" s="6" t="n">
        <v>5451</v>
      </c>
      <c r="Q275" s="6" t="n">
        <v>1</v>
      </c>
      <c r="R275">
        <f>M275+IF(N275&gt;1,N(O275)*(N275-1),0)</f>
        <v/>
      </c>
      <c r="S275">
        <f>IFERROR(L275*MAX(N275,1)/R275*IF(ISBLANK(K274),1,K274),0)</f>
        <v/>
      </c>
      <c r="AB275" s="7" t="inlineStr">
        <is>
          <t>^Warhead_Bullet_Medium</t>
        </is>
      </c>
    </row>
    <row r="276">
      <c r="A276" t="inlineStr">
        <is>
          <t>tiberiansun</t>
        </is>
      </c>
      <c r="B276" t="inlineStr">
        <is>
          <t>ts_gdi_orcafighter</t>
        </is>
      </c>
      <c r="C276" t="inlineStr">
        <is>
          <t>Orca Fighter</t>
        </is>
      </c>
      <c r="D276" s="6" t="inlineStr">
        <is>
          <t>Helicopter</t>
        </is>
      </c>
      <c r="E276" s="6" t="n">
        <v>62500</v>
      </c>
      <c r="F276" s="6" t="n">
        <v>145</v>
      </c>
      <c r="G276" t="inlineStr">
        <is>
          <t>Helicopter</t>
        </is>
      </c>
      <c r="H276" s="6" t="n">
        <v>1</v>
      </c>
      <c r="I276" s="6" t="n">
        <v>1</v>
      </c>
      <c r="J276" s="6" t="n">
        <v>1</v>
      </c>
      <c r="K276" s="6" t="n"/>
      <c r="P276">
        <f>MAX(P277,P278)</f>
        <v/>
      </c>
      <c r="S276">
        <f>S277+S278</f>
        <v/>
      </c>
      <c r="T276">
        <f>(E276/100000+F276/100+(P276/1000)*J276/5+S276/200)*200*I276*H276</f>
        <v/>
      </c>
      <c r="U276">
        <f>((E276*F276/25000)+((P276/1000)*J276*S276/2.5))*I276*H276</f>
        <v/>
      </c>
      <c r="V276">
        <f>(E276*F276*(P276/1000)*J276*S276*I276*H276)/12500000</f>
        <v/>
      </c>
      <c r="W276">
        <f>(T276+U276+V276)/3</f>
        <v/>
      </c>
      <c r="X276" s="6" t="n">
        <v>2200</v>
      </c>
      <c r="Y276">
        <f>IFERROR(W276-X276,"")</f>
        <v/>
      </c>
      <c r="Z276">
        <f>IFERROR(ABS(Y276)/MAX(X276,1),"")</f>
        <v/>
      </c>
      <c r="AA276">
        <f>IFERROR((X276-(((E276/100000+F276/100+S276/200)*200*I276*H276)+((E276*F276/25000)*I276*H276))/3)/(((J276/5)*200*I276*H276)+((J276*S276/2.5)*I276*H276)+((E276*F276*J276*S276*I276*H276)/12500000))/3*1000,"")</f>
        <v/>
      </c>
    </row>
    <row r="277">
      <c r="B277" s="7" t="inlineStr">
        <is>
          <t xml:space="preserve">  ↳ TSHellfire</t>
        </is>
      </c>
      <c r="C277" s="7" t="inlineStr">
        <is>
          <t>Armament@PRIMARY</t>
        </is>
      </c>
      <c r="L277" s="6" t="n">
        <v>24000</v>
      </c>
      <c r="M277" s="6" t="n">
        <v>32</v>
      </c>
      <c r="N277" s="6" t="n">
        <v>1</v>
      </c>
      <c r="O277" s="6" t="n"/>
      <c r="P277" s="6" t="n">
        <v>5740</v>
      </c>
      <c r="Q277" s="6" t="n">
        <v>1.25</v>
      </c>
      <c r="R277">
        <f>M277+IF(N277&gt;1,N(O277)*(N277-1),0)</f>
        <v/>
      </c>
      <c r="S277">
        <f>IFERROR(L277*MAX(N277,1)/R277*IF(ISBLANK(K276),1,K276),0)</f>
        <v/>
      </c>
      <c r="AB277" s="7" t="inlineStr">
        <is>
          <t>^Warhead_CannonHE_Heavy</t>
        </is>
      </c>
    </row>
    <row r="278">
      <c r="B278" s="7" t="inlineStr">
        <is>
          <t xml:space="preserve">  ↳ TSHellfireSonic</t>
        </is>
      </c>
      <c r="C278" s="7" t="inlineStr">
        <is>
          <t>Armament@Upgrade</t>
        </is>
      </c>
      <c r="L278" s="6" t="n">
        <v>8000</v>
      </c>
      <c r="M278" s="6" t="n">
        <v>60</v>
      </c>
      <c r="N278" s="6" t="n">
        <v>1</v>
      </c>
      <c r="O278" s="6" t="n"/>
      <c r="P278" s="6" t="n">
        <v>6144</v>
      </c>
      <c r="Q278" s="6" t="n">
        <v>1</v>
      </c>
      <c r="R278">
        <f>M278+IF(N278&gt;1,N(O278)*(N278-1),0)</f>
        <v/>
      </c>
      <c r="S278">
        <f>IFERROR(L278*MAX(N278,1)/R278*IF(ISBLANK(K276),1,K276),0)</f>
        <v/>
      </c>
      <c r="AB278" s="7" t="inlineStr">
        <is>
          <t>^Warhead_Sonic_Medium</t>
        </is>
      </c>
    </row>
    <row r="279">
      <c r="A279" t="inlineStr">
        <is>
          <t>tiberiansun</t>
        </is>
      </c>
      <c r="B279" t="inlineStr">
        <is>
          <t>ts_gdi_zoneorcafighter</t>
        </is>
      </c>
      <c r="C279" t="inlineStr">
        <is>
          <t>Zone Orca Fighter</t>
        </is>
      </c>
      <c r="D279" s="6" t="inlineStr">
        <is>
          <t>Helicopter</t>
        </is>
      </c>
      <c r="E279" s="6" t="n">
        <v>70000</v>
      </c>
      <c r="F279" s="6" t="n">
        <v>165</v>
      </c>
      <c r="G279" t="inlineStr">
        <is>
          <t>Helicopter</t>
        </is>
      </c>
      <c r="H279" s="6" t="n">
        <v>1</v>
      </c>
      <c r="I279" s="6" t="n">
        <v>1</v>
      </c>
      <c r="J279" s="6" t="n">
        <v>1</v>
      </c>
      <c r="K279" s="6" t="n"/>
      <c r="P279">
        <f>MAX(P280,P281)</f>
        <v/>
      </c>
      <c r="S279">
        <f>S280+S281</f>
        <v/>
      </c>
      <c r="T279">
        <f>(E279/100000+F279/100+(P279/1000)*J279/5+S279/200)*200*I279*H279</f>
        <v/>
      </c>
      <c r="U279">
        <f>((E279*F279/25000)+((P279/1000)*J279*S279/2.5))*I279*H279</f>
        <v/>
      </c>
      <c r="V279">
        <f>(E279*F279*(P279/1000)*J279*S279*I279*H279)/12500000</f>
        <v/>
      </c>
      <c r="W279">
        <f>(T279+U279+V279)/3</f>
        <v/>
      </c>
      <c r="X279" s="6" t="n">
        <v>3000</v>
      </c>
      <c r="Y279">
        <f>IFERROR(W279-X279,"")</f>
        <v/>
      </c>
      <c r="Z279">
        <f>IFERROR(ABS(Y279)/MAX(X279,1),"")</f>
        <v/>
      </c>
      <c r="AA279">
        <f>IFERROR((X279-(((E279/100000+F279/100+S279/200)*200*I279*H279)+((E279*F279/25000)*I279*H279))/3)/(((J279/5)*200*I279*H279)+((J279*S279/2.5)*I279*H279)+((E279*F279*J279*S279*I279*H279)/12500000))/3*1000,"")</f>
        <v/>
      </c>
    </row>
    <row r="280">
      <c r="B280" s="7" t="inlineStr">
        <is>
          <t xml:space="preserve">  ↳ TSZoneHellfire</t>
        </is>
      </c>
      <c r="C280" s="7" t="inlineStr">
        <is>
          <t>Armament@PRIMARY</t>
        </is>
      </c>
      <c r="L280" s="6" t="n">
        <v>24000</v>
      </c>
      <c r="M280" s="6" t="n">
        <v>28</v>
      </c>
      <c r="N280" s="6" t="n">
        <v>1</v>
      </c>
      <c r="O280" s="6" t="n"/>
      <c r="P280" s="6" t="n">
        <v>6138</v>
      </c>
      <c r="Q280" s="6" t="n">
        <v>1.25</v>
      </c>
      <c r="R280">
        <f>M280+IF(N280&gt;1,N(O280)*(N280-1),0)</f>
        <v/>
      </c>
      <c r="S280">
        <f>IFERROR(L280*MAX(N280,1)/R280*IF(ISBLANK(K279),1,K279),0)</f>
        <v/>
      </c>
      <c r="AB280" s="7" t="inlineStr">
        <is>
          <t>^Warhead_CannonHE_Heavy</t>
        </is>
      </c>
    </row>
    <row r="281">
      <c r="B281" s="7" t="inlineStr">
        <is>
          <t xml:space="preserve">  ↳ TSZoneHellfireSonic</t>
        </is>
      </c>
      <c r="C281" s="7" t="inlineStr">
        <is>
          <t>Armament@Upgrade</t>
        </is>
      </c>
      <c r="L281" s="6" t="n">
        <v>16000</v>
      </c>
      <c r="M281" s="6" t="n">
        <v>28</v>
      </c>
      <c r="N281" s="6" t="n">
        <v>1</v>
      </c>
      <c r="O281" s="6" t="n"/>
      <c r="P281" s="6" t="n">
        <v>6138</v>
      </c>
      <c r="Q281" s="6" t="n">
        <v>1.125</v>
      </c>
      <c r="R281">
        <f>M281+IF(N281&gt;1,N(O281)*(N281-1),0)</f>
        <v/>
      </c>
      <c r="S281">
        <f>IFERROR(L281*MAX(N281,1)/R281*IF(ISBLANK(K279),1,K279),0)</f>
        <v/>
      </c>
      <c r="AB281" s="7" t="inlineStr">
        <is>
          <t>^Warhead_Sonic_Medium, ^Warhead_Sonic_Heavy</t>
        </is>
      </c>
    </row>
    <row r="282">
      <c r="A282" t="inlineStr">
        <is>
          <t>tiberiansun</t>
        </is>
      </c>
      <c r="B282" t="inlineStr">
        <is>
          <t>forgotten_apache</t>
        </is>
      </c>
      <c r="C282" t="inlineStr">
        <is>
          <t>actor_forgotten_apache.name</t>
        </is>
      </c>
      <c r="D282" s="6" t="inlineStr">
        <is>
          <t>Helicopter</t>
        </is>
      </c>
      <c r="E282" s="6" t="n">
        <v>30000</v>
      </c>
      <c r="F282" s="6" t="n">
        <v>160</v>
      </c>
      <c r="G282" t="inlineStr">
        <is>
          <t>Helicopter</t>
        </is>
      </c>
      <c r="H282" s="6" t="n">
        <v>1</v>
      </c>
      <c r="I282" s="6" t="n">
        <v>1</v>
      </c>
      <c r="J282" s="6" t="n">
        <v>1</v>
      </c>
      <c r="K282" s="6" t="n"/>
      <c r="P282">
        <f>MAX(P283,P284)</f>
        <v/>
      </c>
      <c r="S282">
        <f>S283+S284</f>
        <v/>
      </c>
      <c r="T282">
        <f>(E282/100000+F282/100+(P282/1000)*J282/5+S282/200)*200*I282*H282</f>
        <v/>
      </c>
      <c r="U282">
        <f>((E282*F282/25000)+((P282/1000)*J282*S282/2.5))*I282*H282</f>
        <v/>
      </c>
      <c r="V282">
        <f>(E282*F282*(P282/1000)*J282*S282*I282*H282)/12500000</f>
        <v/>
      </c>
      <c r="W282">
        <f>(T282+U282+V282)/3</f>
        <v/>
      </c>
      <c r="X282" s="6" t="n">
        <v>1500</v>
      </c>
      <c r="Y282">
        <f>IFERROR(W282-X282,"")</f>
        <v/>
      </c>
      <c r="Z282">
        <f>IFERROR(ABS(Y282)/MAX(X282,1),"")</f>
        <v/>
      </c>
      <c r="AA282">
        <f>IFERROR((X282-(((E282/100000+F282/100+S282/200)*200*I282*H282)+((E282*F282/25000)*I282*H282))/3)/(((J282/5)*200*I282*H282)+((J282*S282/2.5)*I282*H282)+((E282*F282*J282*S282*I282*H282)/12500000))/3*1000,"")</f>
        <v/>
      </c>
    </row>
    <row r="283">
      <c r="B283" s="7" t="inlineStr">
        <is>
          <t xml:space="preserve">  ↳ TSApacheMissile</t>
        </is>
      </c>
      <c r="C283" s="7" t="inlineStr">
        <is>
          <t>Armament@PRIMARY</t>
        </is>
      </c>
      <c r="L283" s="6" t="n">
        <v>24000</v>
      </c>
      <c r="M283" s="6" t="n">
        <v>15</v>
      </c>
      <c r="N283" s="6" t="n">
        <v>1</v>
      </c>
      <c r="O283" s="6" t="n"/>
      <c r="P283" s="6" t="n">
        <v>4688</v>
      </c>
      <c r="Q283" s="6" t="n">
        <v>1.25</v>
      </c>
      <c r="R283">
        <f>M283+IF(N283&gt;1,N(O283)*(N283-1),0)</f>
        <v/>
      </c>
      <c r="S283">
        <f>IFERROR(L283*MAX(N283,1)/R283*IF(ISBLANK(K282),1,K282),0)</f>
        <v/>
      </c>
      <c r="AB283" s="7" t="inlineStr">
        <is>
          <t>^Warhead_CannonHE_Heavy</t>
        </is>
      </c>
    </row>
    <row r="284">
      <c r="B284" s="7" t="inlineStr">
        <is>
          <t xml:space="preserve">  ↳ TSChemApacheMissile</t>
        </is>
      </c>
      <c r="C284" s="7" t="inlineStr">
        <is>
          <t>Armament@UPGRADE</t>
        </is>
      </c>
      <c r="L284" s="6" t="n">
        <v>36000</v>
      </c>
      <c r="M284" s="6" t="n">
        <v>15</v>
      </c>
      <c r="N284" s="6" t="n">
        <v>1</v>
      </c>
      <c r="O284" s="6" t="n"/>
      <c r="P284" s="6" t="n">
        <v>4688</v>
      </c>
      <c r="Q284" s="6" t="n">
        <v>1.25</v>
      </c>
      <c r="R284">
        <f>M284+IF(N284&gt;1,N(O284)*(N284-1),0)</f>
        <v/>
      </c>
      <c r="S284">
        <f>IFERROR(L284*MAX(N284,1)/R284*IF(ISBLANK(K282),1,K282),0)</f>
        <v/>
      </c>
      <c r="AB284" s="7" t="inlineStr">
        <is>
          <t>^Warhead_CannonHE_Heavy</t>
        </is>
      </c>
    </row>
    <row r="285">
      <c r="A285" t="inlineStr">
        <is>
          <t>tiberiansun</t>
        </is>
      </c>
      <c r="B285" t="inlineStr">
        <is>
          <t>forgotten_cobracopter</t>
        </is>
      </c>
      <c r="C285" t="inlineStr">
        <is>
          <t>actor_forgotten_cobracopter.name</t>
        </is>
      </c>
      <c r="D285" s="6" t="inlineStr">
        <is>
          <t>Helicopter</t>
        </is>
      </c>
      <c r="E285" s="6" t="n">
        <v>32500</v>
      </c>
      <c r="F285" s="6" t="n">
        <v>165</v>
      </c>
      <c r="G285" t="inlineStr">
        <is>
          <t>Helicopter</t>
        </is>
      </c>
      <c r="H285" s="6" t="n">
        <v>1</v>
      </c>
      <c r="I285" s="6" t="n">
        <v>1</v>
      </c>
      <c r="J285" s="6" t="n">
        <v>1</v>
      </c>
      <c r="K285" s="6" t="n"/>
      <c r="P285">
        <f>MAX(P286,P287)</f>
        <v/>
      </c>
      <c r="S285">
        <f>S286+S287</f>
        <v/>
      </c>
      <c r="T285">
        <f>(E285/100000+F285/100+(P285/1000)*J285/5+S285/200)*200*I285*H285</f>
        <v/>
      </c>
      <c r="U285">
        <f>((E285*F285/25000)+((P285/1000)*J285*S285/2.5))*I285*H285</f>
        <v/>
      </c>
      <c r="V285">
        <f>(E285*F285*(P285/1000)*J285*S285*I285*H285)/12500000</f>
        <v/>
      </c>
      <c r="W285">
        <f>(T285+U285+V285)/3</f>
        <v/>
      </c>
      <c r="X285" s="6" t="n">
        <v>2000</v>
      </c>
      <c r="Y285">
        <f>IFERROR(W285-X285,"")</f>
        <v/>
      </c>
      <c r="Z285">
        <f>IFERROR(ABS(Y285)/MAX(X285,1),"")</f>
        <v/>
      </c>
      <c r="AA285">
        <f>IFERROR((X285-(((E285/100000+F285/100+S285/200)*200*I285*H285)+((E285*F285/25000)*I285*H285))/3)/(((J285/5)*200*I285*H285)+((J285*S285/2.5)*I285*H285)+((E285*F285*J285*S285*I285*H285)/12500000))/3*1000,"")</f>
        <v/>
      </c>
    </row>
    <row r="286">
      <c r="B286" s="7" t="inlineStr">
        <is>
          <t xml:space="preserve">  ↳ TSCobraMissile</t>
        </is>
      </c>
      <c r="C286" s="7" t="inlineStr">
        <is>
          <t>Armament@PRIMARY</t>
        </is>
      </c>
      <c r="L286" s="6" t="n">
        <v>24000</v>
      </c>
      <c r="M286" s="6" t="n">
        <v>12</v>
      </c>
      <c r="N286" s="6" t="n">
        <v>1</v>
      </c>
      <c r="O286" s="6" t="n"/>
      <c r="P286" s="6" t="n">
        <v>5052</v>
      </c>
      <c r="Q286" s="6" t="n">
        <v>1.25</v>
      </c>
      <c r="R286">
        <f>M286+IF(N286&gt;1,N(O286)*(N286-1),0)</f>
        <v/>
      </c>
      <c r="S286">
        <f>IFERROR(L286*MAX(N286,1)/R286*IF(ISBLANK(K285),1,K285),0)</f>
        <v/>
      </c>
      <c r="AB286" s="7" t="inlineStr">
        <is>
          <t>^Warhead_CannonHE_Heavy</t>
        </is>
      </c>
    </row>
    <row r="287">
      <c r="B287" s="7" t="inlineStr">
        <is>
          <t xml:space="preserve">  ↳ TSChemCobraMissile</t>
        </is>
      </c>
      <c r="C287" s="7" t="inlineStr">
        <is>
          <t>Armament@SECONDARY</t>
        </is>
      </c>
      <c r="L287" s="6" t="n">
        <v>36000</v>
      </c>
      <c r="M287" s="6" t="n">
        <v>12</v>
      </c>
      <c r="N287" s="6" t="n">
        <v>1</v>
      </c>
      <c r="O287" s="6" t="n"/>
      <c r="P287" s="6" t="n">
        <v>5052</v>
      </c>
      <c r="Q287" s="6" t="n">
        <v>1.25</v>
      </c>
      <c r="R287">
        <f>M287+IF(N287&gt;1,N(O287)*(N287-1),0)</f>
        <v/>
      </c>
      <c r="S287">
        <f>IFERROR(L287*MAX(N287,1)/R287*IF(ISBLANK(K285),1,K285),0)</f>
        <v/>
      </c>
      <c r="AB287" s="7" t="inlineStr">
        <is>
          <t>^Warhead_CannonHE_Heavy</t>
        </is>
      </c>
    </row>
    <row r="288">
      <c r="A288" t="inlineStr">
        <is>
          <t>tiberiansun</t>
        </is>
      </c>
      <c r="B288" t="inlineStr">
        <is>
          <t>forgotten_wasp</t>
        </is>
      </c>
      <c r="C288" t="inlineStr">
        <is>
          <t>actor_forgotten_wasp.name</t>
        </is>
      </c>
      <c r="D288" s="6" t="inlineStr">
        <is>
          <t>Helicopter</t>
        </is>
      </c>
      <c r="E288" s="6" t="n">
        <v>25000</v>
      </c>
      <c r="F288" s="6" t="n">
        <v>200</v>
      </c>
      <c r="G288" t="inlineStr">
        <is>
          <t>Helicopter</t>
        </is>
      </c>
      <c r="H288" s="6" t="n">
        <v>1</v>
      </c>
      <c r="I288" s="6" t="n">
        <v>1</v>
      </c>
      <c r="J288" s="6" t="n">
        <v>1</v>
      </c>
      <c r="K288" s="6" t="n"/>
      <c r="P288">
        <f>MAX(P289)</f>
        <v/>
      </c>
      <c r="S288">
        <f>S289</f>
        <v/>
      </c>
      <c r="T288">
        <f>(E288/100000+F288/100+(P288/1000)*J288/5+S288/200)*200*I288*H288</f>
        <v/>
      </c>
      <c r="U288">
        <f>((E288*F288/25000)+((P288/1000)*J288*S288/2.5))*I288*H288</f>
        <v/>
      </c>
      <c r="V288">
        <f>(E288*F288*(P288/1000)*J288*S288*I288*H288)/12500000</f>
        <v/>
      </c>
      <c r="W288">
        <f>(T288+U288+V288)/3</f>
        <v/>
      </c>
      <c r="X288" s="6" t="n">
        <v>1000</v>
      </c>
      <c r="Y288">
        <f>IFERROR(W288-X288,"")</f>
        <v/>
      </c>
      <c r="Z288">
        <f>IFERROR(ABS(Y288)/MAX(X288,1),"")</f>
        <v/>
      </c>
      <c r="AA288">
        <f>IFERROR((X288-(((E288/100000+F288/100+S288/200)*200*I288*H288)+((E288*F288/25000)*I288*H288))/3)/(((J288/5)*200*I288*H288)+((J288*S288/2.5)*I288*H288)+((E288*F288*J288*S288*I288*H288)/12500000))/3*1000,"")</f>
        <v/>
      </c>
    </row>
    <row r="289">
      <c r="B289" s="7" t="inlineStr">
        <is>
          <t xml:space="preserve">  ↳ TSWaspClaw</t>
        </is>
      </c>
      <c r="C289" s="7" t="inlineStr">
        <is>
          <t>Armament@PRIMARY</t>
        </is>
      </c>
      <c r="L289" s="6" t="n">
        <v>4000</v>
      </c>
      <c r="M289" s="6" t="n">
        <v>18</v>
      </c>
      <c r="N289" s="6" t="n">
        <v>2</v>
      </c>
      <c r="O289" s="6" t="n">
        <v>0</v>
      </c>
      <c r="P289" s="6" t="n">
        <v>4882</v>
      </c>
      <c r="Q289" s="6" t="n">
        <v>1</v>
      </c>
      <c r="R289">
        <f>M289+IF(N289&gt;1,N(O289)*(N289-1),0)</f>
        <v/>
      </c>
      <c r="S289">
        <f>IFERROR(L289*MAX(N289,1)/R289*IF(ISBLANK(K288),1,K288),0)</f>
        <v/>
      </c>
      <c r="AB289" s="7" t="inlineStr">
        <is>
          <t>^Warhead_Bullet_Medium</t>
        </is>
      </c>
    </row>
    <row r="290">
      <c r="A290" t="inlineStr">
        <is>
          <t>redalert2</t>
        </is>
      </c>
      <c r="B290" t="inlineStr">
        <is>
          <t>ra2_allies_nighthawk</t>
        </is>
      </c>
      <c r="C290" t="inlineStr">
        <is>
          <t>Night Hawk</t>
        </is>
      </c>
      <c r="D290" s="6" t="inlineStr">
        <is>
          <t>Helicopter</t>
        </is>
      </c>
      <c r="E290" s="6" t="n">
        <v>87500</v>
      </c>
      <c r="F290" s="6" t="n">
        <v>120</v>
      </c>
      <c r="G290" t="inlineStr">
        <is>
          <t>Helicopter</t>
        </is>
      </c>
      <c r="H290" s="6" t="n">
        <v>1</v>
      </c>
      <c r="I290" s="6" t="n">
        <v>1.25</v>
      </c>
      <c r="J290" s="6" t="n">
        <v>1</v>
      </c>
      <c r="K290" s="6" t="n">
        <v>0.005</v>
      </c>
      <c r="P290">
        <f>MAX(P291)</f>
        <v/>
      </c>
      <c r="S290">
        <f>S291</f>
        <v/>
      </c>
      <c r="T290">
        <f>(E290/100000+F290/100+(P290/1000)*J290/5+S290/200)*200*I290*H290</f>
        <v/>
      </c>
      <c r="U290">
        <f>((E290*F290/25000)+((P290/1000)*J290*S290/2.5))*I290*H290</f>
        <v/>
      </c>
      <c r="V290">
        <f>(E290*F290*(P290/1000)*J290*S290*I290*H290)/12500000</f>
        <v/>
      </c>
      <c r="W290">
        <f>(T290+U290+V290)/3</f>
        <v/>
      </c>
      <c r="X290" s="6" t="n">
        <v>2100</v>
      </c>
      <c r="Y290">
        <f>IFERROR(W290-X290,"")</f>
        <v/>
      </c>
      <c r="Z290">
        <f>IFERROR(ABS(Y290)/MAX(X290,1),"")</f>
        <v/>
      </c>
      <c r="AA290">
        <f>IFERROR((X290-(((E290/100000+F290/100+S290/200)*200*I290*H290)+((E290*F290/25000)*I290*H290))/3)/(((J290/5)*200*I290*H290)+((J290*S290/2.5)*I290*H290)+((E290*F290*J290*S290*I290*H290)/12500000))/3*1000,"")</f>
        <v/>
      </c>
    </row>
    <row r="291">
      <c r="B291" s="7" t="inlineStr">
        <is>
          <t xml:space="preserve">  ↳ BlackHawkCannon</t>
        </is>
      </c>
      <c r="C291" s="7" t="inlineStr">
        <is>
          <t>Armament@PRIMARY</t>
        </is>
      </c>
      <c r="L291" s="6" t="n">
        <v>4000</v>
      </c>
      <c r="M291" s="6" t="n">
        <v>3</v>
      </c>
      <c r="N291" s="6" t="n">
        <v>1</v>
      </c>
      <c r="O291" s="6" t="n"/>
      <c r="P291" s="6" t="n">
        <v>4750</v>
      </c>
      <c r="Q291" s="6" t="n">
        <v>0.875</v>
      </c>
      <c r="R291">
        <f>M291+IF(N291&gt;1,N(O291)*(N291-1),0)</f>
        <v/>
      </c>
      <c r="S291">
        <f>IFERROR(L291*MAX(N291,1)/R291*IF(ISBLANK(K290),1,K290),0)</f>
        <v/>
      </c>
      <c r="AB291" s="7" t="inlineStr">
        <is>
          <t>^Warhead_Bullet_Light, ^Warhead_Bullet_Medium</t>
        </is>
      </c>
    </row>
    <row r="292">
      <c r="A292" t="inlineStr">
        <is>
          <t>redalert2</t>
        </is>
      </c>
      <c r="B292" t="inlineStr">
        <is>
          <t>ra2_soviets_siegechopper</t>
        </is>
      </c>
      <c r="C292" t="inlineStr">
        <is>
          <t>Siege Chopper</t>
        </is>
      </c>
      <c r="D292" s="6" t="inlineStr">
        <is>
          <t>Helicopter</t>
        </is>
      </c>
      <c r="E292" s="6" t="n">
        <v>55000</v>
      </c>
      <c r="F292" s="6" t="n">
        <v>150</v>
      </c>
      <c r="G292" t="inlineStr">
        <is>
          <t>Helicopter</t>
        </is>
      </c>
      <c r="H292" s="6" t="n">
        <v>1</v>
      </c>
      <c r="I292" s="6" t="n">
        <v>1</v>
      </c>
      <c r="J292" s="6" t="n">
        <v>1</v>
      </c>
      <c r="K292" s="6" t="n">
        <v>0.005</v>
      </c>
      <c r="P292">
        <f>MAX(P293,P295,P296,P297,P298,P299,P300,P301,P302)</f>
        <v/>
      </c>
      <c r="S292">
        <f>S293+S295+S296+S297+S298+S299+S300+S301+S302</f>
        <v/>
      </c>
      <c r="T292">
        <f>(E292/100000+F292/100+(P292/1000)*J292/5+S292/200)*200*I292*H292</f>
        <v/>
      </c>
      <c r="U292">
        <f>((E292*F292/25000)+((P292/1000)*J292*S292/2.5))*I292*H292</f>
        <v/>
      </c>
      <c r="V292">
        <f>(E292*F292*(P292/1000)*J292*S292*I292*H292)/12500000</f>
        <v/>
      </c>
      <c r="W292">
        <f>(T292+U292+V292)/3</f>
        <v/>
      </c>
      <c r="X292" s="6" t="n">
        <v>1500</v>
      </c>
      <c r="Y292">
        <f>IFERROR(W292-X292,"")</f>
        <v/>
      </c>
      <c r="Z292">
        <f>IFERROR(ABS(Y292)/MAX(X292,1),"")</f>
        <v/>
      </c>
      <c r="AA292">
        <f>IFERROR((X292-(((E292/100000+F292/100+S292/200)*200*I292*H292)+((E292*F292/25000)*I292*H292))/3)/(((J292/5)*200*I292*H292)+((J292*S292/2.5)*I292*H292)+((E292*F292*J292*S292*I292*H292)/12500000))/3*1000,"")</f>
        <v/>
      </c>
    </row>
    <row r="293">
      <c r="B293" s="7" t="inlineStr">
        <is>
          <t xml:space="preserve">  ↳ BlackHawkCannon</t>
        </is>
      </c>
      <c r="C293" s="7" t="inlineStr">
        <is>
          <t>Armament@PRIMARY</t>
        </is>
      </c>
      <c r="L293" s="6" t="n">
        <v>4000</v>
      </c>
      <c r="M293" s="6" t="n">
        <v>3</v>
      </c>
      <c r="N293" s="6" t="n">
        <v>1</v>
      </c>
      <c r="O293" s="6" t="n"/>
      <c r="P293" s="6" t="n">
        <v>4750</v>
      </c>
      <c r="Q293" s="6" t="n">
        <v>0.875</v>
      </c>
      <c r="R293">
        <f>M293+IF(N293&gt;1,N(O293)*(N293-1),0)</f>
        <v/>
      </c>
      <c r="S293">
        <f>IFERROR(L293*MAX(N293,1)/R293*IF(ISBLANK(K292),1,K292),0)</f>
        <v/>
      </c>
      <c r="AB293" s="7" t="inlineStr">
        <is>
          <t>^Warhead_Bullet_Light, ^Warhead_Bullet_Medium</t>
        </is>
      </c>
    </row>
    <row r="294">
      <c r="B294" s="7" t="inlineStr">
        <is>
          <t xml:space="preserve">  ↳ deploytargeting_5c0</t>
        </is>
      </c>
      <c r="C294" s="7" t="inlineStr">
        <is>
          <t>Armament@DeployTargeter</t>
        </is>
      </c>
      <c r="L294" s="6" t="n"/>
      <c r="M294" s="6" t="n">
        <v>50</v>
      </c>
      <c r="N294" s="6" t="n">
        <v>1</v>
      </c>
      <c r="O294" s="6" t="n"/>
      <c r="P294" s="6" t="n">
        <v>5000</v>
      </c>
      <c r="Q294" s="6" t="n">
        <v>1</v>
      </c>
      <c r="R294">
        <f>M294+IF(N294&gt;1,N(O294)*(N294-1),0)</f>
        <v/>
      </c>
      <c r="S294">
        <f>IFERROR(L294*MAX(N294,1)/R294*IF(ISBLANK(K292),1,K292),0)</f>
        <v/>
      </c>
      <c r="AB294" s="7" t="inlineStr">
        <is>
          <t>^DeployTargeting</t>
        </is>
      </c>
    </row>
    <row r="295">
      <c r="B295" s="7" t="inlineStr">
        <is>
          <t xml:space="preserve">  ↳ RA160mm</t>
        </is>
      </c>
      <c r="C295" s="7" t="inlineStr">
        <is>
          <t>Armament@Deployed</t>
        </is>
      </c>
      <c r="L295" s="6" t="n">
        <v>120000</v>
      </c>
      <c r="M295" s="6" t="n">
        <v>88</v>
      </c>
      <c r="N295" s="6" t="n">
        <v>1</v>
      </c>
      <c r="O295" s="6" t="n"/>
      <c r="P295" s="6" t="n">
        <v>11111</v>
      </c>
      <c r="Q295" s="6" t="n">
        <v>0.875</v>
      </c>
      <c r="R295">
        <f>M295+IF(N295&gt;1,N(O295)*(N295-1),0)</f>
        <v/>
      </c>
      <c r="S295">
        <f>IFERROR(L295*MAX(N295,1)/R295*IF(ISBLANK(K292),1,K292),0)</f>
        <v/>
      </c>
      <c r="AB295" s="7" t="inlineStr">
        <is>
          <t>^Warhead_Concussion_Medium, ^Warhead_Demolition_Light</t>
        </is>
      </c>
    </row>
    <row r="296">
      <c r="B296" s="7" t="inlineStr">
        <is>
          <t xml:space="preserve">  ↳ RA160mm_rad</t>
        </is>
      </c>
      <c r="C296" s="7" t="inlineStr">
        <is>
          <t>Armament@DeployedRad</t>
        </is>
      </c>
      <c r="L296" s="6" t="n">
        <v>108000</v>
      </c>
      <c r="M296" s="6" t="n">
        <v>88</v>
      </c>
      <c r="N296" s="6" t="n">
        <v>1</v>
      </c>
      <c r="O296" s="6" t="n"/>
      <c r="P296" s="6" t="n">
        <v>11111</v>
      </c>
      <c r="Q296" s="6" t="n">
        <v>1</v>
      </c>
      <c r="R296">
        <f>M296+IF(N296&gt;1,N(O296)*(N296-1),0)</f>
        <v/>
      </c>
      <c r="S296">
        <f>IFERROR(L296*MAX(N296,1)/R296*IF(ISBLANK(K292),1,K292),0)</f>
        <v/>
      </c>
      <c r="AB296" s="7" t="inlineStr">
        <is>
          <t>^Warhead_Chemical_Light, ^Warhead_Concussion_Medium, ^Warhead_Demolition_Light</t>
        </is>
      </c>
    </row>
    <row r="297">
      <c r="B297" s="7" t="inlineStr">
        <is>
          <t xml:space="preserve">  ↳ RA160mm_fire</t>
        </is>
      </c>
      <c r="C297" s="7" t="inlineStr">
        <is>
          <t>Armament@DeployedFire</t>
        </is>
      </c>
      <c r="L297" s="6" t="n">
        <v>120000</v>
      </c>
      <c r="M297" s="6" t="n">
        <v>88</v>
      </c>
      <c r="N297" s="6" t="n">
        <v>1</v>
      </c>
      <c r="O297" s="6" t="n"/>
      <c r="P297" s="6" t="n">
        <v>11111</v>
      </c>
      <c r="Q297" s="6" t="n">
        <v>0.875</v>
      </c>
      <c r="R297">
        <f>M297+IF(N297&gt;1,N(O297)*(N297-1),0)</f>
        <v/>
      </c>
      <c r="S297">
        <f>IFERROR(L297*MAX(N297,1)/R297*IF(ISBLANK(K292),1,K292),0)</f>
        <v/>
      </c>
      <c r="AB297" s="7" t="inlineStr">
        <is>
          <t>^Warhead_Concussion_Medium, ^Warhead_Demolition_Light</t>
        </is>
      </c>
    </row>
    <row r="298">
      <c r="B298" s="7" t="inlineStr">
        <is>
          <t xml:space="preserve">  ↳ RA160mm_tesla</t>
        </is>
      </c>
      <c r="C298" s="7" t="inlineStr">
        <is>
          <t>Armament@DeployedTesla</t>
        </is>
      </c>
      <c r="L298" s="6" t="n">
        <v>120000</v>
      </c>
      <c r="M298" s="6" t="n">
        <v>88</v>
      </c>
      <c r="N298" s="6" t="n">
        <v>1</v>
      </c>
      <c r="O298" s="6" t="n"/>
      <c r="P298" s="6" t="n">
        <v>11111</v>
      </c>
      <c r="Q298" s="6" t="n">
        <v>0.875</v>
      </c>
      <c r="R298">
        <f>M298+IF(N298&gt;1,N(O298)*(N298-1),0)</f>
        <v/>
      </c>
      <c r="S298">
        <f>IFERROR(L298*MAX(N298,1)/R298*IF(ISBLANK(K292),1,K292),0)</f>
        <v/>
      </c>
      <c r="AB298" s="7" t="inlineStr">
        <is>
          <t>^Warhead_Concussion_Medium, ^Warhead_Demolition_Light</t>
        </is>
      </c>
    </row>
    <row r="299">
      <c r="B299" s="7" t="inlineStr">
        <is>
          <t xml:space="preserve">  ↳ RA160mmE_elite</t>
        </is>
      </c>
      <c r="C299" s="7" t="inlineStr">
        <is>
          <t>Armament@DeployedElite</t>
        </is>
      </c>
      <c r="L299" s="6" t="n">
        <v>120000</v>
      </c>
      <c r="M299" s="6" t="n">
        <v>88</v>
      </c>
      <c r="N299" s="6" t="n">
        <v>2</v>
      </c>
      <c r="O299" s="6" t="n">
        <v>3</v>
      </c>
      <c r="P299" s="6" t="n">
        <v>12345</v>
      </c>
      <c r="Q299" s="6" t="n">
        <v>0.875</v>
      </c>
      <c r="R299">
        <f>M299+IF(N299&gt;1,N(O299)*(N299-1),0)</f>
        <v/>
      </c>
      <c r="S299">
        <f>IFERROR(L299*MAX(N299,1)/R299*IF(ISBLANK(K292),1,K292),0)</f>
        <v/>
      </c>
      <c r="AB299" s="7" t="inlineStr">
        <is>
          <t>^Warhead_Concussion_Medium, ^Warhead_Demolition_Light</t>
        </is>
      </c>
    </row>
    <row r="300">
      <c r="B300" s="7" t="inlineStr">
        <is>
          <t xml:space="preserve">  ↳ RA160mmE_rad_elite</t>
        </is>
      </c>
      <c r="C300" s="7" t="inlineStr">
        <is>
          <t>Armament@DeployedEliteRad</t>
        </is>
      </c>
      <c r="L300" s="6" t="n">
        <v>144000</v>
      </c>
      <c r="M300" s="6" t="n">
        <v>88</v>
      </c>
      <c r="N300" s="6" t="n">
        <v>1</v>
      </c>
      <c r="O300" s="6" t="n"/>
      <c r="P300" s="6" t="n">
        <v>12345</v>
      </c>
      <c r="Q300" s="6" t="n">
        <v>1</v>
      </c>
      <c r="R300">
        <f>M300+IF(N300&gt;1,N(O300)*(N300-1),0)</f>
        <v/>
      </c>
      <c r="S300">
        <f>IFERROR(L300*MAX(N300,1)/R300*IF(ISBLANK(K292),1,K292),0)</f>
        <v/>
      </c>
      <c r="AB300" s="7" t="inlineStr">
        <is>
          <t>^Warhead_Nuclear_Super, ^Warhead_Chemical_Light, ^Warhead_Concussion_Medium, ^Warhead_Demolition_Light</t>
        </is>
      </c>
    </row>
    <row r="301">
      <c r="B301" s="7" t="inlineStr">
        <is>
          <t xml:space="preserve">  ↳ RA160mmE_fire_elite</t>
        </is>
      </c>
      <c r="C301" s="7" t="inlineStr">
        <is>
          <t>Armament@DeployedEliteFire</t>
        </is>
      </c>
      <c r="L301" s="6" t="n">
        <v>120000</v>
      </c>
      <c r="M301" s="6" t="n">
        <v>88</v>
      </c>
      <c r="N301" s="6" t="n">
        <v>1</v>
      </c>
      <c r="O301" s="6" t="n"/>
      <c r="P301" s="6" t="n">
        <v>12345</v>
      </c>
      <c r="Q301" s="6" t="n">
        <v>0.875</v>
      </c>
      <c r="R301">
        <f>M301+IF(N301&gt;1,N(O301)*(N301-1),0)</f>
        <v/>
      </c>
      <c r="S301">
        <f>IFERROR(L301*MAX(N301,1)/R301*IF(ISBLANK(K292),1,K292),0)</f>
        <v/>
      </c>
      <c r="AB301" s="7" t="inlineStr">
        <is>
          <t>^Warhead_Concussion_Medium, ^Warhead_Demolition_Light</t>
        </is>
      </c>
    </row>
    <row r="302">
      <c r="B302" s="7" t="inlineStr">
        <is>
          <t xml:space="preserve">  ↳ RA160mmE_tesla_elite</t>
        </is>
      </c>
      <c r="C302" s="7" t="inlineStr">
        <is>
          <t>Armament@DeployedEliteTesla</t>
        </is>
      </c>
      <c r="L302" s="6" t="n">
        <v>120000</v>
      </c>
      <c r="M302" s="6" t="n">
        <v>88</v>
      </c>
      <c r="N302" s="6" t="n">
        <v>1</v>
      </c>
      <c r="O302" s="6" t="n"/>
      <c r="P302" s="6" t="n">
        <v>12345</v>
      </c>
      <c r="Q302" s="6" t="n">
        <v>0.875</v>
      </c>
      <c r="R302">
        <f>M302+IF(N302&gt;1,N(O302)*(N302-1),0)</f>
        <v/>
      </c>
      <c r="S302">
        <f>IFERROR(L302*MAX(N302,1)/R302*IF(ISBLANK(K292),1,K292),0)</f>
        <v/>
      </c>
      <c r="AB302" s="7" t="inlineStr">
        <is>
          <t>^Warhead_Concussion_Medium, ^Warhead_Demolition_Light</t>
        </is>
      </c>
    </row>
    <row r="303">
      <c r="A303" t="inlineStr">
        <is>
          <t>redalert2</t>
        </is>
      </c>
      <c r="B303" t="inlineStr">
        <is>
          <t>ra2_soviets_transportkirov</t>
        </is>
      </c>
      <c r="C303" t="inlineStr">
        <is>
          <t>Transport Kirov</t>
        </is>
      </c>
      <c r="D303" s="6" t="inlineStr">
        <is>
          <t>Helicopter</t>
        </is>
      </c>
      <c r="E303" s="6" t="n">
        <v>265000</v>
      </c>
      <c r="F303" s="6" t="n">
        <v>35</v>
      </c>
      <c r="G303" t="inlineStr">
        <is>
          <t>Helicopter</t>
        </is>
      </c>
      <c r="H303" s="6" t="n">
        <v>1</v>
      </c>
      <c r="I303" s="6" t="n">
        <v>1.25</v>
      </c>
      <c r="J303" s="6" t="n">
        <v>1</v>
      </c>
      <c r="K303" s="6" t="n"/>
      <c r="P303">
        <f>MAX(P304)</f>
        <v/>
      </c>
      <c r="S303">
        <f>S304</f>
        <v/>
      </c>
      <c r="T303">
        <f>(E303/100000+F303/100+(P303/1000)*J303/5+S303/200)*200*I303*H303</f>
        <v/>
      </c>
      <c r="U303">
        <f>((E303*F303/25000)+((P303/1000)*J303*S303/2.5))*I303*H303</f>
        <v/>
      </c>
      <c r="V303">
        <f>(E303*F303*(P303/1000)*J303*S303*I303*H303)/12500000</f>
        <v/>
      </c>
      <c r="W303">
        <f>(T303+U303+V303)/3</f>
        <v/>
      </c>
      <c r="X303" s="6" t="n">
        <v>3600</v>
      </c>
      <c r="Y303">
        <f>IFERROR(W303-X303,"")</f>
        <v/>
      </c>
      <c r="Z303">
        <f>IFERROR(ABS(Y303)/MAX(X303,1),"")</f>
        <v/>
      </c>
      <c r="AA303">
        <f>IFERROR((X303-(((E303/100000+F303/100+S303/200)*200*I303*H303)+((E303*F303/25000)*I303*H303))/3)/(((J303/5)*200*I303*H303)+((J303*S303/2.5)*I303*H303)+((E303*F303*J303*S303*I303*H303)/12500000))/3*1000,"")</f>
        <v/>
      </c>
    </row>
    <row r="304">
      <c r="B304" s="7" t="inlineStr">
        <is>
          <t xml:space="preserve">  ↳ BlackHawkCannon</t>
        </is>
      </c>
      <c r="C304" s="7" t="inlineStr">
        <is>
          <t>Armament@PRIMARY</t>
        </is>
      </c>
      <c r="L304" s="6" t="n">
        <v>4000</v>
      </c>
      <c r="M304" s="6" t="n">
        <v>3</v>
      </c>
      <c r="N304" s="6" t="n">
        <v>1</v>
      </c>
      <c r="O304" s="6" t="n"/>
      <c r="P304" s="6" t="n">
        <v>4750</v>
      </c>
      <c r="Q304" s="6" t="n">
        <v>0.875</v>
      </c>
      <c r="R304">
        <f>M304+IF(N304&gt;1,N(O304)*(N304-1),0)</f>
        <v/>
      </c>
      <c r="S304">
        <f>IFERROR(L304*MAX(N304,1)/R304*IF(ISBLANK(K303),1,K303),0)</f>
        <v/>
      </c>
      <c r="AB304" s="7" t="inlineStr">
        <is>
          <t>^Warhead_Bullet_Light, ^Warhead_Bullet_Medium</t>
        </is>
      </c>
    </row>
    <row r="305">
      <c r="A305" t="inlineStr">
        <is>
          <t>redalert2mod</t>
        </is>
      </c>
      <c r="B305" t="inlineStr">
        <is>
          <t>asianalliance_pelican</t>
        </is>
      </c>
      <c r="C305" t="inlineStr">
        <is>
          <t>Pelican</t>
        </is>
      </c>
      <c r="D305" s="6" t="inlineStr">
        <is>
          <t>Helicopter</t>
        </is>
      </c>
      <c r="E305" s="6" t="n">
        <v>40000</v>
      </c>
      <c r="F305" s="6" t="n">
        <v>125</v>
      </c>
      <c r="G305" t="inlineStr">
        <is>
          <t>Helicopter</t>
        </is>
      </c>
      <c r="H305" s="6" t="n">
        <v>1</v>
      </c>
      <c r="I305" s="6" t="n">
        <v>1</v>
      </c>
      <c r="J305" s="6" t="n">
        <v>1</v>
      </c>
      <c r="K305" s="6" t="n"/>
      <c r="P305">
        <f>MAX(P306,P307,P308,P309)</f>
        <v/>
      </c>
      <c r="S305">
        <f>S306+S307+S308+S309</f>
        <v/>
      </c>
      <c r="T305">
        <f>(E305/100000+F305/100+(P305/1000)*J305/5+S305/200)*200*I305*H305</f>
        <v/>
      </c>
      <c r="U305">
        <f>((E305*F305/25000)+((P305/1000)*J305*S305/2.5))*I305*H305</f>
        <v/>
      </c>
      <c r="V305">
        <f>(E305*F305*(P305/1000)*J305*S305*I305*H305)/12500000</f>
        <v/>
      </c>
      <c r="W305">
        <f>(T305+U305+V305)/3</f>
        <v/>
      </c>
      <c r="X305" s="6" t="n">
        <v>2000</v>
      </c>
      <c r="Y305">
        <f>IFERROR(W305-X305,"")</f>
        <v/>
      </c>
      <c r="Z305">
        <f>IFERROR(ABS(Y305)/MAX(X305,1),"")</f>
        <v/>
      </c>
      <c r="AA305">
        <f>IFERROR((X305-(((E305/100000+F305/100+S305/200)*200*I305*H305)+((E305*F305/25000)*I305*H305))/3)/(((J305/5)*200*I305*H305)+((J305*S305/2.5)*I305*H305)+((E305*F305*J305*S305*I305*H305)/12500000))/3*1000,"")</f>
        <v/>
      </c>
    </row>
    <row r="306">
      <c r="B306" s="7" t="inlineStr">
        <is>
          <t xml:space="preserve">  ↳ AsianPelicanMissile</t>
        </is>
      </c>
      <c r="C306" s="7" t="inlineStr">
        <is>
          <t>Armament@PRIMARY</t>
        </is>
      </c>
      <c r="L306" s="6" t="n">
        <v>12000</v>
      </c>
      <c r="M306" s="6" t="n">
        <v>25</v>
      </c>
      <c r="N306" s="6" t="n">
        <v>2</v>
      </c>
      <c r="O306" s="6" t="n">
        <v>2</v>
      </c>
      <c r="P306" s="6" t="n">
        <v>6100</v>
      </c>
      <c r="Q306" s="6" t="n">
        <v>1</v>
      </c>
      <c r="R306">
        <f>M306+IF(N306&gt;1,N(O306)*(N306-1),0)</f>
        <v/>
      </c>
      <c r="S306">
        <f>IFERROR(L306*MAX(N306,1)/R306*IF(ISBLANK(K305),1,K305),0)</f>
        <v/>
      </c>
      <c r="AB306" s="7" t="inlineStr">
        <is>
          <t>^Warhead_Concussion_Light, ^Warhead_MissileAP_Heavy, ^Warhead_MissileAP_Medium</t>
        </is>
      </c>
    </row>
    <row r="307">
      <c r="B307" s="7" t="inlineStr">
        <is>
          <t xml:space="preserve">  ↳ AsianPelicanMissile_elite</t>
        </is>
      </c>
      <c r="C307" s="7" t="inlineStr">
        <is>
          <t>Armament@PRIMARYELITE</t>
        </is>
      </c>
      <c r="L307" s="6" t="n">
        <v>12000</v>
      </c>
      <c r="M307" s="6" t="n">
        <v>25</v>
      </c>
      <c r="N307" s="6" t="n">
        <v>4</v>
      </c>
      <c r="O307" s="6" t="n">
        <v>2</v>
      </c>
      <c r="P307" s="6" t="n">
        <v>7100</v>
      </c>
      <c r="Q307" s="6" t="n">
        <v>1</v>
      </c>
      <c r="R307">
        <f>M307+IF(N307&gt;1,N(O307)*(N307-1),0)</f>
        <v/>
      </c>
      <c r="S307">
        <f>IFERROR(L307*MAX(N307,1)/R307*IF(ISBLANK(K305),1,K305),0)</f>
        <v/>
      </c>
      <c r="AB307" s="7" t="inlineStr">
        <is>
          <t>^Warhead_Concussion_Light, ^Warhead_MissileAP_Heavy, ^Warhead_MissileAP_Medium</t>
        </is>
      </c>
    </row>
    <row r="308">
      <c r="B308" s="7" t="inlineStr">
        <is>
          <t xml:space="preserve">  ↳ AsianPelicanMG</t>
        </is>
      </c>
      <c r="C308" s="7" t="inlineStr">
        <is>
          <t>Armament@MG</t>
        </is>
      </c>
      <c r="L308" s="6" t="n">
        <v>6000</v>
      </c>
      <c r="M308" s="6" t="n">
        <v>18</v>
      </c>
      <c r="N308" s="6" t="n">
        <v>4</v>
      </c>
      <c r="O308" s="6" t="n">
        <v>3</v>
      </c>
      <c r="P308" s="6" t="n">
        <v>6100</v>
      </c>
      <c r="Q308" s="6" t="n">
        <v>1</v>
      </c>
      <c r="R308">
        <f>M308+IF(N308&gt;1,N(O308)*(N308-1),0)</f>
        <v/>
      </c>
      <c r="S308">
        <f>IFERROR(L308*MAX(N308,1)/R308*IF(ISBLANK(K305),1,K305),0)</f>
        <v/>
      </c>
      <c r="AB308" s="7" t="inlineStr">
        <is>
          <t>^Warhead_CannonHE_Heavy, ^Warhead_Bullet_Light, ^Warhead_Bullet_Medium</t>
        </is>
      </c>
    </row>
    <row r="309">
      <c r="B309" s="7" t="inlineStr">
        <is>
          <t xml:space="preserve">  ↳ AsianPelicanMG_elite</t>
        </is>
      </c>
      <c r="C309" s="7" t="inlineStr">
        <is>
          <t>Armament@MGelite</t>
        </is>
      </c>
      <c r="L309" s="6" t="n">
        <v>6000</v>
      </c>
      <c r="M309" s="6" t="n">
        <v>18</v>
      </c>
      <c r="N309" s="6" t="n">
        <v>8</v>
      </c>
      <c r="O309" s="6" t="n">
        <v>3</v>
      </c>
      <c r="P309" s="6" t="n">
        <v>7100</v>
      </c>
      <c r="Q309" s="6" t="n">
        <v>1</v>
      </c>
      <c r="R309">
        <f>M309+IF(N309&gt;1,N(O309)*(N309-1),0)</f>
        <v/>
      </c>
      <c r="S309">
        <f>IFERROR(L309*MAX(N309,1)/R309*IF(ISBLANK(K305),1,K305),0)</f>
        <v/>
      </c>
      <c r="AB309" s="7" t="inlineStr">
        <is>
          <t>^Warhead_CannonHE_Heavy, ^Warhead_Bullet_Light, ^Warhead_Bullet_Medium</t>
        </is>
      </c>
    </row>
    <row r="310">
      <c r="A310" t="inlineStr">
        <is>
          <t>redalert2mod</t>
        </is>
      </c>
      <c r="B310" t="inlineStr">
        <is>
          <t>steelconsortium_cargoship</t>
        </is>
      </c>
      <c r="C310" t="inlineStr">
        <is>
          <t>Cargo Ship</t>
        </is>
      </c>
      <c r="D310" s="6" t="inlineStr">
        <is>
          <t>Helicopter</t>
        </is>
      </c>
      <c r="E310" s="6" t="n">
        <v>125000</v>
      </c>
      <c r="F310" s="6" t="n">
        <v>100</v>
      </c>
      <c r="G310" t="inlineStr">
        <is>
          <t>Helicopter</t>
        </is>
      </c>
      <c r="H310" s="6" t="n">
        <v>0.7020999999999999</v>
      </c>
      <c r="I310" s="6" t="n">
        <v>1</v>
      </c>
      <c r="J310" s="6" t="n">
        <v>1</v>
      </c>
      <c r="K310" s="6" t="n"/>
      <c r="P310">
        <f>MAX(P311)</f>
        <v/>
      </c>
      <c r="S310">
        <f>S311</f>
        <v/>
      </c>
      <c r="T310">
        <f>(E310/100000+F310/100+(P310/1000)*J310/5+S310/200)*200*I310*H310</f>
        <v/>
      </c>
      <c r="U310">
        <f>((E310*F310/25000)+((P310/1000)*J310*S310/2.5))*I310*H310</f>
        <v/>
      </c>
      <c r="V310">
        <f>(E310*F310*(P310/1000)*J310*S310*I310*H310)/12500000</f>
        <v/>
      </c>
      <c r="W310">
        <f>(T310+U310+V310)/3</f>
        <v/>
      </c>
      <c r="X310" s="6" t="n">
        <v>4000</v>
      </c>
      <c r="Y310">
        <f>IFERROR(W310-X310,"")</f>
        <v/>
      </c>
      <c r="Z310">
        <f>IFERROR(ABS(Y310)/MAX(X310,1),"")</f>
        <v/>
      </c>
      <c r="AA310">
        <f>IFERROR((X310-(((E310/100000+F310/100+S310/200)*200*I310*H310)+((E310*F310/25000)*I310*H310))/3)/(((J310/5)*200*I310*H310)+((J310*S310/2.5)*I310*H310)+((E310*F310*J310*S310*I310*H310)/12500000))/3*1000,"")</f>
        <v/>
      </c>
    </row>
    <row r="311">
      <c r="B311" s="7" t="inlineStr">
        <is>
          <t xml:space="preserve">  ↳ SteelCargoshipCannons</t>
        </is>
      </c>
      <c r="C311" s="7" t="inlineStr">
        <is>
          <t>Armament@PRIMARY</t>
        </is>
      </c>
      <c r="L311" s="6" t="n">
        <v>4000</v>
      </c>
      <c r="M311" s="6" t="n">
        <v>3</v>
      </c>
      <c r="N311" s="6" t="n">
        <v>1</v>
      </c>
      <c r="O311" s="6" t="n"/>
      <c r="P311" s="6" t="n">
        <v>4750</v>
      </c>
      <c r="Q311" s="6" t="n">
        <v>0.875</v>
      </c>
      <c r="R311">
        <f>M311+IF(N311&gt;1,N(O311)*(N311-1),0)</f>
        <v/>
      </c>
      <c r="S311">
        <f>IFERROR(L311*MAX(N311,1)/R311*IF(ISBLANK(K310),1,K310),0)</f>
        <v/>
      </c>
      <c r="AB311" s="7" t="inlineStr">
        <is>
          <t>^Warhead_Bullet_Light, ^Warhead_Bullet_Medium</t>
        </is>
      </c>
    </row>
    <row r="312">
      <c r="A312" t="inlineStr">
        <is>
          <t>redalert2mod</t>
        </is>
      </c>
      <c r="B312" t="inlineStr">
        <is>
          <t>steelconsortium_skyhammer</t>
        </is>
      </c>
      <c r="C312" t="inlineStr">
        <is>
          <t>Sky Hammer</t>
        </is>
      </c>
      <c r="D312" s="6" t="inlineStr">
        <is>
          <t>Helicopter</t>
        </is>
      </c>
      <c r="E312" s="6" t="n">
        <v>120000</v>
      </c>
      <c r="F312" s="6" t="n">
        <v>120</v>
      </c>
      <c r="G312" t="inlineStr">
        <is>
          <t>Helicopter</t>
        </is>
      </c>
      <c r="H312" s="6" t="n">
        <v>0.75</v>
      </c>
      <c r="I312" s="6" t="n">
        <v>1</v>
      </c>
      <c r="J312" s="6" t="n">
        <v>1.25</v>
      </c>
      <c r="K312" s="6" t="n"/>
      <c r="P312">
        <f>MAX(P313,P314,P315)</f>
        <v/>
      </c>
      <c r="S312">
        <f>S313+S314+S315</f>
        <v/>
      </c>
      <c r="T312">
        <f>(E312/100000+F312/100+(P312/1000)*J312/5+S312/200)*200*I312*H312</f>
        <v/>
      </c>
      <c r="U312">
        <f>((E312*F312/25000)+((P312/1000)*J312*S312/2.5))*I312*H312</f>
        <v/>
      </c>
      <c r="V312">
        <f>(E312*F312*(P312/1000)*J312*S312*I312*H312)/12500000</f>
        <v/>
      </c>
      <c r="W312">
        <f>(T312+U312+V312)/3</f>
        <v/>
      </c>
      <c r="X312" s="6" t="n">
        <v>4500</v>
      </c>
      <c r="Y312">
        <f>IFERROR(W312-X312,"")</f>
        <v/>
      </c>
      <c r="Z312">
        <f>IFERROR(ABS(Y312)/MAX(X312,1),"")</f>
        <v/>
      </c>
      <c r="AA312">
        <f>IFERROR((X312-(((E312/100000+F312/100+S312/200)*200*I312*H312)+((E312*F312/25000)*I312*H312))/3)/(((J312/5)*200*I312*H312)+((J312*S312/2.5)*I312*H312)+((E312*F312*J312*S312*I312*H312)/12500000))/3*1000,"")</f>
        <v/>
      </c>
    </row>
    <row r="313">
      <c r="B313" s="7" t="inlineStr">
        <is>
          <t xml:space="preserve">  ↳ SteelAirTurret</t>
        </is>
      </c>
      <c r="C313" s="7" t="inlineStr">
        <is>
          <t>Armament@PRIMARY</t>
        </is>
      </c>
      <c r="L313" s="6" t="n">
        <v>48000</v>
      </c>
      <c r="M313" s="6" t="n">
        <v>60</v>
      </c>
      <c r="N313" s="6" t="n">
        <v>1</v>
      </c>
      <c r="O313" s="6" t="n"/>
      <c r="P313" s="6" t="n">
        <v>8000</v>
      </c>
      <c r="Q313" s="6" t="n">
        <v>1</v>
      </c>
      <c r="R313">
        <f>M313+IF(N313&gt;1,N(O313)*(N313-1),0)</f>
        <v/>
      </c>
      <c r="S313">
        <f>IFERROR(L313*MAX(N313,1)/R313*IF(ISBLANK(K312),1,K312),0)</f>
        <v/>
      </c>
      <c r="AB313" s="7" t="inlineStr">
        <is>
          <t>^LaserWeapon, ^RailgunWeapon</t>
        </is>
      </c>
    </row>
    <row r="314">
      <c r="B314" s="7" t="inlineStr">
        <is>
          <t xml:space="preserve">  ↳ SteelAirTurret_EMP</t>
        </is>
      </c>
      <c r="C314" s="7" t="inlineStr">
        <is>
          <t>Armament@Upgrade</t>
        </is>
      </c>
      <c r="L314" s="6" t="n">
        <v>48000</v>
      </c>
      <c r="M314" s="6" t="n">
        <v>60</v>
      </c>
      <c r="N314" s="6" t="n">
        <v>1</v>
      </c>
      <c r="O314" s="6" t="n"/>
      <c r="P314" s="6" t="n">
        <v>8000</v>
      </c>
      <c r="Q314" s="6" t="n">
        <v>1.25</v>
      </c>
      <c r="R314">
        <f>M314+IF(N314&gt;1,N(O314)*(N314-1),0)</f>
        <v/>
      </c>
      <c r="S314">
        <f>IFERROR(L314*MAX(N314,1)/R314*IF(ISBLANK(K312),1,K312),0)</f>
        <v/>
      </c>
      <c r="AB314" s="7" t="inlineStr">
        <is>
          <t>^Warhead_Tesla_Heavy</t>
        </is>
      </c>
    </row>
    <row r="315">
      <c r="B315" s="7" t="inlineStr">
        <is>
          <t xml:space="preserve">  ↳ SteelAirTurret_elite</t>
        </is>
      </c>
      <c r="C315" s="7" t="inlineStr">
        <is>
          <t>Armament@elite</t>
        </is>
      </c>
      <c r="L315" s="6" t="n">
        <v>72000</v>
      </c>
      <c r="M315" s="6" t="n">
        <v>60</v>
      </c>
      <c r="N315" s="6" t="n">
        <v>1</v>
      </c>
      <c r="O315" s="6" t="n"/>
      <c r="P315" s="6" t="n">
        <v>9000</v>
      </c>
      <c r="Q315" s="6" t="n">
        <v>1.25</v>
      </c>
      <c r="R315">
        <f>M315+IF(N315&gt;1,N(O315)*(N315-1),0)</f>
        <v/>
      </c>
      <c r="S315">
        <f>IFERROR(L315*MAX(N315,1)/R315*IF(ISBLANK(K312),1,K312),0)</f>
        <v/>
      </c>
      <c r="AB315" s="7" t="inlineStr">
        <is>
          <t>^Warhead_Tesla_Heavy</t>
        </is>
      </c>
    </row>
    <row r="316">
      <c r="A316" t="inlineStr">
        <is>
          <t>redalert2mod</t>
        </is>
      </c>
      <c r="B316" t="inlineStr">
        <is>
          <t>latinsyndicate_hindtransport</t>
        </is>
      </c>
      <c r="C316" t="inlineStr">
        <is>
          <t>Hind Transport</t>
        </is>
      </c>
      <c r="D316" s="6" t="inlineStr">
        <is>
          <t>Helicopter</t>
        </is>
      </c>
      <c r="E316" s="6" t="n">
        <v>95000</v>
      </c>
      <c r="F316" s="6" t="n">
        <v>90</v>
      </c>
      <c r="G316" t="inlineStr">
        <is>
          <t>Helicopter</t>
        </is>
      </c>
      <c r="H316" s="6" t="n">
        <v>0.7020999999999999</v>
      </c>
      <c r="I316" s="6" t="n">
        <v>1</v>
      </c>
      <c r="J316" s="6" t="n">
        <v>1</v>
      </c>
      <c r="K316" s="6" t="n">
        <v>0.0075</v>
      </c>
      <c r="P316">
        <f>MAX(P317)</f>
        <v/>
      </c>
      <c r="S316">
        <f>S317</f>
        <v/>
      </c>
      <c r="T316">
        <f>(E316/100000+F316/100+(P316/1000)*J316/5+S316/200)*200*I316*H316</f>
        <v/>
      </c>
      <c r="U316">
        <f>((E316*F316/25000)+((P316/1000)*J316*S316/2.5))*I316*H316</f>
        <v/>
      </c>
      <c r="V316">
        <f>(E316*F316*(P316/1000)*J316*S316*I316*H316)/12500000</f>
        <v/>
      </c>
      <c r="W316">
        <f>(T316+U316+V316)/3</f>
        <v/>
      </c>
      <c r="X316" s="6" t="n">
        <v>2500</v>
      </c>
      <c r="Y316">
        <f>IFERROR(W316-X316,"")</f>
        <v/>
      </c>
      <c r="Z316">
        <f>IFERROR(ABS(Y316)/MAX(X316,1),"")</f>
        <v/>
      </c>
      <c r="AA316">
        <f>IFERROR((X316-(((E316/100000+F316/100+S316/200)*200*I316*H316)+((E316*F316/25000)*I316*H316))/3)/(((J316/5)*200*I316*H316)+((J316*S316/2.5)*I316*H316)+((E316*F316*J316*S316*I316*H316)/12500000))/3*1000,"")</f>
        <v/>
      </c>
    </row>
    <row r="317">
      <c r="B317" s="7" t="inlineStr">
        <is>
          <t xml:space="preserve">  ↳ BlackHawkCannon</t>
        </is>
      </c>
      <c r="C317" s="7" t="inlineStr">
        <is>
          <t>Armament@PRIMARY</t>
        </is>
      </c>
      <c r="L317" s="6" t="n">
        <v>4000</v>
      </c>
      <c r="M317" s="6" t="n">
        <v>3</v>
      </c>
      <c r="N317" s="6" t="n">
        <v>1</v>
      </c>
      <c r="O317" s="6" t="n"/>
      <c r="P317" s="6" t="n">
        <v>4750</v>
      </c>
      <c r="Q317" s="6" t="n">
        <v>0.875</v>
      </c>
      <c r="R317">
        <f>M317+IF(N317&gt;1,N(O317)*(N317-1),0)</f>
        <v/>
      </c>
      <c r="S317">
        <f>IFERROR(L317*MAX(N317,1)/R317*IF(ISBLANK(K316),1,K316),0)</f>
        <v/>
      </c>
      <c r="AB317" s="7" t="inlineStr">
        <is>
          <t>^Warhead_Bullet_Light, ^Warhead_Bullet_Medium</t>
        </is>
      </c>
    </row>
    <row r="318">
      <c r="A318" t="inlineStr">
        <is>
          <t>redalert2mod</t>
        </is>
      </c>
      <c r="B318" t="inlineStr">
        <is>
          <t>naxis_transportzeppelin</t>
        </is>
      </c>
      <c r="C318" t="inlineStr">
        <is>
          <t>Transport Zeppelin</t>
        </is>
      </c>
      <c r="D318" s="6" t="inlineStr">
        <is>
          <t>Helicopter</t>
        </is>
      </c>
      <c r="E318" s="6" t="n">
        <v>1250000</v>
      </c>
      <c r="F318" s="6" t="n">
        <v>35</v>
      </c>
      <c r="G318" t="inlineStr">
        <is>
          <t>Helicopter</t>
        </is>
      </c>
      <c r="H318" s="6" t="n">
        <v>0.6846</v>
      </c>
      <c r="I318" s="6" t="n">
        <v>1</v>
      </c>
      <c r="J318" s="6" t="n">
        <v>1</v>
      </c>
      <c r="K318" s="6" t="n">
        <v>0.005</v>
      </c>
      <c r="P318">
        <f>MAX(P319,P320,P321,P322)</f>
        <v/>
      </c>
      <c r="S318">
        <f>S319+S320+S321+S322</f>
        <v/>
      </c>
      <c r="T318">
        <f>(E318/100000+F318/100+(P318/1000)*J318/5+S318/200)*200*I318*H318</f>
        <v/>
      </c>
      <c r="U318">
        <f>((E318*F318/25000)+((P318/1000)*J318*S318/2.5))*I318*H318</f>
        <v/>
      </c>
      <c r="V318">
        <f>(E318*F318*(P318/1000)*J318*S318*I318*H318)/12500000</f>
        <v/>
      </c>
      <c r="W318">
        <f>(T318+U318+V318)/3</f>
        <v/>
      </c>
      <c r="X318" s="6" t="n">
        <v>5000</v>
      </c>
      <c r="Y318">
        <f>IFERROR(W318-X318,"")</f>
        <v/>
      </c>
      <c r="Z318">
        <f>IFERROR(ABS(Y318)/MAX(X318,1),"")</f>
        <v/>
      </c>
      <c r="AA318">
        <f>IFERROR((X318-(((E318/100000+F318/100+S318/200)*200*I318*H318)+((E318*F318/25000)*I318*H318))/3)/(((J318/5)*200*I318*H318)+((J318*S318/2.5)*I318*H318)+((E318*F318*J318*S318*I318*H318)/12500000))/3*1000,"")</f>
        <v/>
      </c>
    </row>
    <row r="319">
      <c r="B319" s="7" t="inlineStr">
        <is>
          <t xml:space="preserve">  ↳ NaxQuadCannon</t>
        </is>
      </c>
      <c r="C319" s="7" t="inlineStr">
        <is>
          <t>Armament</t>
        </is>
      </c>
      <c r="L319" s="6" t="n">
        <v>7000</v>
      </c>
      <c r="M319" s="6" t="n">
        <v>47</v>
      </c>
      <c r="N319" s="6" t="n">
        <v>6</v>
      </c>
      <c r="O319" s="6" t="n">
        <v>4</v>
      </c>
      <c r="P319" s="6" t="n">
        <v>5368</v>
      </c>
      <c r="Q319" s="6" t="n">
        <v>1</v>
      </c>
      <c r="R319">
        <f>M319+IF(N319&gt;1,N(O319)*(N319-1),0)</f>
        <v/>
      </c>
      <c r="S319">
        <f>IFERROR(L319*MAX(N319,1)/R319*IF(ISBLANK(K318),1,K318),0)</f>
        <v/>
      </c>
      <c r="AB319" s="7" t="inlineStr">
        <is>
          <t>^Warhead_Flak_Medium</t>
        </is>
      </c>
    </row>
    <row r="320">
      <c r="B320" s="7" t="inlineStr">
        <is>
          <t xml:space="preserve">  ↳ NaxQuadCannon_elite</t>
        </is>
      </c>
      <c r="C320" s="7" t="inlineStr">
        <is>
          <t>Armament@elite</t>
        </is>
      </c>
      <c r="L320" s="6" t="n">
        <v>7000</v>
      </c>
      <c r="M320" s="6" t="n">
        <v>47</v>
      </c>
      <c r="N320" s="6" t="n">
        <v>8</v>
      </c>
      <c r="O320" s="6" t="n">
        <v>3</v>
      </c>
      <c r="P320" s="6" t="n">
        <v>6368</v>
      </c>
      <c r="Q320" s="6" t="n">
        <v>1</v>
      </c>
      <c r="R320">
        <f>M320+IF(N320&gt;1,N(O320)*(N320-1),0)</f>
        <v/>
      </c>
      <c r="S320">
        <f>IFERROR(L320*MAX(N320,1)/R320*IF(ISBLANK(K318),1,K318),0)</f>
        <v/>
      </c>
      <c r="AB320" s="7" t="inlineStr">
        <is>
          <t>^Warhead_Flak_Medium</t>
        </is>
      </c>
    </row>
    <row r="321">
      <c r="B321" s="7" t="inlineStr">
        <is>
          <t xml:space="preserve">  ↳ NaxQuadCannon_AA</t>
        </is>
      </c>
      <c r="C321" s="7" t="inlineStr">
        <is>
          <t>Armament@AA</t>
        </is>
      </c>
      <c r="L321" s="6" t="n">
        <v>7000</v>
      </c>
      <c r="M321" s="6" t="n">
        <v>47</v>
      </c>
      <c r="N321" s="6" t="n">
        <v>6</v>
      </c>
      <c r="O321" s="6" t="n">
        <v>4</v>
      </c>
      <c r="P321" s="6" t="n">
        <v>8052</v>
      </c>
      <c r="Q321" s="6" t="n">
        <v>1</v>
      </c>
      <c r="R321">
        <f>M321+IF(N321&gt;1,N(O321)*(N321-1),0)</f>
        <v/>
      </c>
      <c r="S321">
        <f>IFERROR(L321*MAX(N321,1)/R321*IF(ISBLANK(K318),1,K318),0)</f>
        <v/>
      </c>
      <c r="AB321" s="7" t="inlineStr">
        <is>
          <t>^Warhead_Flak_Medium</t>
        </is>
      </c>
    </row>
    <row r="322">
      <c r="B322" s="7" t="inlineStr">
        <is>
          <t xml:space="preserve">  ↳ NaxQuadCannon_AA_elite</t>
        </is>
      </c>
      <c r="C322" s="7" t="inlineStr">
        <is>
          <t>Armament@eliteAA</t>
        </is>
      </c>
      <c r="L322" s="6" t="n">
        <v>7000</v>
      </c>
      <c r="M322" s="6" t="n">
        <v>47</v>
      </c>
      <c r="N322" s="6" t="n">
        <v>8</v>
      </c>
      <c r="O322" s="6" t="n">
        <v>3</v>
      </c>
      <c r="P322" s="6" t="n">
        <v>9052</v>
      </c>
      <c r="Q322" s="6" t="n">
        <v>1</v>
      </c>
      <c r="R322">
        <f>M322+IF(N322&gt;1,N(O322)*(N322-1),0)</f>
        <v/>
      </c>
      <c r="S322">
        <f>IFERROR(L322*MAX(N322,1)/R322*IF(ISBLANK(K318),1,K318),0)</f>
        <v/>
      </c>
      <c r="AB322" s="7" t="inlineStr">
        <is>
          <t>^Warhead_Flak_Medium</t>
        </is>
      </c>
    </row>
    <row r="323">
      <c r="A323" t="inlineStr">
        <is>
          <t>redalert2mod</t>
        </is>
      </c>
      <c r="B323" t="inlineStr">
        <is>
          <t>schwarzermond_spacezeppelin</t>
        </is>
      </c>
      <c r="C323" t="inlineStr">
        <is>
          <t>Space Zeppelin</t>
        </is>
      </c>
      <c r="D323" s="6" t="inlineStr">
        <is>
          <t>Helicopter</t>
        </is>
      </c>
      <c r="E323" s="6" t="n">
        <v>1350000</v>
      </c>
      <c r="F323" s="6" t="n">
        <v>35</v>
      </c>
      <c r="G323" t="inlineStr">
        <is>
          <t>Helicopter</t>
        </is>
      </c>
      <c r="H323" s="6" t="n">
        <v>0.5482</v>
      </c>
      <c r="I323" s="6" t="n">
        <v>1</v>
      </c>
      <c r="J323" s="6" t="n">
        <v>1</v>
      </c>
      <c r="K323" s="6" t="n">
        <v>0.005</v>
      </c>
      <c r="P323">
        <f>MAX(P324,P325,P326,P327,P328,P329,P330,P331,P332,P333,P334,P335)</f>
        <v/>
      </c>
      <c r="S323">
        <f>S324+S325+S326+S327+S328+S329+S330+S331+S332+S333+S334+S335</f>
        <v/>
      </c>
      <c r="T323">
        <f>(E323/100000+F323/100+(P323/1000)*J323/5+S323/200)*200*I323*H323</f>
        <v/>
      </c>
      <c r="U323">
        <f>((E323*F323/25000)+((P323/1000)*J323*S323/2.5))*I323*H323</f>
        <v/>
      </c>
      <c r="V323">
        <f>(E323*F323*(P323/1000)*J323*S323*I323*H323)/12500000</f>
        <v/>
      </c>
      <c r="W323">
        <f>(T323+U323+V323)/3</f>
        <v/>
      </c>
      <c r="X323" s="6" t="n">
        <v>6000</v>
      </c>
      <c r="Y323">
        <f>IFERROR(W323-X323,"")</f>
        <v/>
      </c>
      <c r="Z323">
        <f>IFERROR(ABS(Y323)/MAX(X323,1),"")</f>
        <v/>
      </c>
      <c r="AA323">
        <f>IFERROR((X323-(((E323/100000+F323/100+S323/200)*200*I323*H323)+((E323*F323/25000)*I323*H323))/3)/(((J323/5)*200*I323*H323)+((J323*S323/2.5)*I323*H323)+((E323*F323*J323*S323*I323*H323)/12500000))/3*1000,"")</f>
        <v/>
      </c>
    </row>
    <row r="324">
      <c r="B324" s="7" t="inlineStr">
        <is>
          <t xml:space="preserve">  ↳ NaxiBeetleLaser_elite</t>
        </is>
      </c>
      <c r="C324" s="7" t="inlineStr">
        <is>
          <t>Armament</t>
        </is>
      </c>
      <c r="L324" s="6" t="n">
        <v>8000</v>
      </c>
      <c r="M324" s="6" t="n">
        <v>60</v>
      </c>
      <c r="N324" s="6" t="n">
        <v>2</v>
      </c>
      <c r="O324" s="6" t="n">
        <v>4</v>
      </c>
      <c r="P324" s="6" t="n">
        <v>6448</v>
      </c>
      <c r="Q324" s="6" t="n">
        <v>1</v>
      </c>
      <c r="R324">
        <f>M324+IF(N324&gt;1,N(O324)*(N324-1),0)</f>
        <v/>
      </c>
      <c r="S324">
        <f>IFERROR(L324*MAX(N324,1)/R324*IF(ISBLANK(K323),1,K323),0)</f>
        <v/>
      </c>
      <c r="AB324" s="7" t="inlineStr">
        <is>
          <t>^SmallArms, ^Chaingun, ^MediumMissile, ^LaserWeapon</t>
        </is>
      </c>
    </row>
    <row r="325">
      <c r="B325" s="7" t="inlineStr">
        <is>
          <t xml:space="preserve">  ↳ NaxiBeetleLaser_elite</t>
        </is>
      </c>
      <c r="C325" s="7" t="inlineStr">
        <is>
          <t>Armament@elite</t>
        </is>
      </c>
      <c r="L325" s="6" t="n">
        <v>8000</v>
      </c>
      <c r="M325" s="6" t="n">
        <v>60</v>
      </c>
      <c r="N325" s="6" t="n">
        <v>2</v>
      </c>
      <c r="O325" s="6" t="n">
        <v>4</v>
      </c>
      <c r="P325" s="6" t="n">
        <v>6448</v>
      </c>
      <c r="Q325" s="6" t="n">
        <v>1</v>
      </c>
      <c r="R325">
        <f>M325+IF(N325&gt;1,N(O325)*(N325-1),0)</f>
        <v/>
      </c>
      <c r="S325">
        <f>IFERROR(L325*MAX(N325,1)/R325*IF(ISBLANK(K323),1,K323),0)</f>
        <v/>
      </c>
      <c r="AB325" s="7" t="inlineStr">
        <is>
          <t>^SmallArms, ^Chaingun, ^MediumMissile, ^LaserWeapon</t>
        </is>
      </c>
    </row>
    <row r="326">
      <c r="B326" s="7" t="inlineStr">
        <is>
          <t xml:space="preserve">  ↳ NaxiBeetleLaser_AA_elite</t>
        </is>
      </c>
      <c r="C326" s="7" t="inlineStr">
        <is>
          <t>Armament@AA</t>
        </is>
      </c>
      <c r="L326" s="6" t="n">
        <v>8000</v>
      </c>
      <c r="M326" s="6" t="n">
        <v>60</v>
      </c>
      <c r="N326" s="6" t="n">
        <v>2</v>
      </c>
      <c r="O326" s="6" t="n">
        <v>4</v>
      </c>
      <c r="P326" s="6" t="n">
        <v>9672</v>
      </c>
      <c r="Q326" s="6" t="n">
        <v>1</v>
      </c>
      <c r="R326">
        <f>M326+IF(N326&gt;1,N(O326)*(N326-1),0)</f>
        <v/>
      </c>
      <c r="S326">
        <f>IFERROR(L326*MAX(N326,1)/R326*IF(ISBLANK(K323),1,K323),0)</f>
        <v/>
      </c>
      <c r="AB326" s="7" t="inlineStr">
        <is>
          <t>NaxiBeetleLaser_elite</t>
        </is>
      </c>
    </row>
    <row r="327">
      <c r="B327" s="7" t="inlineStr">
        <is>
          <t xml:space="preserve">  ↳ NaxiBeetleLaser_AA_elite</t>
        </is>
      </c>
      <c r="C327" s="7" t="inlineStr">
        <is>
          <t>Armament@eliteAA</t>
        </is>
      </c>
      <c r="L327" s="6" t="n">
        <v>8000</v>
      </c>
      <c r="M327" s="6" t="n">
        <v>60</v>
      </c>
      <c r="N327" s="6" t="n">
        <v>2</v>
      </c>
      <c r="O327" s="6" t="n">
        <v>4</v>
      </c>
      <c r="P327" s="6" t="n">
        <v>9672</v>
      </c>
      <c r="Q327" s="6" t="n">
        <v>1</v>
      </c>
      <c r="R327">
        <f>M327+IF(N327&gt;1,N(O327)*(N327-1),0)</f>
        <v/>
      </c>
      <c r="S327">
        <f>IFERROR(L327*MAX(N327,1)/R327*IF(ISBLANK(K323),1,K323),0)</f>
        <v/>
      </c>
      <c r="AB327" s="7" t="inlineStr">
        <is>
          <t>NaxiBeetleLaser_elite</t>
        </is>
      </c>
    </row>
    <row r="328">
      <c r="B328" s="7" t="inlineStr">
        <is>
          <t xml:space="preserve">  ↳ Lunar_YellowBeetleLaser</t>
        </is>
      </c>
      <c r="C328" s="7" t="inlineStr">
        <is>
          <t>Armament@UP</t>
        </is>
      </c>
      <c r="L328" s="6" t="n">
        <v>8000</v>
      </c>
      <c r="M328" s="6" t="n">
        <v>60</v>
      </c>
      <c r="N328" s="6" t="n">
        <v>3</v>
      </c>
      <c r="O328" s="6" t="n">
        <v>4</v>
      </c>
      <c r="P328" s="6" t="n">
        <v>6448</v>
      </c>
      <c r="Q328" s="6" t="n">
        <v>1</v>
      </c>
      <c r="R328">
        <f>M328+IF(N328&gt;1,N(O328)*(N328-1),0)</f>
        <v/>
      </c>
      <c r="S328">
        <f>IFERROR(L328*MAX(N328,1)/R328*IF(ISBLANK(K323),1,K323),0)</f>
        <v/>
      </c>
      <c r="AB328" s="7" t="inlineStr">
        <is>
          <t>NaxiBeetleLaser_elite</t>
        </is>
      </c>
    </row>
    <row r="329">
      <c r="B329" s="7" t="inlineStr">
        <is>
          <t xml:space="preserve">  ↳ Lunar_YellowBeetleLaser</t>
        </is>
      </c>
      <c r="C329" s="7" t="inlineStr">
        <is>
          <t>Armament@eliteUP</t>
        </is>
      </c>
      <c r="L329" s="6" t="n">
        <v>8000</v>
      </c>
      <c r="M329" s="6" t="n">
        <v>60</v>
      </c>
      <c r="N329" s="6" t="n">
        <v>3</v>
      </c>
      <c r="O329" s="6" t="n">
        <v>4</v>
      </c>
      <c r="P329" s="6" t="n">
        <v>6448</v>
      </c>
      <c r="Q329" s="6" t="n">
        <v>1</v>
      </c>
      <c r="R329">
        <f>M329+IF(N329&gt;1,N(O329)*(N329-1),0)</f>
        <v/>
      </c>
      <c r="S329">
        <f>IFERROR(L329*MAX(N329,1)/R329*IF(ISBLANK(K323),1,K323),0)</f>
        <v/>
      </c>
      <c r="AB329" s="7" t="inlineStr">
        <is>
          <t>NaxiBeetleLaser_elite</t>
        </is>
      </c>
    </row>
    <row r="330">
      <c r="B330" s="7" t="inlineStr">
        <is>
          <t xml:space="preserve">  ↳ Lunar_YellowBeetleLaser_AA</t>
        </is>
      </c>
      <c r="C330" s="7" t="inlineStr">
        <is>
          <t>Armament@AA_UP</t>
        </is>
      </c>
      <c r="L330" s="6" t="n">
        <v>8000</v>
      </c>
      <c r="M330" s="6" t="n">
        <v>60</v>
      </c>
      <c r="N330" s="6" t="n">
        <v>3</v>
      </c>
      <c r="O330" s="6" t="n">
        <v>4</v>
      </c>
      <c r="P330" s="6" t="n">
        <v>9672</v>
      </c>
      <c r="Q330" s="6" t="n">
        <v>1</v>
      </c>
      <c r="R330">
        <f>M330+IF(N330&gt;1,N(O330)*(N330-1),0)</f>
        <v/>
      </c>
      <c r="S330">
        <f>IFERROR(L330*MAX(N330,1)/R330*IF(ISBLANK(K323),1,K323),0)</f>
        <v/>
      </c>
      <c r="AB330" s="7" t="inlineStr">
        <is>
          <t>NaxiBeetleLaser_AA_elite</t>
        </is>
      </c>
    </row>
    <row r="331">
      <c r="B331" s="7" t="inlineStr">
        <is>
          <t xml:space="preserve">  ↳ Lunar_YellowBeetleLaser_AA</t>
        </is>
      </c>
      <c r="C331" s="7" t="inlineStr">
        <is>
          <t>Armament@eliteAA_UP</t>
        </is>
      </c>
      <c r="L331" s="6" t="n">
        <v>8000</v>
      </c>
      <c r="M331" s="6" t="n">
        <v>60</v>
      </c>
      <c r="N331" s="6" t="n">
        <v>3</v>
      </c>
      <c r="O331" s="6" t="n">
        <v>4</v>
      </c>
      <c r="P331" s="6" t="n">
        <v>9672</v>
      </c>
      <c r="Q331" s="6" t="n">
        <v>1</v>
      </c>
      <c r="R331">
        <f>M331+IF(N331&gt;1,N(O331)*(N331-1),0)</f>
        <v/>
      </c>
      <c r="S331">
        <f>IFERROR(L331*MAX(N331,1)/R331*IF(ISBLANK(K323),1,K323),0)</f>
        <v/>
      </c>
      <c r="AB331" s="7" t="inlineStr">
        <is>
          <t>NaxiBeetleLaser_AA_elite</t>
        </is>
      </c>
    </row>
    <row r="332">
      <c r="B332" s="7" t="inlineStr">
        <is>
          <t xml:space="preserve">  ↳ Lunar_AmplifiedBeetleLaser</t>
        </is>
      </c>
      <c r="C332" s="7" t="inlineStr">
        <is>
          <t>Armament@AMP</t>
        </is>
      </c>
      <c r="L332" s="6" t="n">
        <v>8000</v>
      </c>
      <c r="M332" s="6" t="n">
        <v>60</v>
      </c>
      <c r="N332" s="6" t="n">
        <v>4</v>
      </c>
      <c r="O332" s="6" t="n">
        <v>4</v>
      </c>
      <c r="P332" s="6" t="n">
        <v>6448</v>
      </c>
      <c r="Q332" s="6" t="n">
        <v>1</v>
      </c>
      <c r="R332">
        <f>M332+IF(N332&gt;1,N(O332)*(N332-1),0)</f>
        <v/>
      </c>
      <c r="S332">
        <f>IFERROR(L332*MAX(N332,1)/R332*IF(ISBLANK(K323),1,K323),0)</f>
        <v/>
      </c>
      <c r="AB332" s="7" t="inlineStr">
        <is>
          <t>NaxiBeetleLaser_elite</t>
        </is>
      </c>
    </row>
    <row r="333">
      <c r="B333" s="7" t="inlineStr">
        <is>
          <t xml:space="preserve">  ↳ Lunar_AmplifiedBeetleLaser</t>
        </is>
      </c>
      <c r="C333" s="7" t="inlineStr">
        <is>
          <t>Armament@eliteAMP</t>
        </is>
      </c>
      <c r="L333" s="6" t="n">
        <v>8000</v>
      </c>
      <c r="M333" s="6" t="n">
        <v>60</v>
      </c>
      <c r="N333" s="6" t="n">
        <v>4</v>
      </c>
      <c r="O333" s="6" t="n">
        <v>4</v>
      </c>
      <c r="P333" s="6" t="n">
        <v>6448</v>
      </c>
      <c r="Q333" s="6" t="n">
        <v>1</v>
      </c>
      <c r="R333">
        <f>M333+IF(N333&gt;1,N(O333)*(N333-1),0)</f>
        <v/>
      </c>
      <c r="S333">
        <f>IFERROR(L333*MAX(N333,1)/R333*IF(ISBLANK(K323),1,K323),0)</f>
        <v/>
      </c>
      <c r="AB333" s="7" t="inlineStr">
        <is>
          <t>NaxiBeetleLaser_elite</t>
        </is>
      </c>
    </row>
    <row r="334">
      <c r="B334" s="7" t="inlineStr">
        <is>
          <t xml:space="preserve">  ↳ Lunar_AmplifiedBeetleLaser_AA</t>
        </is>
      </c>
      <c r="C334" s="7" t="inlineStr">
        <is>
          <t>Armament@AA_AMP</t>
        </is>
      </c>
      <c r="L334" s="6" t="n">
        <v>8000</v>
      </c>
      <c r="M334" s="6" t="n">
        <v>60</v>
      </c>
      <c r="N334" s="6" t="n">
        <v>4</v>
      </c>
      <c r="O334" s="6" t="n">
        <v>4</v>
      </c>
      <c r="P334" s="6" t="n">
        <v>9672</v>
      </c>
      <c r="Q334" s="6" t="n">
        <v>1</v>
      </c>
      <c r="R334">
        <f>M334+IF(N334&gt;1,N(O334)*(N334-1),0)</f>
        <v/>
      </c>
      <c r="S334">
        <f>IFERROR(L334*MAX(N334,1)/R334*IF(ISBLANK(K323),1,K323),0)</f>
        <v/>
      </c>
      <c r="AB334" s="7" t="inlineStr">
        <is>
          <t>NaxiBeetleLaser_AA_elite</t>
        </is>
      </c>
    </row>
    <row r="335">
      <c r="B335" s="7" t="inlineStr">
        <is>
          <t xml:space="preserve">  ↳ Lunar_AmplifiedBeetleLaser_AA</t>
        </is>
      </c>
      <c r="C335" s="7" t="inlineStr">
        <is>
          <t>Armament@eliteAA_AMP</t>
        </is>
      </c>
      <c r="L335" s="6" t="n">
        <v>8000</v>
      </c>
      <c r="M335" s="6" t="n">
        <v>60</v>
      </c>
      <c r="N335" s="6" t="n">
        <v>4</v>
      </c>
      <c r="O335" s="6" t="n">
        <v>4</v>
      </c>
      <c r="P335" s="6" t="n">
        <v>9672</v>
      </c>
      <c r="Q335" s="6" t="n">
        <v>1</v>
      </c>
      <c r="R335">
        <f>M335+IF(N335&gt;1,N(O335)*(N335-1),0)</f>
        <v/>
      </c>
      <c r="S335">
        <f>IFERROR(L335*MAX(N335,1)/R335*IF(ISBLANK(K323),1,K323),0)</f>
        <v/>
      </c>
      <c r="AB335" s="7" t="inlineStr">
        <is>
          <t>NaxiBeetleLaser_AA_elite</t>
        </is>
      </c>
    </row>
    <row r="336">
      <c r="A336" t="inlineStr">
        <is>
          <t>redalert2mod</t>
        </is>
      </c>
      <c r="B336" t="inlineStr">
        <is>
          <t>futuretech_cryocopter</t>
        </is>
      </c>
      <c r="C336" t="inlineStr">
        <is>
          <t>Cryocopter</t>
        </is>
      </c>
      <c r="D336" s="6" t="inlineStr">
        <is>
          <t>Helicopter</t>
        </is>
      </c>
      <c r="E336" s="6" t="n">
        <v>90000</v>
      </c>
      <c r="F336" s="6" t="n">
        <v>125</v>
      </c>
      <c r="G336" t="inlineStr">
        <is>
          <t>Helicopter</t>
        </is>
      </c>
      <c r="H336" s="6" t="n">
        <v>0.75</v>
      </c>
      <c r="I336" s="6" t="n">
        <v>1</v>
      </c>
      <c r="J336" s="6" t="n">
        <v>1.5</v>
      </c>
      <c r="K336" s="6" t="n">
        <v>0.0012</v>
      </c>
      <c r="P336">
        <f>MAX(P337,P338)</f>
        <v/>
      </c>
      <c r="S336">
        <f>S337+S338</f>
        <v/>
      </c>
      <c r="T336">
        <f>(E336/100000+F336/100+(P336/1000)*J336/5+S336/200)*200*I336*H336</f>
        <v/>
      </c>
      <c r="U336">
        <f>((E336*F336/25000)+((P336/1000)*J336*S336/2.5))*I336*H336</f>
        <v/>
      </c>
      <c r="V336">
        <f>(E336*F336*(P336/1000)*J336*S336*I336*H336)/12500000</f>
        <v/>
      </c>
      <c r="W336">
        <f>(T336+U336+V336)/3</f>
        <v/>
      </c>
      <c r="X336" s="6" t="n">
        <v>900</v>
      </c>
      <c r="Y336">
        <f>IFERROR(W336-X336,"")</f>
        <v/>
      </c>
      <c r="Z336">
        <f>IFERROR(ABS(Y336)/MAX(X336,1),"")</f>
        <v/>
      </c>
      <c r="AA336">
        <f>IFERROR((X336-(((E336/100000+F336/100+S336/200)*200*I336*H336)+((E336*F336/25000)*I336*H336))/3)/(((J336/5)*200*I336*H336)+((J336*S336/2.5)*I336*H336)+((E336*F336*J336*S336*I336*H336)/12500000))/3*1000,"")</f>
        <v/>
      </c>
    </row>
    <row r="337">
      <c r="B337" s="7" t="inlineStr">
        <is>
          <t xml:space="preserve">  ↳ Future_Cryocopter_Rocket</t>
        </is>
      </c>
      <c r="C337" s="7" t="inlineStr">
        <is>
          <t>Armament@Rocket</t>
        </is>
      </c>
      <c r="L337" s="6" t="n">
        <v>48000</v>
      </c>
      <c r="M337" s="6" t="n">
        <v>60</v>
      </c>
      <c r="N337" s="6" t="n">
        <v>2</v>
      </c>
      <c r="O337" s="6" t="n">
        <v>4</v>
      </c>
      <c r="P337" s="6" t="n">
        <v>5200</v>
      </c>
      <c r="Q337" s="6" t="n">
        <v>1.125</v>
      </c>
      <c r="R337">
        <f>M337+IF(N337&gt;1,N(O337)*(N337-1),0)</f>
        <v/>
      </c>
      <c r="S337">
        <f>IFERROR(L337*MAX(N337,1)/R337*IF(ISBLANK(K336),1,K336),0)</f>
        <v/>
      </c>
      <c r="AB337" s="7" t="inlineStr">
        <is>
          <t>^Warhead_MissileAP_Heavy, ^Warhead_MissileAP_Medium</t>
        </is>
      </c>
    </row>
    <row r="338">
      <c r="B338" s="7" t="inlineStr">
        <is>
          <t xml:space="preserve">  ↳ Future_Cryocopter_Cryo</t>
        </is>
      </c>
      <c r="C338" s="7" t="inlineStr">
        <is>
          <t>Armament@PRIMARY</t>
        </is>
      </c>
      <c r="L338" s="6" t="n">
        <v>11000</v>
      </c>
      <c r="M338" s="6" t="n">
        <v>8</v>
      </c>
      <c r="N338" s="6" t="n">
        <v>1</v>
      </c>
      <c r="O338" s="6" t="n"/>
      <c r="P338" s="6" t="n">
        <v>5200</v>
      </c>
      <c r="Q338" s="6" t="n">
        <v>1</v>
      </c>
      <c r="R338">
        <f>M338+IF(N338&gt;1,N(O338)*(N338-1),0)</f>
        <v/>
      </c>
      <c r="S338">
        <f>IFERROR(L338*MAX(N338,1)/R338*IF(ISBLANK(K336),1,K336),0)</f>
        <v/>
      </c>
      <c r="AB338" s="7" t="inlineStr">
        <is>
          <t>^LightMissile, ^SmallArms, ^Chaingun, ^FlakWeapon, ^TeslaWeapon, ^LaserWeapon</t>
        </is>
      </c>
    </row>
    <row r="339">
      <c r="A339" t="inlineStr">
        <is>
          <t>redalert2mod</t>
        </is>
      </c>
      <c r="B339" t="inlineStr">
        <is>
          <t>tkm_iroquois</t>
        </is>
      </c>
      <c r="C339" t="inlineStr">
        <is>
          <t>Iroquois</t>
        </is>
      </c>
      <c r="D339" s="6" t="inlineStr">
        <is>
          <t>Helicopter</t>
        </is>
      </c>
      <c r="E339" s="6" t="n">
        <v>100000</v>
      </c>
      <c r="F339" s="6" t="n">
        <v>120</v>
      </c>
      <c r="G339" t="inlineStr">
        <is>
          <t>Helicopter</t>
        </is>
      </c>
      <c r="H339" s="6" t="n">
        <v>0.6044</v>
      </c>
      <c r="I339" s="6" t="n">
        <v>1</v>
      </c>
      <c r="J339" s="6" t="n">
        <v>1</v>
      </c>
      <c r="K339" s="6" t="n">
        <v>0.005</v>
      </c>
      <c r="P339">
        <f>MAX(P340,P341,P342,P343,P344)</f>
        <v/>
      </c>
      <c r="S339">
        <f>S340+S341+S342+S343+S344</f>
        <v/>
      </c>
      <c r="T339">
        <f>(E339/100000+F339/100+(P339/1000)*J339/5+S339/200)*200*I339*H339</f>
        <v/>
      </c>
      <c r="U339">
        <f>((E339*F339/25000)+((P339/1000)*J339*S339/2.5))*I339*H339</f>
        <v/>
      </c>
      <c r="V339">
        <f>(E339*F339*(P339/1000)*J339*S339*I339*H339)/12500000</f>
        <v/>
      </c>
      <c r="W339">
        <f>(T339+U339+V339)/3</f>
        <v/>
      </c>
      <c r="X339" s="6" t="n">
        <v>1800</v>
      </c>
      <c r="Y339">
        <f>IFERROR(W339-X339,"")</f>
        <v/>
      </c>
      <c r="Z339">
        <f>IFERROR(ABS(Y339)/MAX(X339,1),"")</f>
        <v/>
      </c>
      <c r="AA339">
        <f>IFERROR((X339-(((E339/100000+F339/100+S339/200)*200*I339*H339)+((E339*F339/25000)*I339*H339))/3)/(((J339/5)*200*I339*H339)+((J339*S339/2.5)*I339*H339)+((E339*F339*J339*S339*I339*H339)/12500000))/3*1000,"")</f>
        <v/>
      </c>
    </row>
    <row r="340">
      <c r="B340" s="7" t="inlineStr">
        <is>
          <t xml:space="preserve">  ↳ HueyGun</t>
        </is>
      </c>
      <c r="C340" s="7" t="inlineStr">
        <is>
          <t>Armament@PRIMARY</t>
        </is>
      </c>
      <c r="L340" s="6" t="n">
        <v>4000</v>
      </c>
      <c r="M340" s="6" t="n">
        <v>7</v>
      </c>
      <c r="N340" s="6" t="n">
        <v>1</v>
      </c>
      <c r="O340" s="6" t="n"/>
      <c r="P340" s="6" t="n">
        <v>4783</v>
      </c>
      <c r="Q340" s="6" t="n">
        <v>1</v>
      </c>
      <c r="R340">
        <f>M340+IF(N340&gt;1,N(O340)*(N340-1),0)</f>
        <v/>
      </c>
      <c r="S340">
        <f>IFERROR(L340*MAX(N340,1)/R340*IF(ISBLANK(K339),1,K339),0)</f>
        <v/>
      </c>
      <c r="AB340" s="7" t="inlineStr">
        <is>
          <t>^Warhead_Bullet_Medium</t>
        </is>
      </c>
    </row>
    <row r="341">
      <c r="B341" s="7" t="inlineStr">
        <is>
          <t xml:space="preserve">  ↳ HueyMissiles</t>
        </is>
      </c>
      <c r="C341" s="7" t="inlineStr">
        <is>
          <t>Armament@Missiles</t>
        </is>
      </c>
      <c r="L341" s="6" t="n">
        <v>8000</v>
      </c>
      <c r="M341" s="6" t="n">
        <v>14</v>
      </c>
      <c r="N341" s="6" t="n">
        <v>1</v>
      </c>
      <c r="O341" s="6" t="n"/>
      <c r="P341" s="6" t="n">
        <v>4783</v>
      </c>
      <c r="Q341" s="6" t="n">
        <v>1</v>
      </c>
      <c r="R341">
        <f>M341+IF(N341&gt;1,N(O341)*(N341-1),0)</f>
        <v/>
      </c>
      <c r="S341">
        <f>IFERROR(L341*MAX(N341,1)/R341*IF(ISBLANK(K339),1,K339),0)</f>
        <v/>
      </c>
      <c r="AB341" s="7" t="inlineStr">
        <is>
          <t>^Warhead_MissileAP_Medium</t>
        </is>
      </c>
    </row>
    <row r="342">
      <c r="B342" s="7" t="inlineStr">
        <is>
          <t xml:space="preserve">  ↳ HueyCryoMissiles</t>
        </is>
      </c>
      <c r="C342" s="7" t="inlineStr">
        <is>
          <t>Armament@PRIMARYNATO</t>
        </is>
      </c>
      <c r="L342" s="6" t="n">
        <v>6000</v>
      </c>
      <c r="M342" s="6" t="n">
        <v>16</v>
      </c>
      <c r="N342" s="6" t="n">
        <v>1</v>
      </c>
      <c r="O342" s="6" t="n"/>
      <c r="P342" s="6" t="n">
        <v>5528</v>
      </c>
      <c r="Q342" s="6" t="n">
        <v>1</v>
      </c>
      <c r="R342">
        <f>M342+IF(N342&gt;1,N(O342)*(N342-1),0)</f>
        <v/>
      </c>
      <c r="S342">
        <f>IFERROR(L342*MAX(N342,1)/R342*IF(ISBLANK(K339),1,K339),0)</f>
        <v/>
      </c>
      <c r="AB342" s="7" t="inlineStr">
        <is>
          <t>^Warhead_Demolition_Light, ^Warhead_MissileAP_Medium, ^Warhead_Concussion_Medium</t>
        </is>
      </c>
    </row>
    <row r="343">
      <c r="B343" s="7" t="inlineStr">
        <is>
          <t xml:space="preserve">  ↳ HueyTwinMissiles</t>
        </is>
      </c>
      <c r="C343" s="7" t="inlineStr">
        <is>
          <t>Armament@PRIMARYBEREZKA</t>
        </is>
      </c>
      <c r="L343" s="6" t="n">
        <v>6000</v>
      </c>
      <c r="M343" s="6" t="n">
        <v>16</v>
      </c>
      <c r="N343" s="6" t="n">
        <v>2</v>
      </c>
      <c r="O343" s="6" t="n"/>
      <c r="P343" s="6" t="n">
        <v>5528</v>
      </c>
      <c r="Q343" s="6" t="n">
        <v>1</v>
      </c>
      <c r="R343">
        <f>M343+IF(N343&gt;1,N(O343)*(N343-1),0)</f>
        <v/>
      </c>
      <c r="S343">
        <f>IFERROR(L343*MAX(N343,1)/R343*IF(ISBLANK(K339),1,K339),0)</f>
        <v/>
      </c>
      <c r="AB343" s="7" t="inlineStr">
        <is>
          <t>^Warhead_Demolition_Light, ^Warhead_MissileAP_Medium, ^Warhead_Concussion_Medium</t>
        </is>
      </c>
    </row>
    <row r="344">
      <c r="B344" s="7" t="inlineStr">
        <is>
          <t xml:space="preserve">  ↳ HueyTwinMissiles</t>
        </is>
      </c>
      <c r="C344" s="7" t="inlineStr">
        <is>
          <t>Armament@PRIMARYTITAN</t>
        </is>
      </c>
      <c r="L344" s="6" t="n">
        <v>6000</v>
      </c>
      <c r="M344" s="6" t="n">
        <v>16</v>
      </c>
      <c r="N344" s="6" t="n">
        <v>2</v>
      </c>
      <c r="O344" s="6" t="n"/>
      <c r="P344" s="6" t="n">
        <v>5528</v>
      </c>
      <c r="Q344" s="6" t="n">
        <v>1</v>
      </c>
      <c r="R344">
        <f>M344+IF(N344&gt;1,N(O344)*(N344-1),0)</f>
        <v/>
      </c>
      <c r="S344">
        <f>IFERROR(L344*MAX(N344,1)/R344*IF(ISBLANK(K339),1,K339),0)</f>
        <v/>
      </c>
      <c r="AB344" s="7" t="inlineStr">
        <is>
          <t>^Warhead_Demolition_Light, ^Warhead_MissileAP_Medium, ^Warhead_Concussion_Medium</t>
        </is>
      </c>
    </row>
    <row r="345">
      <c r="A345" t="inlineStr">
        <is>
          <t>redalert2mod</t>
        </is>
      </c>
      <c r="B345" t="inlineStr">
        <is>
          <t>tkmdrone</t>
        </is>
      </c>
      <c r="C345" t="inlineStr">
        <is>
          <t>Drone</t>
        </is>
      </c>
      <c r="D345" s="6" t="inlineStr">
        <is>
          <t>Helicopter</t>
        </is>
      </c>
      <c r="E345" s="6" t="n">
        <v>10000</v>
      </c>
      <c r="F345" s="6" t="n">
        <v>150</v>
      </c>
      <c r="G345" t="inlineStr">
        <is>
          <t>Light</t>
        </is>
      </c>
      <c r="H345" s="6" t="n">
        <v>1</v>
      </c>
      <c r="I345" s="6" t="n">
        <v>1</v>
      </c>
      <c r="J345" s="6" t="n">
        <v>1</v>
      </c>
      <c r="K345" s="6" t="n"/>
      <c r="X345" s="6" t="n">
        <v>25</v>
      </c>
    </row>
    <row r="346">
      <c r="A346" t="inlineStr">
        <is>
          <t>d2k</t>
        </is>
      </c>
      <c r="B346" t="inlineStr">
        <is>
          <t>ordos_banshee</t>
        </is>
      </c>
      <c r="C346" t="inlineStr">
        <is>
          <t>Banshee</t>
        </is>
      </c>
      <c r="D346" s="6" t="inlineStr">
        <is>
          <t>Helicopter</t>
        </is>
      </c>
      <c r="E346" s="6" t="n">
        <v>37500</v>
      </c>
      <c r="F346" s="6" t="n">
        <v>165</v>
      </c>
      <c r="G346" t="inlineStr">
        <is>
          <t>Helicopter</t>
        </is>
      </c>
      <c r="H346" s="6" t="n">
        <v>0.75</v>
      </c>
      <c r="I346" s="6" t="n">
        <v>1</v>
      </c>
      <c r="J346" s="6" t="n">
        <v>1</v>
      </c>
      <c r="K346" s="6" t="n"/>
      <c r="P346">
        <f>MAX(P347,P348,P349)</f>
        <v/>
      </c>
      <c r="S346">
        <f>S347+S348+S349</f>
        <v/>
      </c>
      <c r="T346">
        <f>(E346/100000+F346/100+(P346/1000)*J346/5+S346/200)*200*I346*H346</f>
        <v/>
      </c>
      <c r="U346">
        <f>((E346*F346/25000)+((P346/1000)*J346*S346/2.5))*I346*H346</f>
        <v/>
      </c>
      <c r="V346">
        <f>(E346*F346*(P346/1000)*J346*S346*I346*H346)/12500000</f>
        <v/>
      </c>
      <c r="W346">
        <f>(T346+U346+V346)/3</f>
        <v/>
      </c>
      <c r="X346" s="6" t="n">
        <v>2250</v>
      </c>
      <c r="Y346">
        <f>IFERROR(W346-X346,"")</f>
        <v/>
      </c>
      <c r="Z346">
        <f>IFERROR(ABS(Y346)/MAX(X346,1),"")</f>
        <v/>
      </c>
      <c r="AA346">
        <f>IFERROR((X346-(((E346/100000+F346/100+S346/200)*200*I346*H346)+((E346*F346/25000)*I346*H346))/3)/(((J346/5)*200*I346*H346)+((J346*S346/2.5)*I346*H346)+((E346*F346*J346*S346*I346*H346)/12500000))/3*1000,"")</f>
        <v/>
      </c>
    </row>
    <row r="347">
      <c r="B347" s="7" t="inlineStr">
        <is>
          <t xml:space="preserve">  ↳ Laboratory_Bioball</t>
        </is>
      </c>
      <c r="C347" s="7" t="inlineStr">
        <is>
          <t>Armament</t>
        </is>
      </c>
      <c r="L347" s="6" t="n">
        <v>50000</v>
      </c>
      <c r="M347" s="6" t="n">
        <v>42</v>
      </c>
      <c r="N347" s="6" t="n">
        <v>1</v>
      </c>
      <c r="O347" s="6" t="n"/>
      <c r="P347" s="6" t="n">
        <v>6500</v>
      </c>
      <c r="Q347" s="6" t="n">
        <v>1</v>
      </c>
      <c r="R347">
        <f>M347+IF(N347&gt;1,N(O347)*(N347-1),0)</f>
        <v/>
      </c>
      <c r="S347">
        <f>IFERROR(L347*MAX(N347,1)/R347*IF(ISBLANK(K346),1,K346),0)</f>
        <v/>
      </c>
      <c r="AB347" s="7" t="inlineStr">
        <is>
          <t>^Warhead_Demolition_Light, ^Warhead_Concussion_Medium, ^Warhead_CannonHE_Heavy</t>
        </is>
      </c>
    </row>
    <row r="348">
      <c r="B348" s="7" t="inlineStr">
        <is>
          <t xml:space="preserve">  ↳ D2K_APC_Rocket_AA</t>
        </is>
      </c>
      <c r="C348" s="7" t="inlineStr">
        <is>
          <t>Armament@aa1</t>
        </is>
      </c>
      <c r="L348" s="6" t="n">
        <v>24000</v>
      </c>
      <c r="M348" s="6" t="n">
        <v>42</v>
      </c>
      <c r="N348" s="6" t="n">
        <v>1</v>
      </c>
      <c r="O348" s="6" t="n"/>
      <c r="P348" s="6" t="n">
        <v>6500</v>
      </c>
      <c r="Q348" s="6" t="n">
        <v>1</v>
      </c>
      <c r="R348">
        <f>M348+IF(N348&gt;1,N(O348)*(N348-1),0)</f>
        <v/>
      </c>
      <c r="S348">
        <f>IFERROR(L348*MAX(N348,1)/R348*IF(ISBLANK(K346),1,K346),0)</f>
        <v/>
      </c>
      <c r="AB348" s="7" t="inlineStr">
        <is>
          <t>^Warhead_MissileAP_Light, ^Warhead_MissileAP_Medium, ^Warhead_MissileAP_Heavy</t>
        </is>
      </c>
    </row>
    <row r="349">
      <c r="B349" s="7" t="inlineStr">
        <is>
          <t xml:space="preserve">  ↳ D2K_APC_Rocket_AA</t>
        </is>
      </c>
      <c r="C349" s="7" t="inlineStr">
        <is>
          <t>Armament@aa2</t>
        </is>
      </c>
      <c r="L349" s="6" t="n">
        <v>24000</v>
      </c>
      <c r="M349" s="6" t="n">
        <v>42</v>
      </c>
      <c r="N349" s="6" t="n">
        <v>1</v>
      </c>
      <c r="O349" s="6" t="n"/>
      <c r="P349" s="6" t="n">
        <v>6500</v>
      </c>
      <c r="Q349" s="6" t="n">
        <v>1</v>
      </c>
      <c r="R349">
        <f>M349+IF(N349&gt;1,N(O349)*(N349-1),0)</f>
        <v/>
      </c>
      <c r="S349">
        <f>IFERROR(L349*MAX(N349,1)/R349*IF(ISBLANK(K346),1,K346),0)</f>
        <v/>
      </c>
      <c r="AB349" s="7" t="inlineStr">
        <is>
          <t>^Warhead_MissileAP_Light, ^Warhead_MissileAP_Medium, ^Warhead_MissileAP_Heavy</t>
        </is>
      </c>
    </row>
    <row r="350">
      <c r="A350" t="inlineStr">
        <is>
          <t>d2k</t>
        </is>
      </c>
      <c r="B350" t="inlineStr">
        <is>
          <t>ixian_railgundrone</t>
        </is>
      </c>
      <c r="C350" t="inlineStr">
        <is>
          <t>Ixian Railgun Drone</t>
        </is>
      </c>
      <c r="D350" s="6" t="inlineStr">
        <is>
          <t>Helicopter</t>
        </is>
      </c>
      <c r="E350" s="6" t="n">
        <v>30000</v>
      </c>
      <c r="F350" s="6" t="n">
        <v>170</v>
      </c>
      <c r="G350" t="inlineStr">
        <is>
          <t>Helicopter</t>
        </is>
      </c>
      <c r="H350" s="6" t="n">
        <v>0.5077</v>
      </c>
      <c r="I350" s="6" t="n">
        <v>1</v>
      </c>
      <c r="J350" s="6" t="n">
        <v>1</v>
      </c>
      <c r="K350" s="6" t="n"/>
      <c r="P350">
        <f>MAX(P351)</f>
        <v/>
      </c>
      <c r="S350">
        <f>S351</f>
        <v/>
      </c>
      <c r="T350">
        <f>(E350/100000+F350/100+(P350/1000)*J350/5+S350/200)*200*I350*H350</f>
        <v/>
      </c>
      <c r="U350">
        <f>((E350*F350/25000)+((P350/1000)*J350*S350/2.5))*I350*H350</f>
        <v/>
      </c>
      <c r="V350">
        <f>(E350*F350*(P350/1000)*J350*S350*I350*H350)/12500000</f>
        <v/>
      </c>
      <c r="W350">
        <f>(T350+U350+V350)/3</f>
        <v/>
      </c>
      <c r="X350" s="6" t="n">
        <v>2000</v>
      </c>
      <c r="Y350">
        <f>IFERROR(W350-X350,"")</f>
        <v/>
      </c>
      <c r="Z350">
        <f>IFERROR(ABS(Y350)/MAX(X350,1),"")</f>
        <v/>
      </c>
      <c r="AA350">
        <f>IFERROR((X350-(((E350/100000+F350/100+S350/200)*200*I350*H350)+((E350*F350/25000)*I350*H350))/3)/(((J350/5)*200*I350*H350)+((J350*S350/2.5)*I350*H350)+((E350*F350*J350*S350*I350*H350)/12500000))/3*1000,"")</f>
        <v/>
      </c>
    </row>
    <row r="351">
      <c r="B351" s="7" t="inlineStr">
        <is>
          <t xml:space="preserve">  ↳ IxRailgunDroneBullet</t>
        </is>
      </c>
      <c r="C351" s="7" t="inlineStr">
        <is>
          <t>Armament@PRIMARY</t>
        </is>
      </c>
      <c r="L351" s="6" t="n">
        <v>24000</v>
      </c>
      <c r="M351" s="6" t="n">
        <v>24</v>
      </c>
      <c r="N351" s="6" t="n">
        <v>1</v>
      </c>
      <c r="O351" s="6" t="n"/>
      <c r="P351" s="6" t="n">
        <v>6034</v>
      </c>
      <c r="Q351" s="6" t="n">
        <v>1</v>
      </c>
      <c r="R351">
        <f>M351+IF(N351&gt;1,N(O351)*(N351-1),0)</f>
        <v/>
      </c>
      <c r="S351">
        <f>IFERROR(L351*MAX(N351,1)/R351*IF(ISBLANK(K350),1,K350),0)</f>
        <v/>
      </c>
      <c r="AB351" s="7" t="inlineStr">
        <is>
          <t>^Warhead_CannonHE_Medium</t>
        </is>
      </c>
    </row>
    <row r="352">
      <c r="A352" t="inlineStr">
        <is>
          <t>d2k</t>
        </is>
      </c>
      <c r="B352" t="inlineStr">
        <is>
          <t>ixian_resonancedrone</t>
        </is>
      </c>
      <c r="C352" t="inlineStr">
        <is>
          <t>Ixian Resonance Drone</t>
        </is>
      </c>
      <c r="D352" s="6" t="inlineStr">
        <is>
          <t>Helicopter</t>
        </is>
      </c>
      <c r="E352" s="6" t="n">
        <v>25000</v>
      </c>
      <c r="F352" s="6" t="n">
        <v>125</v>
      </c>
      <c r="G352" t="inlineStr">
        <is>
          <t>Helicopter</t>
        </is>
      </c>
      <c r="H352" s="6" t="n">
        <v>0.5077</v>
      </c>
      <c r="I352" s="6" t="n">
        <v>1</v>
      </c>
      <c r="J352" s="6" t="n">
        <v>1</v>
      </c>
      <c r="K352" s="6" t="n"/>
      <c r="P352">
        <f>MAX(P353)</f>
        <v/>
      </c>
      <c r="S352">
        <f>S353</f>
        <v/>
      </c>
      <c r="T352">
        <f>(E352/100000+F352/100+(P352/1000)*J352/5+S352/200)*200*I352*H352</f>
        <v/>
      </c>
      <c r="U352">
        <f>((E352*F352/25000)+((P352/1000)*J352*S352/2.5))*I352*H352</f>
        <v/>
      </c>
      <c r="V352">
        <f>(E352*F352*(P352/1000)*J352*S352*I352*H352)/12500000</f>
        <v/>
      </c>
      <c r="W352">
        <f>(T352+U352+V352)/3</f>
        <v/>
      </c>
      <c r="X352" s="6" t="n">
        <v>2500</v>
      </c>
      <c r="Y352">
        <f>IFERROR(W352-X352,"")</f>
        <v/>
      </c>
      <c r="Z352">
        <f>IFERROR(ABS(Y352)/MAX(X352,1),"")</f>
        <v/>
      </c>
      <c r="AA352">
        <f>IFERROR((X352-(((E352/100000+F352/100+S352/200)*200*I352*H352)+((E352*F352/25000)*I352*H352))/3)/(((J352/5)*200*I352*H352)+((J352*S352/2.5)*I352*H352)+((E352*F352*J352*S352*I352*H352)/12500000))/3*1000,"")</f>
        <v/>
      </c>
    </row>
    <row r="353">
      <c r="B353" s="7" t="inlineStr">
        <is>
          <t xml:space="preserve">  ↳ ResonanceDroneRepair</t>
        </is>
      </c>
      <c r="C353" s="7" t="inlineStr">
        <is>
          <t>Armament@repair</t>
        </is>
      </c>
      <c r="L353" s="6" t="n">
        <v>-3000</v>
      </c>
      <c r="M353" s="6" t="n">
        <v>5</v>
      </c>
      <c r="N353" s="6" t="n">
        <v>10</v>
      </c>
      <c r="O353" s="6" t="n">
        <v>1</v>
      </c>
      <c r="P353" s="6" t="n">
        <v>4500</v>
      </c>
      <c r="Q353" s="6" t="n">
        <v>1</v>
      </c>
      <c r="R353">
        <f>M353+IF(N353&gt;1,N(O353)*(N353-1),0)</f>
        <v/>
      </c>
      <c r="S353">
        <f>IFERROR(L353*MAX(N353,1)/R353*IF(ISBLANK(K352),1,K352),0)</f>
        <v/>
      </c>
      <c r="AB353" s="7" t="inlineStr">
        <is>
          <t>^RepairWeapon</t>
        </is>
      </c>
    </row>
    <row r="354">
      <c r="A354" t="inlineStr">
        <is>
          <t>starcraft</t>
        </is>
      </c>
      <c r="B354" t="inlineStr">
        <is>
          <t>protoss_arbiter</t>
        </is>
      </c>
      <c r="C354" t="inlineStr">
        <is>
          <t>Arbiter</t>
        </is>
      </c>
      <c r="D354" s="6" t="inlineStr">
        <is>
          <t>Helicopter</t>
        </is>
      </c>
      <c r="E354" s="6" t="n">
        <v>225000</v>
      </c>
      <c r="F354" s="6" t="n">
        <v>75</v>
      </c>
      <c r="G354" t="inlineStr">
        <is>
          <t>Helicopter</t>
        </is>
      </c>
      <c r="H354" s="6" t="n">
        <v>1</v>
      </c>
      <c r="I354" s="6" t="n">
        <v>1</v>
      </c>
      <c r="J354" s="6" t="n">
        <v>2</v>
      </c>
      <c r="K354" s="6" t="n"/>
      <c r="P354">
        <f>MAX(P355)</f>
        <v/>
      </c>
      <c r="S354">
        <f>S355</f>
        <v/>
      </c>
      <c r="T354">
        <f>(E354/100000+F354/100+(P354/1000)*J354/5+S354/200)*200*I354*H354</f>
        <v/>
      </c>
      <c r="U354">
        <f>((E354*F354/25000)+((P354/1000)*J354*S354/2.5))*I354*H354</f>
        <v/>
      </c>
      <c r="V354">
        <f>(E354*F354*(P354/1000)*J354*S354*I354*H354)/12500000</f>
        <v/>
      </c>
      <c r="W354">
        <f>(T354+U354+V354)/3</f>
        <v/>
      </c>
      <c r="X354" s="6" t="n">
        <v>4800</v>
      </c>
      <c r="Y354">
        <f>IFERROR(W354-X354,"")</f>
        <v/>
      </c>
      <c r="Z354">
        <f>IFERROR(ABS(Y354)/MAX(X354,1),"")</f>
        <v/>
      </c>
      <c r="AA354">
        <f>IFERROR((X354-(((E354/100000+F354/100+S354/200)*200*I354*H354)+((E354*F354/25000)*I354*H354))/3)/(((J354/5)*200*I354*H354)+((J354*S354/2.5)*I354*H354)+((E354*F354*J354*S354*I354*H354)/12500000))/3*1000,"")</f>
        <v/>
      </c>
    </row>
    <row r="355">
      <c r="B355" s="7" t="inlineStr">
        <is>
          <t xml:space="preserve">  ↳ ArbiterCannon</t>
        </is>
      </c>
      <c r="C355" s="7" t="inlineStr">
        <is>
          <t>Armament</t>
        </is>
      </c>
      <c r="L355" s="6" t="n">
        <v>40000</v>
      </c>
      <c r="M355" s="6" t="n">
        <v>25</v>
      </c>
      <c r="N355" s="6" t="n">
        <v>1</v>
      </c>
      <c r="O355" s="6" t="n"/>
      <c r="P355" s="6" t="n">
        <v>4280</v>
      </c>
      <c r="Q355" s="6" t="n">
        <v>1</v>
      </c>
      <c r="R355">
        <f>M355+IF(N355&gt;1,N(O355)*(N355-1),0)</f>
        <v/>
      </c>
      <c r="S355">
        <f>IFERROR(L355*MAX(N355,1)/R355*IF(ISBLANK(K354),1,K354),0)</f>
        <v/>
      </c>
      <c r="AB355" s="7" t="inlineStr">
        <is>
          <t>PhotonCannon</t>
        </is>
      </c>
    </row>
    <row r="356">
      <c r="B356" s="7" t="inlineStr">
        <is>
          <t xml:space="preserve">  ↳ ArbiterStasis</t>
        </is>
      </c>
      <c r="C356" s="7" t="inlineStr">
        <is>
          <t>Armament@2</t>
        </is>
      </c>
      <c r="L356" s="6" t="n"/>
      <c r="M356" s="6" t="n">
        <v>250</v>
      </c>
      <c r="N356" s="6" t="n">
        <v>1</v>
      </c>
      <c r="O356" s="6" t="n"/>
      <c r="P356" s="6" t="n">
        <v>4280</v>
      </c>
      <c r="Q356" s="6" t="n">
        <v>1</v>
      </c>
      <c r="R356">
        <f>M356+IF(N356&gt;1,N(O356)*(N356-1),0)</f>
        <v/>
      </c>
      <c r="S356">
        <f>IFERROR(L356*MAX(N356,1)/R356*IF(ISBLANK(K354),1,K354),0)</f>
        <v/>
      </c>
      <c r="AB356" s="7" t="inlineStr"/>
    </row>
    <row r="357">
      <c r="A357" t="inlineStr">
        <is>
          <t>starcraft</t>
        </is>
      </c>
      <c r="B357" t="inlineStr">
        <is>
          <t>protoss_corsair</t>
        </is>
      </c>
      <c r="C357" t="inlineStr">
        <is>
          <t>Corsair</t>
        </is>
      </c>
      <c r="D357" s="6" t="inlineStr">
        <is>
          <t>Helicopter</t>
        </is>
      </c>
      <c r="E357" s="6" t="n">
        <v>125000</v>
      </c>
      <c r="F357" s="6" t="n">
        <v>125</v>
      </c>
      <c r="G357" t="inlineStr">
        <is>
          <t>Helicopter</t>
        </is>
      </c>
      <c r="H357" s="6" t="n">
        <v>1</v>
      </c>
      <c r="I357" s="6" t="n">
        <v>1</v>
      </c>
      <c r="J357" s="6" t="n">
        <v>2</v>
      </c>
      <c r="K357" s="6" t="n"/>
      <c r="P357">
        <f>MAX(P358,P359,P360)</f>
        <v/>
      </c>
      <c r="S357">
        <f>S358+S359+S360</f>
        <v/>
      </c>
      <c r="T357">
        <f>(E357/100000+F357/100+(P357/1000)*J357/5+S357/200)*200*I357*H357</f>
        <v/>
      </c>
      <c r="U357">
        <f>((E357*F357/25000)+((P357/1000)*J357*S357/2.5))*I357*H357</f>
        <v/>
      </c>
      <c r="V357">
        <f>(E357*F357*(P357/1000)*J357*S357*I357*H357)/12500000</f>
        <v/>
      </c>
      <c r="W357">
        <f>(T357+U357+V357)/3</f>
        <v/>
      </c>
      <c r="X357" s="6" t="n">
        <v>2100</v>
      </c>
      <c r="Y357">
        <f>IFERROR(W357-X357,"")</f>
        <v/>
      </c>
      <c r="Z357">
        <f>IFERROR(ABS(Y357)/MAX(X357,1),"")</f>
        <v/>
      </c>
      <c r="AA357">
        <f>IFERROR((X357-(((E357/100000+F357/100+S357/200)*200*I357*H357)+((E357*F357/25000)*I357*H357))/3)/(((J357/5)*200*I357*H357)+((J357*S357/2.5)*I357*H357)+((E357*F357*J357*S357*I357*H357)/12500000))/3*1000,"")</f>
        <v/>
      </c>
    </row>
    <row r="358">
      <c r="B358" s="7" t="inlineStr">
        <is>
          <t xml:space="preserve">  ↳ Corsair_EMP</t>
        </is>
      </c>
      <c r="C358" s="7" t="inlineStr">
        <is>
          <t>Armament@PRIMARY</t>
        </is>
      </c>
      <c r="L358" s="6" t="n">
        <v>5000</v>
      </c>
      <c r="M358" s="6" t="n">
        <v>250</v>
      </c>
      <c r="N358" s="6" t="n">
        <v>1</v>
      </c>
      <c r="O358" s="6" t="n"/>
      <c r="P358" s="6" t="n">
        <v>5500</v>
      </c>
      <c r="Q358" s="6" t="n">
        <v>1</v>
      </c>
      <c r="R358">
        <f>M358+IF(N358&gt;1,N(O358)*(N358-1),0)</f>
        <v/>
      </c>
      <c r="S358">
        <f>IFERROR(L358*MAX(N358,1)/R358*IF(ISBLANK(K357),1,K357),0)</f>
        <v/>
      </c>
      <c r="AB358" s="7" t="inlineStr">
        <is>
          <t>^Warhead_Tesla_Super</t>
        </is>
      </c>
    </row>
    <row r="359">
      <c r="B359" s="7" t="inlineStr">
        <is>
          <t xml:space="preserve">  ↳ CorsairFlash</t>
        </is>
      </c>
      <c r="C359" s="7" t="inlineStr">
        <is>
          <t>Armament@SECONDARY1</t>
        </is>
      </c>
      <c r="L359" s="6" t="n">
        <v>4000</v>
      </c>
      <c r="M359" s="6" t="n">
        <v>65</v>
      </c>
      <c r="N359" s="6" t="n">
        <v>1</v>
      </c>
      <c r="O359" s="6" t="n"/>
      <c r="P359" s="6" t="n">
        <v>5500</v>
      </c>
      <c r="Q359" s="6" t="n">
        <v>0.875</v>
      </c>
      <c r="R359">
        <f>M359+IF(N359&gt;1,N(O359)*(N359-1),0)</f>
        <v/>
      </c>
      <c r="S359">
        <f>IFERROR(L359*MAX(N359,1)/R359*IF(ISBLANK(K357),1,K357),0)</f>
        <v/>
      </c>
      <c r="AB359" s="7" t="inlineStr">
        <is>
          <t>^Warhead_Flak_Medium, ^Warhead_Demolition_Light</t>
        </is>
      </c>
    </row>
    <row r="360">
      <c r="B360" s="7" t="inlineStr">
        <is>
          <t xml:space="preserve">  ↳ CorsairFlash</t>
        </is>
      </c>
      <c r="C360" s="7" t="inlineStr">
        <is>
          <t>Armament@SECONDARY2</t>
        </is>
      </c>
      <c r="L360" s="6" t="n">
        <v>4000</v>
      </c>
      <c r="M360" s="6" t="n">
        <v>65</v>
      </c>
      <c r="N360" s="6" t="n">
        <v>1</v>
      </c>
      <c r="O360" s="6" t="n"/>
      <c r="P360" s="6" t="n">
        <v>5500</v>
      </c>
      <c r="Q360" s="6" t="n">
        <v>0.875</v>
      </c>
      <c r="R360">
        <f>M360+IF(N360&gt;1,N(O360)*(N360-1),0)</f>
        <v/>
      </c>
      <c r="S360">
        <f>IFERROR(L360*MAX(N360,1)/R360*IF(ISBLANK(K357),1,K357),0)</f>
        <v/>
      </c>
      <c r="AB360" s="7" t="inlineStr">
        <is>
          <t>^Warhead_Flak_Medium, ^Warhead_Demolition_Light</t>
        </is>
      </c>
    </row>
    <row r="361">
      <c r="A361" t="inlineStr">
        <is>
          <t>starcraft</t>
        </is>
      </c>
      <c r="B361" t="inlineStr">
        <is>
          <t>protoss_epigraph</t>
        </is>
      </c>
      <c r="C361" t="inlineStr">
        <is>
          <t>Epigraph</t>
        </is>
      </c>
      <c r="D361" s="6" t="inlineStr">
        <is>
          <t>Helicopter</t>
        </is>
      </c>
      <c r="E361" s="6" t="n">
        <v>200000</v>
      </c>
      <c r="F361" s="6" t="n">
        <v>100</v>
      </c>
      <c r="G361" t="inlineStr">
        <is>
          <t>Helicopter</t>
        </is>
      </c>
      <c r="H361" s="6" t="n">
        <v>1</v>
      </c>
      <c r="I361" s="6" t="n">
        <v>1</v>
      </c>
      <c r="J361" s="6" t="n">
        <v>1</v>
      </c>
      <c r="K361" s="6" t="n">
        <v>0.005</v>
      </c>
      <c r="P361">
        <f>MAX(P362,P363)</f>
        <v/>
      </c>
      <c r="S361">
        <f>S362+S363</f>
        <v/>
      </c>
      <c r="T361">
        <f>(E361/100000+F361/100+(P361/1000)*J361/5+S361/200)*200*I361*H361</f>
        <v/>
      </c>
      <c r="U361">
        <f>((E361*F361/25000)+((P361/1000)*J361*S361/2.5))*I361*H361</f>
        <v/>
      </c>
      <c r="V361">
        <f>(E361*F361*(P361/1000)*J361*S361*I361*H361)/12500000</f>
        <v/>
      </c>
      <c r="W361">
        <f>(T361+U361+V361)/3</f>
        <v/>
      </c>
      <c r="X361" s="6" t="n">
        <v>2600</v>
      </c>
      <c r="Y361">
        <f>IFERROR(W361-X361,"")</f>
        <v/>
      </c>
      <c r="Z361">
        <f>IFERROR(ABS(Y361)/MAX(X361,1),"")</f>
        <v/>
      </c>
      <c r="AA361">
        <f>IFERROR((X361-(((E361/100000+F361/100+S361/200)*200*I361*H361)+((E361*F361/25000)*I361*H361))/3)/(((J361/5)*200*I361*H361)+((J361*S361/2.5)*I361*H361)+((E361*F361*J361*S361*I361*H361)/12500000))/3*1000,"")</f>
        <v/>
      </c>
    </row>
    <row r="362">
      <c r="B362" s="7" t="inlineStr">
        <is>
          <t xml:space="preserve">  ↳ EpigraphMG</t>
        </is>
      </c>
      <c r="C362" s="7" t="inlineStr">
        <is>
          <t>Armament@PRIMARY</t>
        </is>
      </c>
      <c r="L362" s="6" t="n">
        <v>20000</v>
      </c>
      <c r="M362" s="6" t="n">
        <v>36</v>
      </c>
      <c r="N362" s="6" t="n">
        <v>1</v>
      </c>
      <c r="O362" s="6" t="n"/>
      <c r="P362" s="6" t="n">
        <v>5077</v>
      </c>
      <c r="Q362" s="6" t="n">
        <v>1.25</v>
      </c>
      <c r="R362">
        <f>M362+IF(N362&gt;1,N(O362)*(N362-1),0)</f>
        <v/>
      </c>
      <c r="S362">
        <f>IFERROR(L362*MAX(N362,1)/R362*IF(ISBLANK(K361),1,K361),0)</f>
        <v/>
      </c>
      <c r="AB362" s="7" t="inlineStr">
        <is>
          <t>^Warhead_CannonHE_Heavy</t>
        </is>
      </c>
    </row>
    <row r="363">
      <c r="B363" s="7" t="inlineStr">
        <is>
          <t xml:space="preserve">  ↳ EpigraphMG</t>
        </is>
      </c>
      <c r="C363" s="7" t="inlineStr">
        <is>
          <t>Armament@SECONDARY</t>
        </is>
      </c>
      <c r="L363" s="6" t="n">
        <v>20000</v>
      </c>
      <c r="M363" s="6" t="n">
        <v>36</v>
      </c>
      <c r="N363" s="6" t="n">
        <v>1</v>
      </c>
      <c r="O363" s="6" t="n"/>
      <c r="P363" s="6" t="n">
        <v>5077</v>
      </c>
      <c r="Q363" s="6" t="n">
        <v>1.25</v>
      </c>
      <c r="R363">
        <f>M363+IF(N363&gt;1,N(O363)*(N363-1),0)</f>
        <v/>
      </c>
      <c r="S363">
        <f>IFERROR(L363*MAX(N363,1)/R363*IF(ISBLANK(K361),1,K361),0)</f>
        <v/>
      </c>
      <c r="AB363" s="7" t="inlineStr">
        <is>
          <t>^Warhead_CannonHE_Heavy</t>
        </is>
      </c>
    </row>
    <row r="364">
      <c r="A364" t="inlineStr">
        <is>
          <t>starcraft</t>
        </is>
      </c>
      <c r="B364" t="inlineStr">
        <is>
          <t>protoss_gladius</t>
        </is>
      </c>
      <c r="C364" t="inlineStr">
        <is>
          <t>Gladius</t>
        </is>
      </c>
      <c r="D364" s="6" t="inlineStr">
        <is>
          <t>Helicopter</t>
        </is>
      </c>
      <c r="E364" s="6" t="n">
        <v>100000</v>
      </c>
      <c r="F364" s="6" t="n">
        <v>50</v>
      </c>
      <c r="G364" t="inlineStr">
        <is>
          <t>Helicopter</t>
        </is>
      </c>
      <c r="H364" s="6" t="n">
        <v>1</v>
      </c>
      <c r="I364" s="6" t="n">
        <v>1</v>
      </c>
      <c r="J364" s="6" t="n">
        <v>1</v>
      </c>
      <c r="K364" s="6" t="n">
        <v>0.005</v>
      </c>
      <c r="P364">
        <f>MAX(P365)</f>
        <v/>
      </c>
      <c r="S364">
        <f>S365</f>
        <v/>
      </c>
      <c r="T364">
        <f>(E364/100000+F364/100+(P364/1000)*J364/5+S364/200)*200*I364*H364</f>
        <v/>
      </c>
      <c r="U364">
        <f>((E364*F364/25000)+((P364/1000)*J364*S364/2.5))*I364*H364</f>
        <v/>
      </c>
      <c r="V364">
        <f>(E364*F364*(P364/1000)*J364*S364*I364*H364)/12500000</f>
        <v/>
      </c>
      <c r="W364">
        <f>(T364+U364+V364)/3</f>
        <v/>
      </c>
      <c r="X364" s="6" t="n">
        <v>1800</v>
      </c>
      <c r="Y364">
        <f>IFERROR(W364-X364,"")</f>
        <v/>
      </c>
      <c r="Z364">
        <f>IFERROR(ABS(Y364)/MAX(X364,1),"")</f>
        <v/>
      </c>
      <c r="AA364">
        <f>IFERROR((X364-(((E364/100000+F364/100+S364/200)*200*I364*H364)+((E364*F364/25000)*I364*H364))/3)/(((J364/5)*200*I364*H364)+((J364*S364/2.5)*I364*H364)+((E364*F364*J364*S364*I364*H364)/12500000))/3*1000,"")</f>
        <v/>
      </c>
    </row>
    <row r="365">
      <c r="B365" s="7" t="inlineStr">
        <is>
          <t xml:space="preserve">  ↳ GladiusCannon</t>
        </is>
      </c>
      <c r="C365" s="7" t="inlineStr">
        <is>
          <t>Armament</t>
        </is>
      </c>
      <c r="L365" s="6" t="n">
        <v>110000</v>
      </c>
      <c r="M365" s="6" t="n">
        <v>80</v>
      </c>
      <c r="N365" s="6" t="n">
        <v>1</v>
      </c>
      <c r="O365" s="6" t="n"/>
      <c r="P365" s="6" t="n">
        <v>10000</v>
      </c>
      <c r="Q365" s="6" t="n">
        <v>1</v>
      </c>
      <c r="R365">
        <f>M365+IF(N365&gt;1,N(O365)*(N365-1),0)</f>
        <v/>
      </c>
      <c r="S365">
        <f>IFERROR(L365*MAX(N365,1)/R365*IF(ISBLANK(K364),1,K364),0)</f>
        <v/>
      </c>
      <c r="AB365" s="7" t="inlineStr">
        <is>
          <t>^LightFlameWeapon, ^MediumChemicalWeapon, ^HeavyFlameWeapon, ^ShrapnelWeapon, PhotonCannon</t>
        </is>
      </c>
    </row>
    <row r="366">
      <c r="A366" t="inlineStr">
        <is>
          <t>starcraft</t>
        </is>
      </c>
      <c r="B366" t="inlineStr">
        <is>
          <t>protoss_observer</t>
        </is>
      </c>
      <c r="C366" t="inlineStr">
        <is>
          <t>Observer</t>
        </is>
      </c>
      <c r="D366" s="6" t="inlineStr">
        <is>
          <t>Helicopter</t>
        </is>
      </c>
      <c r="E366" s="6" t="n">
        <v>12500</v>
      </c>
      <c r="F366" s="6" t="n">
        <v>60</v>
      </c>
      <c r="G366" t="inlineStr">
        <is>
          <t>Helicopter</t>
        </is>
      </c>
      <c r="H366" s="6" t="n">
        <v>0.7674</v>
      </c>
      <c r="I366" s="6" t="n">
        <v>1</v>
      </c>
      <c r="J366" s="6" t="n">
        <v>1</v>
      </c>
      <c r="K366" s="6" t="n"/>
      <c r="X366" s="6" t="n">
        <v>500</v>
      </c>
    </row>
    <row r="367">
      <c r="A367" t="inlineStr">
        <is>
          <t>starcraft</t>
        </is>
      </c>
      <c r="B367" t="inlineStr">
        <is>
          <t>protoss_scout</t>
        </is>
      </c>
      <c r="C367" t="inlineStr">
        <is>
          <t>Scout</t>
        </is>
      </c>
      <c r="D367" s="6" t="inlineStr">
        <is>
          <t>Helicopter</t>
        </is>
      </c>
      <c r="E367" s="6" t="n">
        <v>75000</v>
      </c>
      <c r="F367" s="6" t="n">
        <v>150</v>
      </c>
      <c r="G367" t="inlineStr">
        <is>
          <t>Helicopter</t>
        </is>
      </c>
      <c r="H367" s="6" t="n">
        <v>1</v>
      </c>
      <c r="I367" s="6" t="n">
        <v>1</v>
      </c>
      <c r="J367" s="6" t="n">
        <v>1</v>
      </c>
      <c r="K367" s="6" t="n"/>
      <c r="P367">
        <f>MAX(P368,P369,P370,P371)</f>
        <v/>
      </c>
      <c r="S367">
        <f>S368+S369+S370+S371</f>
        <v/>
      </c>
      <c r="T367">
        <f>(E367/100000+F367/100+(P367/1000)*J367/5+S367/200)*200*I367*H367</f>
        <v/>
      </c>
      <c r="U367">
        <f>((E367*F367/25000)+((P367/1000)*J367*S367/2.5))*I367*H367</f>
        <v/>
      </c>
      <c r="V367">
        <f>(E367*F367*(P367/1000)*J367*S367*I367*H367)/12500000</f>
        <v/>
      </c>
      <c r="W367">
        <f>(T367+U367+V367)/3</f>
        <v/>
      </c>
      <c r="X367" s="6" t="n">
        <v>1500</v>
      </c>
      <c r="Y367">
        <f>IFERROR(W367-X367,"")</f>
        <v/>
      </c>
      <c r="Z367">
        <f>IFERROR(ABS(Y367)/MAX(X367,1),"")</f>
        <v/>
      </c>
      <c r="AA367">
        <f>IFERROR((X367-(((E367/100000+F367/100+S367/200)*200*I367*H367)+((E367*F367/25000)*I367*H367))/3)/(((J367/5)*200*I367*H367)+((J367*S367/2.5)*I367*H367)+((E367*F367*J367*S367*I367*H367)/12500000))/3*1000,"")</f>
        <v/>
      </c>
    </row>
    <row r="368">
      <c r="B368" s="7" t="inlineStr">
        <is>
          <t xml:space="preserve">  ↳ ScoutMG</t>
        </is>
      </c>
      <c r="C368" s="7" t="inlineStr">
        <is>
          <t>Armament@PRIMARY1</t>
        </is>
      </c>
      <c r="L368" s="6" t="n">
        <v>4000</v>
      </c>
      <c r="M368" s="6" t="n">
        <v>32</v>
      </c>
      <c r="N368" s="6" t="n">
        <v>1</v>
      </c>
      <c r="O368" s="6" t="n"/>
      <c r="P368" s="6" t="n">
        <v>4500</v>
      </c>
      <c r="Q368" s="6" t="n">
        <v>0.875</v>
      </c>
      <c r="R368">
        <f>M368+IF(N368&gt;1,N(O368)*(N368-1),0)</f>
        <v/>
      </c>
      <c r="S368">
        <f>IFERROR(L368*MAX(N368,1)/R368*IF(ISBLANK(K367),1,K367),0)</f>
        <v/>
      </c>
      <c r="AB368" s="7" t="inlineStr">
        <is>
          <t>^Warhead_Flak_Medium, ^Warhead_Demolition_Light</t>
        </is>
      </c>
    </row>
    <row r="369">
      <c r="B369" s="7" t="inlineStr">
        <is>
          <t xml:space="preserve">  ↳ ScoutMG</t>
        </is>
      </c>
      <c r="C369" s="7" t="inlineStr">
        <is>
          <t>Armament@PRIMARY2</t>
        </is>
      </c>
      <c r="L369" s="6" t="n">
        <v>4000</v>
      </c>
      <c r="M369" s="6" t="n">
        <v>32</v>
      </c>
      <c r="N369" s="6" t="n">
        <v>1</v>
      </c>
      <c r="O369" s="6" t="n"/>
      <c r="P369" s="6" t="n">
        <v>4500</v>
      </c>
      <c r="Q369" s="6" t="n">
        <v>0.875</v>
      </c>
      <c r="R369">
        <f>M369+IF(N369&gt;1,N(O369)*(N369-1),0)</f>
        <v/>
      </c>
      <c r="S369">
        <f>IFERROR(L369*MAX(N369,1)/R369*IF(ISBLANK(K367),1,K367),0)</f>
        <v/>
      </c>
      <c r="AB369" s="7" t="inlineStr">
        <is>
          <t>^Warhead_Flak_Medium, ^Warhead_Demolition_Light</t>
        </is>
      </c>
    </row>
    <row r="370">
      <c r="B370" s="7" t="inlineStr">
        <is>
          <t xml:space="preserve">  ↳ ScoutRockets_AA</t>
        </is>
      </c>
      <c r="C370" s="7" t="inlineStr">
        <is>
          <t>Armament@SECONDARY1</t>
        </is>
      </c>
      <c r="L370" s="6" t="n">
        <v>10000</v>
      </c>
      <c r="M370" s="6" t="n">
        <v>40</v>
      </c>
      <c r="N370" s="6" t="n">
        <v>1</v>
      </c>
      <c r="O370" s="6" t="n"/>
      <c r="P370" s="6" t="n">
        <v>4500</v>
      </c>
      <c r="Q370" s="6" t="n">
        <v>1.25</v>
      </c>
      <c r="R370">
        <f>M370+IF(N370&gt;1,N(O370)*(N370-1),0)</f>
        <v/>
      </c>
      <c r="S370">
        <f>IFERROR(L370*MAX(N370,1)/R370*IF(ISBLANK(K367),1,K367),0)</f>
        <v/>
      </c>
      <c r="AB370" s="7" t="inlineStr">
        <is>
          <t>^Warhead_MissileAP_Heavy</t>
        </is>
      </c>
    </row>
    <row r="371">
      <c r="B371" s="7" t="inlineStr">
        <is>
          <t xml:space="preserve">  ↳ ScoutRockets_AA</t>
        </is>
      </c>
      <c r="C371" s="7" t="inlineStr">
        <is>
          <t>Armament@SECONDARY2</t>
        </is>
      </c>
      <c r="L371" s="6" t="n">
        <v>10000</v>
      </c>
      <c r="M371" s="6" t="n">
        <v>40</v>
      </c>
      <c r="N371" s="6" t="n">
        <v>1</v>
      </c>
      <c r="O371" s="6" t="n"/>
      <c r="P371" s="6" t="n">
        <v>4500</v>
      </c>
      <c r="Q371" s="6" t="n">
        <v>1.25</v>
      </c>
      <c r="R371">
        <f>M371+IF(N371&gt;1,N(O371)*(N371-1),0)</f>
        <v/>
      </c>
      <c r="S371">
        <f>IFERROR(L371*MAX(N371,1)/R371*IF(ISBLANK(K367),1,K367),0)</f>
        <v/>
      </c>
      <c r="AB371" s="7" t="inlineStr">
        <is>
          <t>^Warhead_MissileAP_Heavy</t>
        </is>
      </c>
    </row>
    <row r="372">
      <c r="A372" t="inlineStr">
        <is>
          <t>starcraft</t>
        </is>
      </c>
      <c r="B372" t="inlineStr">
        <is>
          <t>protoss_voidray</t>
        </is>
      </c>
      <c r="C372" t="inlineStr">
        <is>
          <t>Void Ray</t>
        </is>
      </c>
      <c r="D372" s="6" t="inlineStr">
        <is>
          <t>Helicopter</t>
        </is>
      </c>
      <c r="E372" s="6" t="n">
        <v>70000</v>
      </c>
      <c r="F372" s="6" t="n">
        <v>140</v>
      </c>
      <c r="G372" t="inlineStr">
        <is>
          <t>Helicopter</t>
        </is>
      </c>
      <c r="H372" s="6" t="n">
        <v>1</v>
      </c>
      <c r="I372" s="6" t="n">
        <v>1</v>
      </c>
      <c r="J372" s="6" t="n">
        <v>1.5</v>
      </c>
      <c r="K372" s="6" t="n">
        <v>0.0009</v>
      </c>
      <c r="P372">
        <f>MAX(P373)</f>
        <v/>
      </c>
      <c r="S372">
        <f>S373</f>
        <v/>
      </c>
      <c r="T372">
        <f>(E372/100000+F372/100+(P372/1000)*J372/5+S372/200)*200*I372*H372</f>
        <v/>
      </c>
      <c r="U372">
        <f>((E372*F372/25000)+((P372/1000)*J372*S372/2.5))*I372*H372</f>
        <v/>
      </c>
      <c r="V372">
        <f>(E372*F372*(P372/1000)*J372*S372*I372*H372)/12500000</f>
        <v/>
      </c>
      <c r="W372">
        <f>(T372+U372+V372)/3</f>
        <v/>
      </c>
      <c r="X372" s="6" t="n">
        <v>1400</v>
      </c>
      <c r="Y372">
        <f>IFERROR(W372-X372,"")</f>
        <v/>
      </c>
      <c r="Z372">
        <f>IFERROR(ABS(Y372)/MAX(X372,1),"")</f>
        <v/>
      </c>
      <c r="AA372">
        <f>IFERROR((X372-(((E372/100000+F372/100+S372/200)*200*I372*H372)+((E372*F372/25000)*I372*H372))/3)/(((J372/5)*200*I372*H372)+((J372*S372/2.5)*I372*H372)+((E372*F372*J372*S372*I372*H372)/12500000))/3*1000,"")</f>
        <v/>
      </c>
    </row>
    <row r="373">
      <c r="B373" s="7" t="inlineStr">
        <is>
          <t xml:space="preserve">  ↳ VoidRayBeam</t>
        </is>
      </c>
      <c r="C373" s="7" t="inlineStr">
        <is>
          <t>Armament</t>
        </is>
      </c>
      <c r="L373" s="6" t="n">
        <v>12000</v>
      </c>
      <c r="M373" s="6" t="n">
        <v>6</v>
      </c>
      <c r="N373" s="6" t="n">
        <v>1</v>
      </c>
      <c r="O373" s="6" t="n"/>
      <c r="P373" s="6" t="n">
        <v>6474</v>
      </c>
      <c r="Q373" s="6" t="n">
        <v>1</v>
      </c>
      <c r="R373">
        <f>M373+IF(N373&gt;1,N(O373)*(N373-1),0)</f>
        <v/>
      </c>
      <c r="S373">
        <f>IFERROR(L373*MAX(N373,1)/R373*IF(ISBLANK(K372),1,K372),0)</f>
        <v/>
      </c>
      <c r="AB373" s="7" t="inlineStr">
        <is>
          <t>^LightMissile, ^SmallArms, ^Chaingun, ^FlakWeapon, ^TeslaWeapon, ^LaserWeapon</t>
        </is>
      </c>
    </row>
    <row r="374">
      <c r="A374" t="inlineStr">
        <is>
          <t>starcraft</t>
        </is>
      </c>
      <c r="B374" t="inlineStr">
        <is>
          <t>zerg_corruptor</t>
        </is>
      </c>
      <c r="C374" t="inlineStr">
        <is>
          <t>Corruptor</t>
        </is>
      </c>
      <c r="D374" s="6" t="inlineStr">
        <is>
          <t>Helicopter</t>
        </is>
      </c>
      <c r="E374" s="6" t="n">
        <v>100000</v>
      </c>
      <c r="F374" s="6" t="n">
        <v>100</v>
      </c>
      <c r="G374" t="inlineStr">
        <is>
          <t>Helicopter</t>
        </is>
      </c>
      <c r="H374" s="6" t="n">
        <v>1</v>
      </c>
      <c r="I374" s="6" t="n">
        <v>1</v>
      </c>
      <c r="J374" s="6" t="n">
        <v>2</v>
      </c>
      <c r="K374" s="6" t="n"/>
      <c r="P374">
        <f>MAX(P375)</f>
        <v/>
      </c>
      <c r="S374">
        <f>S375</f>
        <v/>
      </c>
      <c r="T374">
        <f>(E374/100000+F374/100+(P374/1000)*J374/5+S374/200)*200*I374*H374</f>
        <v/>
      </c>
      <c r="U374">
        <f>((E374*F374/25000)+((P374/1000)*J374*S374/2.5))*I374*H374</f>
        <v/>
      </c>
      <c r="V374">
        <f>(E374*F374*(P374/1000)*J374*S374*I374*H374)/12500000</f>
        <v/>
      </c>
      <c r="W374">
        <f>(T374+U374+V374)/3</f>
        <v/>
      </c>
      <c r="X374" s="6" t="n">
        <v>1500</v>
      </c>
      <c r="Y374">
        <f>IFERROR(W374-X374,"")</f>
        <v/>
      </c>
      <c r="Z374">
        <f>IFERROR(ABS(Y374)/MAX(X374,1),"")</f>
        <v/>
      </c>
      <c r="AA374">
        <f>IFERROR((X374-(((E374/100000+F374/100+S374/200)*200*I374*H374)+((E374*F374/25000)*I374*H374))/3)/(((J374/5)*200*I374*H374)+((J374*S374/2.5)*I374*H374)+((E374*F374*J374*S374*I374*H374)/12500000))/3*1000,"")</f>
        <v/>
      </c>
    </row>
    <row r="375">
      <c r="B375" s="7" t="inlineStr">
        <is>
          <t xml:space="preserve">  ↳ CorruptorSpore</t>
        </is>
      </c>
      <c r="C375" s="7" t="inlineStr">
        <is>
          <t>Armament</t>
        </is>
      </c>
      <c r="L375" s="6" t="n">
        <v>10000</v>
      </c>
      <c r="M375" s="6" t="n">
        <v>50</v>
      </c>
      <c r="N375" s="6" t="n">
        <v>1</v>
      </c>
      <c r="O375" s="6" t="n"/>
      <c r="P375" s="6" t="n">
        <v>6250</v>
      </c>
      <c r="Q375" s="6" t="n">
        <v>1</v>
      </c>
      <c r="R375">
        <f>M375+IF(N375&gt;1,N(O375)*(N375-1),0)</f>
        <v/>
      </c>
      <c r="S375">
        <f>IFERROR(L375*MAX(N375,1)/R375*IF(ISBLANK(K374),1,K374),0)</f>
        <v/>
      </c>
      <c r="AB375" s="7" t="inlineStr">
        <is>
          <t>^Warhead_Chemical_Medium</t>
        </is>
      </c>
    </row>
    <row r="376">
      <c r="A376" t="inlineStr">
        <is>
          <t>starcraft</t>
        </is>
      </c>
      <c r="B376" t="inlineStr">
        <is>
          <t>zerg_devourer</t>
        </is>
      </c>
      <c r="C376" t="inlineStr">
        <is>
          <t>Devourer</t>
        </is>
      </c>
      <c r="D376" s="6" t="inlineStr">
        <is>
          <t>Helicopter</t>
        </is>
      </c>
      <c r="E376" s="6" t="n">
        <v>250000</v>
      </c>
      <c r="F376" s="6" t="n">
        <v>90</v>
      </c>
      <c r="G376" t="inlineStr">
        <is>
          <t>Helicopter</t>
        </is>
      </c>
      <c r="H376" s="6" t="n">
        <v>1</v>
      </c>
      <c r="I376" s="6" t="n">
        <v>1</v>
      </c>
      <c r="J376" s="6" t="n">
        <v>2</v>
      </c>
      <c r="K376" s="6" t="n"/>
      <c r="P376">
        <f>MAX(P377)</f>
        <v/>
      </c>
      <c r="S376">
        <f>S377</f>
        <v/>
      </c>
      <c r="T376">
        <f>(E376/100000+F376/100+(P376/1000)*J376/5+S376/200)*200*I376*H376</f>
        <v/>
      </c>
      <c r="U376">
        <f>((E376*F376/25000)+((P376/1000)*J376*S376/2.5))*I376*H376</f>
        <v/>
      </c>
      <c r="V376">
        <f>(E376*F376*(P376/1000)*J376*S376*I376*H376)/12500000</f>
        <v/>
      </c>
      <c r="W376">
        <f>(T376+U376+V376)/3</f>
        <v/>
      </c>
      <c r="X376" s="6" t="n">
        <v>2000</v>
      </c>
      <c r="Y376">
        <f>IFERROR(W376-X376,"")</f>
        <v/>
      </c>
      <c r="Z376">
        <f>IFERROR(ABS(Y376)/MAX(X376,1),"")</f>
        <v/>
      </c>
      <c r="AA376">
        <f>IFERROR((X376-(((E376/100000+F376/100+S376/200)*200*I376*H376)+((E376*F376/25000)*I376*H376))/3)/(((J376/5)*200*I376*H376)+((J376*S376/2.5)*I376*H376)+((E376*F376*J376*S376*I376*H376)/12500000))/3*1000,"")</f>
        <v/>
      </c>
    </row>
    <row r="377">
      <c r="B377" s="7" t="inlineStr">
        <is>
          <t xml:space="preserve">  ↳ SCDevourerAA</t>
        </is>
      </c>
      <c r="C377" s="7" t="inlineStr">
        <is>
          <t>Armament</t>
        </is>
      </c>
      <c r="L377" s="6" t="n">
        <v>44000</v>
      </c>
      <c r="M377" s="6" t="n">
        <v>100</v>
      </c>
      <c r="N377" s="6" t="n">
        <v>1</v>
      </c>
      <c r="O377" s="6" t="n"/>
      <c r="P377" s="6" t="n">
        <v>4444</v>
      </c>
      <c r="Q377" s="6" t="n">
        <v>1</v>
      </c>
      <c r="R377">
        <f>M377+IF(N377&gt;1,N(O377)*(N377-1),0)</f>
        <v/>
      </c>
      <c r="S377">
        <f>IFERROR(L377*MAX(N377,1)/R377*IF(ISBLANK(K376),1,K376),0)</f>
        <v/>
      </c>
      <c r="AB377" s="7" t="inlineStr">
        <is>
          <t>TractorGLAnthraxPurple, MutaliskSpore</t>
        </is>
      </c>
    </row>
    <row r="378">
      <c r="A378" t="inlineStr">
        <is>
          <t>starcraft</t>
        </is>
      </c>
      <c r="B378" t="inlineStr">
        <is>
          <t>zerg_dreadshroud</t>
        </is>
      </c>
      <c r="C378" t="inlineStr">
        <is>
          <t>Dreadshroud</t>
        </is>
      </c>
      <c r="D378" s="6" t="inlineStr">
        <is>
          <t>Helicopter</t>
        </is>
      </c>
      <c r="E378" s="6" t="n">
        <v>60000</v>
      </c>
      <c r="F378" s="6" t="n">
        <v>120</v>
      </c>
      <c r="G378" t="inlineStr">
        <is>
          <t>Helicopter</t>
        </is>
      </c>
      <c r="H378" s="6" t="n">
        <v>1</v>
      </c>
      <c r="I378" s="6" t="n">
        <v>1</v>
      </c>
      <c r="J378" s="6" t="n">
        <v>2</v>
      </c>
      <c r="K378" s="6" t="n"/>
      <c r="P378">
        <f>MAX(P379)</f>
        <v/>
      </c>
      <c r="S378">
        <f>S379</f>
        <v/>
      </c>
      <c r="T378">
        <f>(E378/100000+F378/100+(P378/1000)*J378/5+S378/200)*200*I378*H378</f>
        <v/>
      </c>
      <c r="U378">
        <f>((E378*F378/25000)+((P378/1000)*J378*S378/2.5))*I378*H378</f>
        <v/>
      </c>
      <c r="V378">
        <f>(E378*F378*(P378/1000)*J378*S378*I378*H378)/12500000</f>
        <v/>
      </c>
      <c r="W378">
        <f>(T378+U378+V378)/3</f>
        <v/>
      </c>
      <c r="X378" s="6" t="n">
        <v>1200</v>
      </c>
      <c r="Y378">
        <f>IFERROR(W378-X378,"")</f>
        <v/>
      </c>
      <c r="Z378">
        <f>IFERROR(ABS(Y378)/MAX(X378,1),"")</f>
        <v/>
      </c>
      <c r="AA378">
        <f>IFERROR((X378-(((E378/100000+F378/100+S378/200)*200*I378*H378)+((E378*F378/25000)*I378*H378))/3)/(((J378/5)*200*I378*H378)+((J378*S378/2.5)*I378*H378)+((E378*F378*J378*S378*I378*H378)/12500000))/3*1000,"")</f>
        <v/>
      </c>
    </row>
    <row r="379">
      <c r="B379" s="7" t="inlineStr">
        <is>
          <t xml:space="preserve">  ↳ DreadshroudSpore</t>
        </is>
      </c>
      <c r="C379" s="7" t="inlineStr">
        <is>
          <t>Armament</t>
        </is>
      </c>
      <c r="L379" s="6" t="n">
        <v>11000</v>
      </c>
      <c r="M379" s="6" t="n">
        <v>60</v>
      </c>
      <c r="N379" s="6" t="n">
        <v>1</v>
      </c>
      <c r="O379" s="6" t="n"/>
      <c r="P379" s="6" t="n">
        <v>5850</v>
      </c>
      <c r="Q379" s="6" t="n">
        <v>1</v>
      </c>
      <c r="R379">
        <f>M379+IF(N379&gt;1,N(O379)*(N379-1),0)</f>
        <v/>
      </c>
      <c r="S379">
        <f>IFERROR(L379*MAX(N379,1)/R379*IF(ISBLANK(K378),1,K378),0)</f>
        <v/>
      </c>
      <c r="AB379" s="7" t="inlineStr">
        <is>
          <t>^LightFlameWeapon, ^MediumMissile, ^ShrapnelWeapon, ^FlakWeapon, ^MediumChemicalWeapon, ^LaserWeapon</t>
        </is>
      </c>
    </row>
    <row r="380">
      <c r="A380" t="inlineStr">
        <is>
          <t>starcraft</t>
        </is>
      </c>
      <c r="B380" t="inlineStr">
        <is>
          <t>zerg_gorekraken</t>
        </is>
      </c>
      <c r="C380" t="inlineStr">
        <is>
          <t>Gorekraken</t>
        </is>
      </c>
      <c r="D380" s="6" t="inlineStr">
        <is>
          <t>Helicopter</t>
        </is>
      </c>
      <c r="E380" s="6" t="n">
        <v>350000</v>
      </c>
      <c r="F380" s="6" t="n">
        <v>70</v>
      </c>
      <c r="G380" t="inlineStr">
        <is>
          <t>Helicopter</t>
        </is>
      </c>
      <c r="H380" s="6" t="n">
        <v>1</v>
      </c>
      <c r="I380" s="6" t="n">
        <v>1</v>
      </c>
      <c r="J380" s="6" t="n">
        <v>1</v>
      </c>
      <c r="K380" s="6" t="n"/>
      <c r="P380">
        <f>MAX(P381)</f>
        <v/>
      </c>
      <c r="S380">
        <f>S381</f>
        <v/>
      </c>
      <c r="T380">
        <f>(E380/100000+F380/100+(P380/1000)*J380/5+S380/200)*200*I380*H380</f>
        <v/>
      </c>
      <c r="U380">
        <f>((E380*F380/25000)+((P380/1000)*J380*S380/2.5))*I380*H380</f>
        <v/>
      </c>
      <c r="V380">
        <f>(E380*F380*(P380/1000)*J380*S380*I380*H380)/12500000</f>
        <v/>
      </c>
      <c r="W380">
        <f>(T380+U380+V380)/3</f>
        <v/>
      </c>
      <c r="X380" s="6" t="n">
        <v>2000</v>
      </c>
      <c r="Y380">
        <f>IFERROR(W380-X380,"")</f>
        <v/>
      </c>
      <c r="Z380">
        <f>IFERROR(ABS(Y380)/MAX(X380,1),"")</f>
        <v/>
      </c>
      <c r="AA380">
        <f>IFERROR((X380-(((E380/100000+F380/100+S380/200)*200*I380*H380)+((E380*F380/25000)*I380*H380))/3)/(((J380/5)*200*I380*H380)+((J380*S380/2.5)*I380*H380)+((E380*F380*J380*S380*I380*H380)/12500000))/3*1000,"")</f>
        <v/>
      </c>
    </row>
    <row r="381">
      <c r="B381" s="7" t="inlineStr">
        <is>
          <t xml:space="preserve">  ↳ GorekrakenClaw</t>
        </is>
      </c>
      <c r="C381" s="7" t="inlineStr">
        <is>
          <t>Armament</t>
        </is>
      </c>
      <c r="L381" s="6" t="n">
        <v>14000</v>
      </c>
      <c r="M381" s="6" t="n">
        <v>15</v>
      </c>
      <c r="N381" s="6" t="n">
        <v>1</v>
      </c>
      <c r="O381" s="6" t="n"/>
      <c r="P381" s="6" t="n">
        <v>1448</v>
      </c>
      <c r="Q381" s="6" t="n">
        <v>1</v>
      </c>
      <c r="R381">
        <f>M381+IF(N381&gt;1,N(O381)*(N381-1),0)</f>
        <v/>
      </c>
      <c r="S381">
        <f>IFERROR(L381*MAX(N381,1)/R381*IF(ISBLANK(K380),1,K380),0)</f>
        <v/>
      </c>
      <c r="AB381" s="7" t="inlineStr">
        <is>
          <t>^Warhead_Melee_Medium</t>
        </is>
      </c>
    </row>
    <row r="382">
      <c r="A382" t="inlineStr">
        <is>
          <t>starcraft</t>
        </is>
      </c>
      <c r="B382" t="inlineStr">
        <is>
          <t>zerg_guardian</t>
        </is>
      </c>
      <c r="C382" t="inlineStr">
        <is>
          <t>Guardian</t>
        </is>
      </c>
      <c r="D382" s="6" t="inlineStr">
        <is>
          <t>Helicopter</t>
        </is>
      </c>
      <c r="E382" s="6" t="n">
        <v>150000</v>
      </c>
      <c r="F382" s="6" t="n">
        <v>50</v>
      </c>
      <c r="G382" t="inlineStr">
        <is>
          <t>Helicopter</t>
        </is>
      </c>
      <c r="H382" s="6" t="n">
        <v>1</v>
      </c>
      <c r="I382" s="6" t="n">
        <v>1</v>
      </c>
      <c r="J382" s="6" t="n">
        <v>1.25</v>
      </c>
      <c r="K382" s="6" t="n"/>
      <c r="P382">
        <f>MAX(P383)</f>
        <v/>
      </c>
      <c r="S382">
        <f>S383</f>
        <v/>
      </c>
      <c r="T382">
        <f>(E382/100000+F382/100+(P382/1000)*J382/5+S382/200)*200*I382*H382</f>
        <v/>
      </c>
      <c r="U382">
        <f>((E382*F382/25000)+((P382/1000)*J382*S382/2.5))*I382*H382</f>
        <v/>
      </c>
      <c r="V382">
        <f>(E382*F382*(P382/1000)*J382*S382*I382*H382)/12500000</f>
        <v/>
      </c>
      <c r="W382">
        <f>(T382+U382+V382)/3</f>
        <v/>
      </c>
      <c r="X382" s="6" t="n">
        <v>2200</v>
      </c>
      <c r="Y382">
        <f>IFERROR(W382-X382,"")</f>
        <v/>
      </c>
      <c r="Z382">
        <f>IFERROR(ABS(Y382)/MAX(X382,1),"")</f>
        <v/>
      </c>
      <c r="AA382">
        <f>IFERROR((X382-(((E382/100000+F382/100+S382/200)*200*I382*H382)+((E382*F382/25000)*I382*H382))/3)/(((J382/5)*200*I382*H382)+((J382*S382/2.5)*I382*H382)+((E382*F382*J382*S382*I382*H382)/12500000))/3*1000,"")</f>
        <v/>
      </c>
    </row>
    <row r="383">
      <c r="B383" s="7" t="inlineStr">
        <is>
          <t xml:space="preserve">  ↳ GuardianShoot</t>
        </is>
      </c>
      <c r="C383" s="7" t="inlineStr">
        <is>
          <t>Armament</t>
        </is>
      </c>
      <c r="L383" s="6" t="n">
        <v>24000</v>
      </c>
      <c r="M383" s="6" t="n">
        <v>60</v>
      </c>
      <c r="N383" s="6" t="n">
        <v>1</v>
      </c>
      <c r="O383" s="6" t="n"/>
      <c r="P383" s="6" t="n">
        <v>10000</v>
      </c>
      <c r="Q383" s="6" t="n">
        <v>1</v>
      </c>
      <c r="R383">
        <f>M383+IF(N383&gt;1,N(O383)*(N383-1),0)</f>
        <v/>
      </c>
      <c r="S383">
        <f>IFERROR(L383*MAX(N383,1)/R383*IF(ISBLANK(K382),1,K382),0)</f>
        <v/>
      </c>
      <c r="AB383" s="7" t="inlineStr">
        <is>
          <t>^Grenade, ^ShrapnelWeapon, ^HeavyBomb</t>
        </is>
      </c>
    </row>
    <row r="384">
      <c r="A384" t="inlineStr">
        <is>
          <t>starcraft</t>
        </is>
      </c>
      <c r="B384" t="inlineStr">
        <is>
          <t>zerg_mutalisk</t>
        </is>
      </c>
      <c r="C384" t="inlineStr">
        <is>
          <t>Mutalisk</t>
        </is>
      </c>
      <c r="D384" s="6" t="inlineStr">
        <is>
          <t>Helicopter</t>
        </is>
      </c>
      <c r="E384" s="6" t="n">
        <v>40000</v>
      </c>
      <c r="F384" s="6" t="n">
        <v>160</v>
      </c>
      <c r="G384" t="inlineStr">
        <is>
          <t>Helicopter</t>
        </is>
      </c>
      <c r="H384" s="6" t="n">
        <v>1</v>
      </c>
      <c r="I384" s="6" t="n">
        <v>1</v>
      </c>
      <c r="J384" s="6" t="n">
        <v>1.25</v>
      </c>
      <c r="K384" s="6" t="n">
        <v>0.0025</v>
      </c>
      <c r="P384">
        <f>MAX(P385)</f>
        <v/>
      </c>
      <c r="S384">
        <f>S385</f>
        <v/>
      </c>
      <c r="T384">
        <f>(E384/100000+F384/100+(P384/1000)*J384/5+S384/200)*200*I384*H384</f>
        <v/>
      </c>
      <c r="U384">
        <f>((E384*F384/25000)+((P384/1000)*J384*S384/2.5))*I384*H384</f>
        <v/>
      </c>
      <c r="V384">
        <f>(E384*F384*(P384/1000)*J384*S384*I384*H384)/12500000</f>
        <v/>
      </c>
      <c r="W384">
        <f>(T384+U384+V384)/3</f>
        <v/>
      </c>
      <c r="X384" s="6" t="n">
        <v>1000</v>
      </c>
      <c r="Y384">
        <f>IFERROR(W384-X384,"")</f>
        <v/>
      </c>
      <c r="Z384">
        <f>IFERROR(ABS(Y384)/MAX(X384,1),"")</f>
        <v/>
      </c>
      <c r="AA384">
        <f>IFERROR((X384-(((E384/100000+F384/100+S384/200)*200*I384*H384)+((E384*F384/25000)*I384*H384))/3)/(((J384/5)*200*I384*H384)+((J384*S384/2.5)*I384*H384)+((E384*F384*J384*S384*I384*H384)/12500000))/3*1000,"")</f>
        <v/>
      </c>
    </row>
    <row r="385">
      <c r="B385" s="7" t="inlineStr">
        <is>
          <t xml:space="preserve">  ↳ MutaliskSpore</t>
        </is>
      </c>
      <c r="C385" s="7" t="inlineStr">
        <is>
          <t>Armament</t>
        </is>
      </c>
      <c r="L385" s="6" t="n">
        <v>32000</v>
      </c>
      <c r="M385" s="6" t="n">
        <v>20</v>
      </c>
      <c r="N385" s="6" t="n">
        <v>1</v>
      </c>
      <c r="O385" s="6" t="n"/>
      <c r="P385" s="6" t="n">
        <v>4444</v>
      </c>
      <c r="Q385" s="6" t="n">
        <v>1</v>
      </c>
      <c r="R385">
        <f>M385+IF(N385&gt;1,N(O385)*(N385-1),0)</f>
        <v/>
      </c>
      <c r="S385">
        <f>IFERROR(L385*MAX(N385,1)/R385*IF(ISBLANK(K384),1,K384),0)</f>
        <v/>
      </c>
      <c r="AB385" s="7" t="inlineStr">
        <is>
          <t>^SwordWeapon, ^MediumChemicalWeapon, ^SmallArms, ^ArrowWeapon</t>
        </is>
      </c>
    </row>
    <row r="386">
      <c r="A386" t="inlineStr">
        <is>
          <t>starcraft</t>
        </is>
      </c>
      <c r="B386" t="inlineStr">
        <is>
          <t>zerg_overlord</t>
        </is>
      </c>
      <c r="C386" t="inlineStr">
        <is>
          <t>Zerg Overlord</t>
        </is>
      </c>
      <c r="D386" s="6" t="inlineStr">
        <is>
          <t>Helicopter</t>
        </is>
      </c>
      <c r="E386" s="6" t="n">
        <v>25000</v>
      </c>
      <c r="F386" s="6" t="n">
        <v>30</v>
      </c>
      <c r="G386" t="inlineStr">
        <is>
          <t>Helicopter</t>
        </is>
      </c>
      <c r="H386" s="6" t="n">
        <v>1</v>
      </c>
      <c r="I386" s="6" t="n">
        <v>1</v>
      </c>
      <c r="J386" s="6" t="n">
        <v>1</v>
      </c>
      <c r="K386" s="6" t="n"/>
      <c r="X386" s="6" t="n">
        <v>500</v>
      </c>
    </row>
    <row r="387">
      <c r="A387" t="inlineStr">
        <is>
          <t>starcraft</t>
        </is>
      </c>
      <c r="B387" t="inlineStr">
        <is>
          <t>zerg_queen</t>
        </is>
      </c>
      <c r="C387" t="inlineStr">
        <is>
          <t>Queen</t>
        </is>
      </c>
      <c r="D387" s="6" t="inlineStr">
        <is>
          <t>Helicopter</t>
        </is>
      </c>
      <c r="E387" s="6" t="n">
        <v>125000</v>
      </c>
      <c r="F387" s="6" t="n">
        <v>100</v>
      </c>
      <c r="G387" t="inlineStr">
        <is>
          <t>Helicopter</t>
        </is>
      </c>
      <c r="H387" s="6" t="n">
        <v>1</v>
      </c>
      <c r="I387" s="6" t="n">
        <v>1</v>
      </c>
      <c r="J387" s="6" t="n">
        <v>1.25</v>
      </c>
      <c r="K387" s="6" t="n"/>
      <c r="P387">
        <f>MAX(P388)</f>
        <v/>
      </c>
      <c r="S387">
        <f>S388</f>
        <v/>
      </c>
      <c r="T387">
        <f>(E387/100000+F387/100+(P387/1000)*J387/5+S387/200)*200*I387*H387</f>
        <v/>
      </c>
      <c r="U387">
        <f>((E387*F387/25000)+((P387/1000)*J387*S387/2.5))*I387*H387</f>
        <v/>
      </c>
      <c r="V387">
        <f>(E387*F387*(P387/1000)*J387*S387*I387*H387)/12500000</f>
        <v/>
      </c>
      <c r="W387">
        <f>(T387+U387+V387)/3</f>
        <v/>
      </c>
      <c r="X387" s="6" t="n">
        <v>1200</v>
      </c>
      <c r="Y387">
        <f>IFERROR(W387-X387,"")</f>
        <v/>
      </c>
      <c r="Z387">
        <f>IFERROR(ABS(Y387)/MAX(X387,1),"")</f>
        <v/>
      </c>
      <c r="AA387">
        <f>IFERROR((X387-(((E387/100000+F387/100+S387/200)*200*I387*H387)+((E387*F387/25000)*I387*H387))/3)/(((J387/5)*200*I387*H387)+((J387*S387/2.5)*I387*H387)+((E387*F387*J387*S387*I387*H387)/12500000))/3*1000,"")</f>
        <v/>
      </c>
    </row>
    <row r="388">
      <c r="B388" s="7" t="inlineStr">
        <is>
          <t xml:space="preserve">  ↳ QueenSpine</t>
        </is>
      </c>
      <c r="C388" s="7" t="inlineStr">
        <is>
          <t>Armament@Spines</t>
        </is>
      </c>
      <c r="L388" s="6" t="n">
        <v>20000</v>
      </c>
      <c r="M388" s="6" t="n">
        <v>78</v>
      </c>
      <c r="N388" s="6" t="n">
        <v>1</v>
      </c>
      <c r="O388" s="6" t="n"/>
      <c r="P388" s="6" t="n">
        <v>5480</v>
      </c>
      <c r="Q388" s="6" t="n">
        <v>1</v>
      </c>
      <c r="R388">
        <f>M388+IF(N388&gt;1,N(O388)*(N388-1),0)</f>
        <v/>
      </c>
      <c r="S388">
        <f>IFERROR(L388*MAX(N388,1)/R388*IF(ISBLANK(K387),1,K387),0)</f>
        <v/>
      </c>
      <c r="AB388" s="7" t="inlineStr">
        <is>
          <t>^MediumChemicalWeapon, ^ArrowWeapon</t>
        </is>
      </c>
    </row>
    <row r="389">
      <c r="A389" t="inlineStr">
        <is>
          <t>starcraft</t>
        </is>
      </c>
      <c r="B389" t="inlineStr">
        <is>
          <t>terran_raven</t>
        </is>
      </c>
      <c r="C389" t="inlineStr">
        <is>
          <t>Raven</t>
        </is>
      </c>
      <c r="D389" s="6" t="inlineStr">
        <is>
          <t>Helicopter</t>
        </is>
      </c>
      <c r="E389" s="6" t="n">
        <v>100000</v>
      </c>
      <c r="F389" s="6" t="n">
        <v>100</v>
      </c>
      <c r="G389" t="inlineStr">
        <is>
          <t>Helicopter</t>
        </is>
      </c>
      <c r="H389" s="6" t="n">
        <v>1</v>
      </c>
      <c r="I389" s="6" t="n">
        <v>1</v>
      </c>
      <c r="J389" s="6" t="n">
        <v>1</v>
      </c>
      <c r="K389" s="6" t="n"/>
      <c r="P389">
        <f>MAX(P390)</f>
        <v/>
      </c>
      <c r="S389">
        <f>S390</f>
        <v/>
      </c>
      <c r="T389">
        <f>(E389/100000+F389/100+(P389/1000)*J389/5+S389/200)*200*I389*H389</f>
        <v/>
      </c>
      <c r="U389">
        <f>((E389*F389/25000)+((P389/1000)*J389*S389/2.5))*I389*H389</f>
        <v/>
      </c>
      <c r="V389">
        <f>(E389*F389*(P389/1000)*J389*S389*I389*H389)/12500000</f>
        <v/>
      </c>
      <c r="W389">
        <f>(T389+U389+V389)/3</f>
        <v/>
      </c>
      <c r="X389" s="6" t="n">
        <v>2000</v>
      </c>
      <c r="Y389">
        <f>IFERROR(W389-X389,"")</f>
        <v/>
      </c>
      <c r="Z389">
        <f>IFERROR(ABS(Y389)/MAX(X389,1),"")</f>
        <v/>
      </c>
      <c r="AA389">
        <f>IFERROR((X389-(((E389/100000+F389/100+S389/200)*200*I389*H389)+((E389*F389/25000)*I389*H389))/3)/(((J389/5)*200*I389*H389)+((J389*S389/2.5)*I389*H389)+((E389*F389*J389*S389*I389*H389)/12500000))/3*1000,"")</f>
        <v/>
      </c>
    </row>
    <row r="390">
      <c r="B390" s="7" t="inlineStr">
        <is>
          <t xml:space="preserve">  ↳ RavenRepair</t>
        </is>
      </c>
      <c r="C390" s="7" t="inlineStr">
        <is>
          <t>Armament@repair</t>
        </is>
      </c>
      <c r="L390" s="6" t="n">
        <v>-3000</v>
      </c>
      <c r="M390" s="6" t="n">
        <v>5</v>
      </c>
      <c r="N390" s="6" t="n">
        <v>10</v>
      </c>
      <c r="O390" s="6" t="n">
        <v>1</v>
      </c>
      <c r="P390" s="6" t="n">
        <v>5000</v>
      </c>
      <c r="Q390" s="6" t="n">
        <v>1</v>
      </c>
      <c r="R390">
        <f>M390+IF(N390&gt;1,N(O390)*(N390-1),0)</f>
        <v/>
      </c>
      <c r="S390">
        <f>IFERROR(L390*MAX(N390,1)/R390*IF(ISBLANK(K389),1,K389),0)</f>
        <v/>
      </c>
      <c r="AB390" s="7" t="inlineStr">
        <is>
          <t>^RepairWeapon</t>
        </is>
      </c>
    </row>
    <row r="391">
      <c r="A391" t="inlineStr">
        <is>
          <t>starcraft</t>
        </is>
      </c>
      <c r="B391" t="inlineStr">
        <is>
          <t>terran_sciencevessel</t>
        </is>
      </c>
      <c r="C391" t="inlineStr">
        <is>
          <t>Science Vessel</t>
        </is>
      </c>
      <c r="D391" s="6" t="inlineStr">
        <is>
          <t>Helicopter</t>
        </is>
      </c>
      <c r="E391" s="6" t="n">
        <v>200000</v>
      </c>
      <c r="F391" s="6" t="n">
        <v>66</v>
      </c>
      <c r="G391" t="inlineStr">
        <is>
          <t>Helicopter</t>
        </is>
      </c>
      <c r="H391" s="6" t="n">
        <v>0.6226</v>
      </c>
      <c r="I391" s="6" t="n">
        <v>1</v>
      </c>
      <c r="J391" s="6" t="n">
        <v>1</v>
      </c>
      <c r="K391" s="6" t="n"/>
      <c r="P391">
        <f>MAX(P394)</f>
        <v/>
      </c>
      <c r="S391">
        <f>S394</f>
        <v/>
      </c>
      <c r="T391">
        <f>(E391/100000+F391/100+(P391/1000)*J391/5+S391/200)*200*I391*H391</f>
        <v/>
      </c>
      <c r="U391">
        <f>((E391*F391/25000)+((P391/1000)*J391*S391/2.5))*I391*H391</f>
        <v/>
      </c>
      <c r="V391">
        <f>(E391*F391*(P391/1000)*J391*S391*I391*H391)/12500000</f>
        <v/>
      </c>
      <c r="W391">
        <f>(T391+U391+V391)/3</f>
        <v/>
      </c>
      <c r="X391" s="6" t="n">
        <v>2200</v>
      </c>
      <c r="Y391">
        <f>IFERROR(W391-X391,"")</f>
        <v/>
      </c>
      <c r="Z391">
        <f>IFERROR(ABS(Y391)/MAX(X391,1),"")</f>
        <v/>
      </c>
      <c r="AA391">
        <f>IFERROR((X391-(((E391/100000+F391/100+S391/200)*200*I391*H391)+((E391*F391/25000)*I391*H391))/3)/(((J391/5)*200*I391*H391)+((J391*S391/2.5)*I391*H391)+((E391*F391*J391*S391*I391*H391)/12500000))/3*1000,"")</f>
        <v/>
      </c>
    </row>
    <row r="392">
      <c r="B392" s="7" t="inlineStr">
        <is>
          <t xml:space="preserve">  ↳ ScienceVesselDefenseMatrix</t>
        </is>
      </c>
      <c r="C392" s="7" t="inlineStr">
        <is>
          <t>Armament@IronCourtain</t>
        </is>
      </c>
      <c r="L392" s="6" t="n"/>
      <c r="M392" s="6" t="n">
        <v>260</v>
      </c>
      <c r="N392" s="6" t="n">
        <v>1</v>
      </c>
      <c r="O392" s="6" t="n"/>
      <c r="P392" s="6" t="n">
        <v>7500</v>
      </c>
      <c r="Q392" s="6" t="n">
        <v>1</v>
      </c>
      <c r="R392">
        <f>M392+IF(N392&gt;1,N(O392)*(N392-1),0)</f>
        <v/>
      </c>
      <c r="S392">
        <f>IFERROR(L392*MAX(N392,1)/R392*IF(ISBLANK(K391),1,K391),0)</f>
        <v/>
      </c>
      <c r="AB392" s="7" t="inlineStr"/>
    </row>
    <row r="393">
      <c r="B393" s="7" t="inlineStr">
        <is>
          <t xml:space="preserve">  ↳ ScienceVesselIrradiate</t>
        </is>
      </c>
      <c r="C393" s="7" t="inlineStr">
        <is>
          <t>Armament@Irradiate</t>
        </is>
      </c>
      <c r="L393" s="6" t="n"/>
      <c r="M393" s="6" t="n">
        <v>110</v>
      </c>
      <c r="N393" s="6" t="n">
        <v>1</v>
      </c>
      <c r="O393" s="6" t="n"/>
      <c r="P393" s="6" t="n">
        <v>7500</v>
      </c>
      <c r="Q393" s="6" t="n">
        <v>1</v>
      </c>
      <c r="R393">
        <f>M393+IF(N393&gt;1,N(O393)*(N393-1),0)</f>
        <v/>
      </c>
      <c r="S393">
        <f>IFERROR(L393*MAX(N393,1)/R393*IF(ISBLANK(K391),1,K391),0)</f>
        <v/>
      </c>
      <c r="AB393" s="7" t="inlineStr"/>
    </row>
    <row r="394">
      <c r="B394" s="7" t="inlineStr">
        <is>
          <t xml:space="preserve">  ↳ ScienceVessel_EMP</t>
        </is>
      </c>
      <c r="C394" s="7" t="inlineStr">
        <is>
          <t>Armament@EMP</t>
        </is>
      </c>
      <c r="L394" s="6" t="n">
        <v>100000</v>
      </c>
      <c r="M394" s="6" t="n">
        <v>360</v>
      </c>
      <c r="N394" s="6" t="n">
        <v>1</v>
      </c>
      <c r="O394" s="6" t="n"/>
      <c r="P394" s="6" t="n">
        <v>7500</v>
      </c>
      <c r="Q394" s="6" t="n">
        <v>1</v>
      </c>
      <c r="R394">
        <f>M394+IF(N394&gt;1,N(O394)*(N394-1),0)</f>
        <v/>
      </c>
      <c r="S394">
        <f>IFERROR(L394*MAX(N394,1)/R394*IF(ISBLANK(K391),1,K391),0)</f>
        <v/>
      </c>
      <c r="AB394" s="7" t="inlineStr">
        <is>
          <t>^Warhead_Tesla_Super</t>
        </is>
      </c>
    </row>
    <row r="395">
      <c r="A395" t="inlineStr">
        <is>
          <t>starcraft</t>
        </is>
      </c>
      <c r="B395" t="inlineStr">
        <is>
          <t>terran_sundog</t>
        </is>
      </c>
      <c r="C395" t="inlineStr">
        <is>
          <t>Sundog</t>
        </is>
      </c>
      <c r="D395" s="6" t="inlineStr">
        <is>
          <t>Helicopter</t>
        </is>
      </c>
      <c r="E395" s="6" t="n">
        <v>160000</v>
      </c>
      <c r="F395" s="6" t="n">
        <v>120</v>
      </c>
      <c r="G395" t="inlineStr">
        <is>
          <t>Helicopter</t>
        </is>
      </c>
      <c r="H395" s="6" t="n">
        <v>1</v>
      </c>
      <c r="I395" s="6" t="n">
        <v>1</v>
      </c>
      <c r="J395" s="6" t="n">
        <v>1</v>
      </c>
      <c r="K395" s="6" t="n">
        <v>0.005</v>
      </c>
      <c r="P395">
        <f>MAX(P396,P397,P398)</f>
        <v/>
      </c>
      <c r="S395">
        <f>S396+S397+S398</f>
        <v/>
      </c>
      <c r="T395">
        <f>(E395/100000+F395/100+(P395/1000)*J395/5+S395/200)*200*I395*H395</f>
        <v/>
      </c>
      <c r="U395">
        <f>((E395*F395/25000)+((P395/1000)*J395*S395/2.5))*I395*H395</f>
        <v/>
      </c>
      <c r="V395">
        <f>(E395*F395*(P395/1000)*J395*S395*I395*H395)/12500000</f>
        <v/>
      </c>
      <c r="W395">
        <f>(T395+U395+V395)/3</f>
        <v/>
      </c>
      <c r="X395" s="6" t="n">
        <v>2700</v>
      </c>
      <c r="Y395">
        <f>IFERROR(W395-X395,"")</f>
        <v/>
      </c>
      <c r="Z395">
        <f>IFERROR(ABS(Y395)/MAX(X395,1),"")</f>
        <v/>
      </c>
      <c r="AA395">
        <f>IFERROR((X395-(((E395/100000+F395/100+S395/200)*200*I395*H395)+((E395*F395/25000)*I395*H395))/3)/(((J395/5)*200*I395*H395)+((J395*S395/2.5)*I395*H395)+((E395*F395*J395*S395*I395*H395)/12500000))/3*1000,"")</f>
        <v/>
      </c>
    </row>
    <row r="396">
      <c r="B396" s="7" t="inlineStr">
        <is>
          <t xml:space="preserve">  ↳ SunDogLaser</t>
        </is>
      </c>
      <c r="C396" s="7" t="inlineStr">
        <is>
          <t>Armament@PRIMARY</t>
        </is>
      </c>
      <c r="L396" s="6" t="n">
        <v>16000</v>
      </c>
      <c r="M396" s="6" t="n">
        <v>39</v>
      </c>
      <c r="N396" s="6" t="n">
        <v>1</v>
      </c>
      <c r="O396" s="6" t="n"/>
      <c r="P396" s="6" t="n">
        <v>6060</v>
      </c>
      <c r="Q396" s="6" t="n">
        <v>1.25</v>
      </c>
      <c r="R396">
        <f>M396+IF(N396&gt;1,N(O396)*(N396-1),0)</f>
        <v/>
      </c>
      <c r="S396">
        <f>IFERROR(L396*MAX(N396,1)/R396*IF(ISBLANK(K395),1,K395),0)</f>
        <v/>
      </c>
      <c r="AB396" s="7" t="inlineStr">
        <is>
          <t>^Warhead_Laser_Heavy</t>
        </is>
      </c>
    </row>
    <row r="397">
      <c r="B397" s="7" t="inlineStr">
        <is>
          <t xml:space="preserve">  ↳ SunDogRockets</t>
        </is>
      </c>
      <c r="C397" s="7" t="inlineStr">
        <is>
          <t>Armament@SECONDARY1</t>
        </is>
      </c>
      <c r="L397" s="6" t="n">
        <v>10000</v>
      </c>
      <c r="M397" s="6" t="n">
        <v>39</v>
      </c>
      <c r="N397" s="6" t="n">
        <v>1</v>
      </c>
      <c r="O397" s="6" t="n"/>
      <c r="P397" s="6" t="n">
        <v>6060</v>
      </c>
      <c r="Q397" s="6" t="n">
        <v>1.25</v>
      </c>
      <c r="R397">
        <f>M397+IF(N397&gt;1,N(O397)*(N397-1),0)</f>
        <v/>
      </c>
      <c r="S397">
        <f>IFERROR(L397*MAX(N397,1)/R397*IF(ISBLANK(K395),1,K395),0)</f>
        <v/>
      </c>
      <c r="AB397" s="7" t="inlineStr">
        <is>
          <t>^Warhead_MissileAP_Heavy</t>
        </is>
      </c>
    </row>
    <row r="398">
      <c r="B398" s="7" t="inlineStr">
        <is>
          <t xml:space="preserve">  ↳ SunDogRockets</t>
        </is>
      </c>
      <c r="C398" s="7" t="inlineStr">
        <is>
          <t>Armament@SECONDARY2</t>
        </is>
      </c>
      <c r="L398" s="6" t="n">
        <v>10000</v>
      </c>
      <c r="M398" s="6" t="n">
        <v>39</v>
      </c>
      <c r="N398" s="6" t="n">
        <v>1</v>
      </c>
      <c r="O398" s="6" t="n"/>
      <c r="P398" s="6" t="n">
        <v>6060</v>
      </c>
      <c r="Q398" s="6" t="n">
        <v>1.25</v>
      </c>
      <c r="R398">
        <f>M398+IF(N398&gt;1,N(O398)*(N398-1),0)</f>
        <v/>
      </c>
      <c r="S398">
        <f>IFERROR(L398*MAX(N398,1)/R398*IF(ISBLANK(K395),1,K395),0)</f>
        <v/>
      </c>
      <c r="AB398" s="7" t="inlineStr">
        <is>
          <t>^Warhead_MissileAP_Heavy</t>
        </is>
      </c>
    </row>
    <row r="399">
      <c r="A399" t="inlineStr">
        <is>
          <t>starcraft</t>
        </is>
      </c>
      <c r="B399" t="inlineStr">
        <is>
          <t>terran_valkyrie</t>
        </is>
      </c>
      <c r="C399" t="inlineStr">
        <is>
          <t>Valkyrie</t>
        </is>
      </c>
      <c r="D399" s="6" t="inlineStr">
        <is>
          <t>Helicopter</t>
        </is>
      </c>
      <c r="E399" s="6" t="n">
        <v>120000</v>
      </c>
      <c r="F399" s="6" t="n">
        <v>140</v>
      </c>
      <c r="G399" t="inlineStr">
        <is>
          <t>Helicopter</t>
        </is>
      </c>
      <c r="H399" s="6" t="n">
        <v>1</v>
      </c>
      <c r="I399" s="6" t="n">
        <v>0.5</v>
      </c>
      <c r="J399" s="6" t="n">
        <v>1</v>
      </c>
      <c r="K399" s="6" t="n">
        <v>0.005</v>
      </c>
      <c r="P399">
        <f>MAX(P400,P401)</f>
        <v/>
      </c>
      <c r="S399">
        <f>S400+S401</f>
        <v/>
      </c>
      <c r="T399">
        <f>(E399/100000+F399/100+(P399/1000)*J399/5+S399/200)*200*I399*H399</f>
        <v/>
      </c>
      <c r="U399">
        <f>((E399*F399/25000)+((P399/1000)*J399*S399/2.5))*I399*H399</f>
        <v/>
      </c>
      <c r="V399">
        <f>(E399*F399*(P399/1000)*J399*S399*I399*H399)/12500000</f>
        <v/>
      </c>
      <c r="W399">
        <f>(T399+U399+V399)/3</f>
        <v/>
      </c>
      <c r="X399" s="6" t="n">
        <v>2000</v>
      </c>
      <c r="Y399">
        <f>IFERROR(W399-X399,"")</f>
        <v/>
      </c>
      <c r="Z399">
        <f>IFERROR(ABS(Y399)/MAX(X399,1),"")</f>
        <v/>
      </c>
      <c r="AA399">
        <f>IFERROR((X399-(((E399/100000+F399/100+S399/200)*200*I399*H399)+((E399*F399/25000)*I399*H399))/3)/(((J399/5)*200*I399*H399)+((J399*S399/2.5)*I399*H399)+((E399*F399*J399*S399*I399*H399)/12500000))/3*1000,"")</f>
        <v/>
      </c>
    </row>
    <row r="400">
      <c r="B400" s="7" t="inlineStr">
        <is>
          <t xml:space="preserve">  ↳ ValkyrieRockets</t>
        </is>
      </c>
      <c r="C400" s="7" t="inlineStr">
        <is>
          <t>Armament@SECONDARY1</t>
        </is>
      </c>
      <c r="L400" s="6" t="n">
        <v>8000</v>
      </c>
      <c r="M400" s="6" t="n">
        <v>67</v>
      </c>
      <c r="N400" s="6" t="n">
        <v>8</v>
      </c>
      <c r="O400" s="6" t="n">
        <v>4</v>
      </c>
      <c r="P400" s="6" t="n">
        <v>7380</v>
      </c>
      <c r="Q400" s="6" t="n">
        <v>1.25</v>
      </c>
      <c r="R400">
        <f>M400+IF(N400&gt;1,N(O400)*(N400-1),0)</f>
        <v/>
      </c>
      <c r="S400">
        <f>IFERROR(L400*MAX(N400,1)/R400*IF(ISBLANK(K399),1,K399),0)</f>
        <v/>
      </c>
      <c r="AB400" s="7" t="inlineStr">
        <is>
          <t>^Warhead_MissileAP_Heavy</t>
        </is>
      </c>
    </row>
    <row r="401">
      <c r="B401" s="7" t="inlineStr">
        <is>
          <t xml:space="preserve">  ↳ ValkyrieRockets</t>
        </is>
      </c>
      <c r="C401" s="7" t="inlineStr">
        <is>
          <t>Armament@SECONDARY2</t>
        </is>
      </c>
      <c r="L401" s="6" t="n">
        <v>8000</v>
      </c>
      <c r="M401" s="6" t="n">
        <v>67</v>
      </c>
      <c r="N401" s="6" t="n">
        <v>8</v>
      </c>
      <c r="O401" s="6" t="n">
        <v>4</v>
      </c>
      <c r="P401" s="6" t="n">
        <v>7380</v>
      </c>
      <c r="Q401" s="6" t="n">
        <v>1.25</v>
      </c>
      <c r="R401">
        <f>M401+IF(N401&gt;1,N(O401)*(N401-1),0)</f>
        <v/>
      </c>
      <c r="S401">
        <f>IFERROR(L401*MAX(N401,1)/R401*IF(ISBLANK(K399),1,K399),0)</f>
        <v/>
      </c>
      <c r="AB401" s="7" t="inlineStr">
        <is>
          <t>^Warhead_MissileAP_Heavy</t>
        </is>
      </c>
    </row>
    <row r="402">
      <c r="A402" t="inlineStr">
        <is>
          <t>starcraft</t>
        </is>
      </c>
      <c r="B402" t="inlineStr">
        <is>
          <t>terran_wraith</t>
        </is>
      </c>
      <c r="C402" t="inlineStr">
        <is>
          <t>Wraith</t>
        </is>
      </c>
      <c r="D402" s="6" t="inlineStr">
        <is>
          <t>Helicopter</t>
        </is>
      </c>
      <c r="E402" s="6" t="n">
        <v>50000</v>
      </c>
      <c r="F402" s="6" t="n">
        <v>120</v>
      </c>
      <c r="G402" t="inlineStr">
        <is>
          <t>Helicopter</t>
        </is>
      </c>
      <c r="H402" s="6" t="n">
        <v>1</v>
      </c>
      <c r="I402" s="6" t="n">
        <v>1</v>
      </c>
      <c r="J402" s="6" t="n">
        <v>1</v>
      </c>
      <c r="K402" s="6" t="n"/>
      <c r="P402">
        <f>MAX(P403,P404,P405)</f>
        <v/>
      </c>
      <c r="S402">
        <f>S403+S404+S405</f>
        <v/>
      </c>
      <c r="T402">
        <f>(E402/100000+F402/100+(P402/1000)*J402/5+S402/200)*200*I402*H402</f>
        <v/>
      </c>
      <c r="U402">
        <f>((E402*F402/25000)+((P402/1000)*J402*S402/2.5))*I402*H402</f>
        <v/>
      </c>
      <c r="V402">
        <f>(E402*F402*(P402/1000)*J402*S402*I402*H402)/12500000</f>
        <v/>
      </c>
      <c r="W402">
        <f>(T402+U402+V402)/3</f>
        <v/>
      </c>
      <c r="X402" s="6" t="n">
        <v>1400</v>
      </c>
      <c r="Y402">
        <f>IFERROR(W402-X402,"")</f>
        <v/>
      </c>
      <c r="Z402">
        <f>IFERROR(ABS(Y402)/MAX(X402,1),"")</f>
        <v/>
      </c>
      <c r="AA402">
        <f>IFERROR((X402-(((E402/100000+F402/100+S402/200)*200*I402*H402)+((E402*F402/25000)*I402*H402))/3)/(((J402/5)*200*I402*H402)+((J402*S402/2.5)*I402*H402)+((E402*F402*J402*S402*I402*H402)/12500000))/3*1000,"")</f>
        <v/>
      </c>
    </row>
    <row r="403">
      <c r="B403" s="7" t="inlineStr">
        <is>
          <t xml:space="preserve">  ↳ WraithLaser</t>
        </is>
      </c>
      <c r="C403" s="7" t="inlineStr">
        <is>
          <t>Armament@PRIMARY</t>
        </is>
      </c>
      <c r="L403" s="6" t="n">
        <v>16000</v>
      </c>
      <c r="M403" s="6" t="n">
        <v>32</v>
      </c>
      <c r="N403" s="6" t="n">
        <v>1</v>
      </c>
      <c r="O403" s="6" t="n"/>
      <c r="P403" s="6" t="n">
        <v>5076</v>
      </c>
      <c r="Q403" s="6" t="n">
        <v>1.25</v>
      </c>
      <c r="R403">
        <f>M403+IF(N403&gt;1,N(O403)*(N403-1),0)</f>
        <v/>
      </c>
      <c r="S403">
        <f>IFERROR(L403*MAX(N403,1)/R403*IF(ISBLANK(K402),1,K402),0)</f>
        <v/>
      </c>
      <c r="AB403" s="7" t="inlineStr">
        <is>
          <t>^Warhead_Laser_Heavy</t>
        </is>
      </c>
    </row>
    <row r="404">
      <c r="B404" s="7" t="inlineStr">
        <is>
          <t xml:space="preserve">  ↳ WraithRockets_AA</t>
        </is>
      </c>
      <c r="C404" s="7" t="inlineStr">
        <is>
          <t>Armament@SECONDARY1</t>
        </is>
      </c>
      <c r="L404" s="6" t="n">
        <v>10000</v>
      </c>
      <c r="M404" s="6" t="n">
        <v>24</v>
      </c>
      <c r="N404" s="6" t="n">
        <v>1</v>
      </c>
      <c r="O404" s="6" t="n"/>
      <c r="P404" s="6" t="n">
        <v>5076</v>
      </c>
      <c r="Q404" s="6" t="n">
        <v>1.25</v>
      </c>
      <c r="R404">
        <f>M404+IF(N404&gt;1,N(O404)*(N404-1),0)</f>
        <v/>
      </c>
      <c r="S404">
        <f>IFERROR(L404*MAX(N404,1)/R404*IF(ISBLANK(K402),1,K402),0)</f>
        <v/>
      </c>
      <c r="AB404" s="7" t="inlineStr">
        <is>
          <t>^Warhead_MissileAP_Heavy</t>
        </is>
      </c>
    </row>
    <row r="405">
      <c r="B405" s="7" t="inlineStr">
        <is>
          <t xml:space="preserve">  ↳ WraithRockets_AA</t>
        </is>
      </c>
      <c r="C405" s="7" t="inlineStr">
        <is>
          <t>Armament@SECONDARY2</t>
        </is>
      </c>
      <c r="L405" s="6" t="n">
        <v>10000</v>
      </c>
      <c r="M405" s="6" t="n">
        <v>24</v>
      </c>
      <c r="N405" s="6" t="n">
        <v>1</v>
      </c>
      <c r="O405" s="6" t="n"/>
      <c r="P405" s="6" t="n">
        <v>5076</v>
      </c>
      <c r="Q405" s="6" t="n">
        <v>1.25</v>
      </c>
      <c r="R405">
        <f>M405+IF(N405&gt;1,N(O405)*(N405-1),0)</f>
        <v/>
      </c>
      <c r="S405">
        <f>IFERROR(L405*MAX(N405,1)/R405*IF(ISBLANK(K402),1,K402),0)</f>
        <v/>
      </c>
      <c r="AB405" s="7" t="inlineStr">
        <is>
          <t>^Warhead_MissileAP_Heavy</t>
        </is>
      </c>
    </row>
    <row r="406">
      <c r="A406" t="inlineStr">
        <is>
          <t>starcraft</t>
        </is>
      </c>
      <c r="B406" t="inlineStr">
        <is>
          <t>terran_wyvern</t>
        </is>
      </c>
      <c r="C406" t="inlineStr">
        <is>
          <t>Wyvern</t>
        </is>
      </c>
      <c r="D406" s="6" t="inlineStr">
        <is>
          <t>Helicopter</t>
        </is>
      </c>
      <c r="E406" s="6" t="n">
        <v>180000</v>
      </c>
      <c r="F406" s="6" t="n">
        <v>70</v>
      </c>
      <c r="G406" t="inlineStr">
        <is>
          <t>Helicopter</t>
        </is>
      </c>
      <c r="H406" s="6" t="n">
        <v>0.75</v>
      </c>
      <c r="I406" s="6" t="n">
        <v>1</v>
      </c>
      <c r="J406" s="6" t="n">
        <v>1</v>
      </c>
      <c r="K406" s="6" t="n"/>
      <c r="P406">
        <f>MAX(P407,P408)</f>
        <v/>
      </c>
      <c r="S406">
        <f>S407+S408</f>
        <v/>
      </c>
      <c r="T406">
        <f>(E406/100000+F406/100+(P406/1000)*J406/5+S406/200)*200*I406*H406</f>
        <v/>
      </c>
      <c r="U406">
        <f>((E406*F406/25000)+((P406/1000)*J406*S406/2.5))*I406*H406</f>
        <v/>
      </c>
      <c r="V406">
        <f>(E406*F406*(P406/1000)*J406*S406*I406*H406)/12500000</f>
        <v/>
      </c>
      <c r="W406">
        <f>(T406+U406+V406)/3</f>
        <v/>
      </c>
      <c r="X406" s="6" t="n">
        <v>3600</v>
      </c>
      <c r="Y406">
        <f>IFERROR(W406-X406,"")</f>
        <v/>
      </c>
      <c r="Z406">
        <f>IFERROR(ABS(Y406)/MAX(X406,1),"")</f>
        <v/>
      </c>
      <c r="AA406">
        <f>IFERROR((X406-(((E406/100000+F406/100+S406/200)*200*I406*H406)+((E406*F406/25000)*I406*H406))/3)/(((J406/5)*200*I406*H406)+((J406*S406/2.5)*I406*H406)+((E406*F406*J406*S406*I406*H406)/12500000))/3*1000,"")</f>
        <v/>
      </c>
    </row>
    <row r="407">
      <c r="B407" s="7" t="inlineStr">
        <is>
          <t xml:space="preserve">  ↳ WyvernRockets</t>
        </is>
      </c>
      <c r="C407" s="7" t="inlineStr">
        <is>
          <t>Armament@SECONDARY1</t>
        </is>
      </c>
      <c r="L407" s="6" t="n">
        <v>16000</v>
      </c>
      <c r="M407" s="6" t="n">
        <v>90</v>
      </c>
      <c r="N407" s="6" t="n">
        <v>4</v>
      </c>
      <c r="O407" s="6" t="n">
        <v>15</v>
      </c>
      <c r="P407" s="6" t="n">
        <v>8000</v>
      </c>
      <c r="Q407" s="6" t="n">
        <v>1.25</v>
      </c>
      <c r="R407">
        <f>M407+IF(N407&gt;1,N(O407)*(N407-1),0)</f>
        <v/>
      </c>
      <c r="S407">
        <f>IFERROR(L407*MAX(N407,1)/R407*IF(ISBLANK(K406),1,K406),0)</f>
        <v/>
      </c>
      <c r="AB407" s="7" t="inlineStr">
        <is>
          <t>^Warhead_CannonHE_Heavy, ^Warhead_MissileAP_Heavy</t>
        </is>
      </c>
    </row>
    <row r="408">
      <c r="B408" s="7" t="inlineStr">
        <is>
          <t xml:space="preserve">  ↳ WyvernRockets</t>
        </is>
      </c>
      <c r="C408" s="7" t="inlineStr">
        <is>
          <t>Armament@SECONDARY2</t>
        </is>
      </c>
      <c r="L408" s="6" t="n">
        <v>16000</v>
      </c>
      <c r="M408" s="6" t="n">
        <v>90</v>
      </c>
      <c r="N408" s="6" t="n">
        <v>4</v>
      </c>
      <c r="O408" s="6" t="n">
        <v>15</v>
      </c>
      <c r="P408" s="6" t="n">
        <v>8000</v>
      </c>
      <c r="Q408" s="6" t="n">
        <v>1.25</v>
      </c>
      <c r="R408">
        <f>M408+IF(N408&gt;1,N(O408)*(N408-1),0)</f>
        <v/>
      </c>
      <c r="S408">
        <f>IFERROR(L408*MAX(N408,1)/R408*IF(ISBLANK(K406),1,K406),0)</f>
        <v/>
      </c>
      <c r="AB408" s="7" t="inlineStr">
        <is>
          <t>^Warhead_CannonHE_Heavy, ^Warhead_MissileAP_Heavy</t>
        </is>
      </c>
    </row>
    <row r="409">
      <c r="A409" t="inlineStr">
        <is>
          <t>warcraft2</t>
        </is>
      </c>
      <c r="B409" t="inlineStr">
        <is>
          <t>wc2_orcs_goblinzeppelin</t>
        </is>
      </c>
      <c r="C409" t="inlineStr">
        <is>
          <t>Goblin Zeppelin</t>
        </is>
      </c>
      <c r="D409" s="6" t="inlineStr">
        <is>
          <t>Helicopter</t>
        </is>
      </c>
      <c r="E409" s="6" t="n">
        <v>25000</v>
      </c>
      <c r="F409" s="6" t="n">
        <v>165</v>
      </c>
      <c r="G409" t="inlineStr">
        <is>
          <t>Helicopter</t>
        </is>
      </c>
      <c r="H409" s="6" t="n">
        <v>1</v>
      </c>
      <c r="I409" s="6" t="n">
        <v>1</v>
      </c>
      <c r="J409" s="6" t="n">
        <v>1</v>
      </c>
      <c r="K409" s="6" t="n"/>
      <c r="X409" s="6" t="n">
        <v>350</v>
      </c>
    </row>
    <row r="410">
      <c r="A410" t="inlineStr">
        <is>
          <t>warcraft2</t>
        </is>
      </c>
      <c r="B410" t="inlineStr">
        <is>
          <t>wc2_humans_flyingmachine</t>
        </is>
      </c>
      <c r="C410" t="inlineStr">
        <is>
          <t>Flying Machine</t>
        </is>
      </c>
      <c r="D410" s="6" t="inlineStr">
        <is>
          <t>Helicopter</t>
        </is>
      </c>
      <c r="E410" s="6" t="n">
        <v>25000</v>
      </c>
      <c r="F410" s="6" t="n">
        <v>165</v>
      </c>
      <c r="G410" t="inlineStr">
        <is>
          <t>Helicopter</t>
        </is>
      </c>
      <c r="H410" s="6" t="n">
        <v>1</v>
      </c>
      <c r="I410" s="6" t="n">
        <v>1</v>
      </c>
      <c r="J410" s="6" t="n">
        <v>1</v>
      </c>
      <c r="K410" s="6" t="n"/>
      <c r="X410" s="6" t="n">
        <v>350</v>
      </c>
    </row>
    <row r="411">
      <c r="A411" t="inlineStr">
        <is>
          <t>warcraft2</t>
        </is>
      </c>
      <c r="B411" t="inlineStr">
        <is>
          <t>wc2_humans_gyrocoptermachine</t>
        </is>
      </c>
      <c r="C411" t="inlineStr">
        <is>
          <t>Gyrocopter Machine</t>
        </is>
      </c>
      <c r="D411" s="6" t="inlineStr">
        <is>
          <t>Helicopter</t>
        </is>
      </c>
      <c r="E411" s="6" t="n">
        <v>25000</v>
      </c>
      <c r="F411" s="6" t="n">
        <v>165</v>
      </c>
      <c r="G411" t="inlineStr">
        <is>
          <t>Helicopter</t>
        </is>
      </c>
      <c r="H411" s="6" t="n">
        <v>1</v>
      </c>
      <c r="I411" s="6" t="n">
        <v>1</v>
      </c>
      <c r="J411" s="6" t="n">
        <v>1</v>
      </c>
      <c r="K411" s="6" t="n"/>
      <c r="X411" s="6" t="n">
        <v>350</v>
      </c>
    </row>
    <row r="412">
      <c r="A412" s="4" t="inlineStr">
        <is>
          <t>UnarmedTransportHelicopter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</row>
    <row r="413">
      <c r="A413" t="inlineStr">
        <is>
          <t>shared</t>
        </is>
      </c>
      <c r="B413" t="inlineStr">
        <is>
          <t>TRAN</t>
        </is>
      </c>
      <c r="C413" t="inlineStr">
        <is>
          <t>Chinook Transport</t>
        </is>
      </c>
      <c r="D413" s="6" t="inlineStr">
        <is>
          <t>UnarmedTransportHelicopter</t>
        </is>
      </c>
      <c r="E413" s="6" t="n">
        <v>100000</v>
      </c>
      <c r="F413" s="6" t="n">
        <v>150</v>
      </c>
      <c r="G413" t="inlineStr">
        <is>
          <t>Helicopter</t>
        </is>
      </c>
      <c r="H413" s="6" t="n">
        <v>1</v>
      </c>
      <c r="I413" s="6" t="n">
        <v>1</v>
      </c>
      <c r="J413" s="6" t="n">
        <v>1</v>
      </c>
      <c r="K413" s="6" t="n"/>
      <c r="X413" s="6" t="n">
        <v>1500</v>
      </c>
    </row>
    <row r="414">
      <c r="A414" t="inlineStr">
        <is>
          <t>tiberiandawn</t>
        </is>
      </c>
      <c r="B414" t="inlineStr">
        <is>
          <t>td_gdi_chinooktransport</t>
        </is>
      </c>
      <c r="C414" t="inlineStr">
        <is>
          <t>GDI Chinook Transport</t>
        </is>
      </c>
      <c r="D414" s="6" t="inlineStr">
        <is>
          <t>UnarmedTransportHelicopter</t>
        </is>
      </c>
      <c r="E414" s="6" t="n">
        <v>100000</v>
      </c>
      <c r="F414" s="6" t="n">
        <v>150</v>
      </c>
      <c r="G414" t="inlineStr">
        <is>
          <t>Helicopter</t>
        </is>
      </c>
      <c r="H414" s="6" t="n">
        <v>0.7333</v>
      </c>
      <c r="I414" s="6" t="n">
        <v>1</v>
      </c>
      <c r="J414" s="6" t="n">
        <v>1</v>
      </c>
      <c r="K414" s="6" t="n"/>
      <c r="X414" s="6" t="n">
        <v>3000</v>
      </c>
    </row>
    <row r="415">
      <c r="A415" t="inlineStr">
        <is>
          <t>tiberiandawn</t>
        </is>
      </c>
      <c r="B415" t="inlineStr">
        <is>
          <t>td_nod_chinooktransport</t>
        </is>
      </c>
      <c r="C415" t="inlineStr">
        <is>
          <t>Nod Chinook Transport</t>
        </is>
      </c>
      <c r="D415" s="6" t="inlineStr">
        <is>
          <t>UnarmedTransportHelicopter</t>
        </is>
      </c>
      <c r="E415" s="6" t="n">
        <v>100000</v>
      </c>
      <c r="F415" s="6" t="n">
        <v>150</v>
      </c>
      <c r="G415" t="inlineStr">
        <is>
          <t>Helicopter</t>
        </is>
      </c>
      <c r="H415" s="6" t="n">
        <v>0.7333</v>
      </c>
      <c r="I415" s="6" t="n">
        <v>1</v>
      </c>
      <c r="J415" s="6" t="n">
        <v>1</v>
      </c>
      <c r="K415" s="6" t="n"/>
      <c r="X415" s="6" t="n">
        <v>3100</v>
      </c>
    </row>
    <row r="416">
      <c r="A416" t="inlineStr">
        <is>
          <t>redalert</t>
        </is>
      </c>
      <c r="B416" t="inlineStr">
        <is>
          <t>ra1_soviets_hiptransport</t>
        </is>
      </c>
      <c r="C416" t="inlineStr">
        <is>
          <t>Hip Transport</t>
        </is>
      </c>
      <c r="D416" s="6" t="inlineStr">
        <is>
          <t>UnarmedTransportHelicopter</t>
        </is>
      </c>
      <c r="E416" s="6" t="n">
        <v>150000</v>
      </c>
      <c r="F416" s="6" t="n">
        <v>100</v>
      </c>
      <c r="G416" t="inlineStr">
        <is>
          <t>Helicopter</t>
        </is>
      </c>
      <c r="H416" s="6" t="n">
        <v>0.7333</v>
      </c>
      <c r="I416" s="6" t="n">
        <v>1</v>
      </c>
      <c r="J416" s="6" t="n">
        <v>1</v>
      </c>
      <c r="K416" s="6" t="n"/>
      <c r="X416" s="6" t="n">
        <v>2500</v>
      </c>
    </row>
    <row r="417">
      <c r="A417" t="inlineStr">
        <is>
          <t>redalert</t>
        </is>
      </c>
      <c r="B417" t="inlineStr">
        <is>
          <t>ra1_allies_alliedchinooktransport</t>
        </is>
      </c>
      <c r="C417" t="inlineStr">
        <is>
          <t>Allied Chinook Transport</t>
        </is>
      </c>
      <c r="D417" s="6" t="inlineStr">
        <is>
          <t>UnarmedTransportHelicopter</t>
        </is>
      </c>
      <c r="E417" s="6" t="n">
        <v>125000</v>
      </c>
      <c r="F417" s="6" t="n">
        <v>125</v>
      </c>
      <c r="G417" t="inlineStr">
        <is>
          <t>Helicopter</t>
        </is>
      </c>
      <c r="H417" s="6" t="n">
        <v>0.7333</v>
      </c>
      <c r="I417" s="6" t="n">
        <v>1</v>
      </c>
      <c r="J417" s="6" t="n">
        <v>1</v>
      </c>
      <c r="K417" s="6" t="n"/>
      <c r="X417" s="6" t="n">
        <v>3600</v>
      </c>
    </row>
    <row r="418">
      <c r="A418" t="inlineStr">
        <is>
          <t>starcraft</t>
        </is>
      </c>
      <c r="B418" t="inlineStr">
        <is>
          <t>protoss_shuttle</t>
        </is>
      </c>
      <c r="C418" t="inlineStr">
        <is>
          <t>Shuttle</t>
        </is>
      </c>
      <c r="D418" s="6" t="inlineStr">
        <is>
          <t>UnarmedTransportHelicopter</t>
        </is>
      </c>
      <c r="E418" s="6" t="n">
        <v>100000</v>
      </c>
      <c r="F418" s="6" t="n">
        <v>150</v>
      </c>
      <c r="G418" t="inlineStr">
        <is>
          <t>Helicopter</t>
        </is>
      </c>
      <c r="H418" s="6" t="n">
        <v>1</v>
      </c>
      <c r="I418" s="6" t="n">
        <v>1</v>
      </c>
      <c r="J418" s="6" t="n">
        <v>1</v>
      </c>
      <c r="K418" s="6" t="n"/>
      <c r="X418" s="6" t="n">
        <v>6000</v>
      </c>
    </row>
    <row r="419">
      <c r="A419" t="inlineStr">
        <is>
          <t>starcraft</t>
        </is>
      </c>
      <c r="B419" t="inlineStr">
        <is>
          <t>zerg_broodweaver</t>
        </is>
      </c>
      <c r="C419" t="inlineStr">
        <is>
          <t>Broodweaver</t>
        </is>
      </c>
      <c r="D419" s="6" t="inlineStr">
        <is>
          <t>UnarmedTransportHelicopter</t>
        </is>
      </c>
      <c r="E419" s="6" t="n">
        <v>50000</v>
      </c>
      <c r="F419" s="6" t="n">
        <v>45</v>
      </c>
      <c r="G419" t="inlineStr">
        <is>
          <t>Helicopter</t>
        </is>
      </c>
      <c r="H419" s="6" t="n">
        <v>1</v>
      </c>
      <c r="I419" s="6" t="n">
        <v>1</v>
      </c>
      <c r="J419" s="6" t="n">
        <v>2</v>
      </c>
      <c r="K419" s="6" t="n"/>
      <c r="P419">
        <f>MAX(P420)</f>
        <v/>
      </c>
      <c r="S419">
        <f>S420</f>
        <v/>
      </c>
      <c r="T419">
        <f>(E419/100000+F419/100+(P419/1000)*J419/5+S419/200)*200*I419*H419</f>
        <v/>
      </c>
      <c r="U419">
        <f>((E419*F419/25000)+((P419/1000)*J419*S419/2.5))*I419*H419</f>
        <v/>
      </c>
      <c r="V419">
        <f>(E419*F419*(P419/1000)*J419*S419*I419*H419)/12500000</f>
        <v/>
      </c>
      <c r="W419">
        <f>(T419+U419+V419)/3</f>
        <v/>
      </c>
      <c r="X419" s="6" t="n">
        <v>2000</v>
      </c>
      <c r="Y419">
        <f>IFERROR(W419-X419,"")</f>
        <v/>
      </c>
      <c r="Z419">
        <f>IFERROR(ABS(Y419)/MAX(X419,1),"")</f>
        <v/>
      </c>
      <c r="AA419">
        <f>IFERROR((X419-(((E419/100000+F419/100+S419/200)*200*I419*H419)+((E419*F419/25000)*I419*H419))/3)/(((J419/5)*200*I419*H419)+((J419*S419/2.5)*I419*H419)+((E419*F419*J419*S419*I419*H419)/12500000))/3*1000,"")</f>
        <v/>
      </c>
    </row>
    <row r="420">
      <c r="B420" s="7" t="inlineStr">
        <is>
          <t xml:space="preserve">  ↳ BroodweaverLeech</t>
        </is>
      </c>
      <c r="C420" s="7" t="inlineStr">
        <is>
          <t>Armament</t>
        </is>
      </c>
      <c r="L420" s="6" t="n">
        <v>-3000</v>
      </c>
      <c r="M420" s="6" t="n">
        <v>60</v>
      </c>
      <c r="N420" s="6" t="n">
        <v>10</v>
      </c>
      <c r="O420" s="6" t="n">
        <v>1</v>
      </c>
      <c r="P420" s="6" t="n">
        <v>4500</v>
      </c>
      <c r="Q420" s="6" t="n">
        <v>1</v>
      </c>
      <c r="R420">
        <f>M420+IF(N420&gt;1,N(O420)*(N420-1),0)</f>
        <v/>
      </c>
      <c r="S420">
        <f>IFERROR(L420*MAX(N420,1)/R420*IF(ISBLANK(K419),1,K419),0)</f>
        <v/>
      </c>
      <c r="AB420" s="7" t="inlineStr">
        <is>
          <t>^HealingWeapon</t>
        </is>
      </c>
    </row>
    <row r="421">
      <c r="A421" t="inlineStr">
        <is>
          <t>starcraft</t>
        </is>
      </c>
      <c r="B421" t="inlineStr">
        <is>
          <t>terran_dropship</t>
        </is>
      </c>
      <c r="C421" t="inlineStr">
        <is>
          <t>Dropship</t>
        </is>
      </c>
      <c r="D421" s="6" t="inlineStr">
        <is>
          <t>UnarmedTransportHelicopter</t>
        </is>
      </c>
      <c r="E421" s="6" t="n">
        <v>125000</v>
      </c>
      <c r="F421" s="6" t="n">
        <v>125</v>
      </c>
      <c r="G421" t="inlineStr">
        <is>
          <t>Helicopter</t>
        </is>
      </c>
      <c r="H421" s="6" t="n">
        <v>1</v>
      </c>
      <c r="I421" s="6" t="n">
        <v>1</v>
      </c>
      <c r="J421" s="6" t="n">
        <v>1</v>
      </c>
      <c r="K421" s="6" t="n"/>
      <c r="X421" s="6" t="n">
        <v>3600</v>
      </c>
    </row>
    <row r="422">
      <c r="A422" t="inlineStr">
        <is>
          <t>starcraft</t>
        </is>
      </c>
      <c r="B422" t="inlineStr">
        <is>
          <t>terran_medivac</t>
        </is>
      </c>
      <c r="C422" t="inlineStr">
        <is>
          <t>Medivac</t>
        </is>
      </c>
      <c r="D422" s="6" t="inlineStr">
        <is>
          <t>UnarmedTransportHelicopter</t>
        </is>
      </c>
      <c r="E422" s="6" t="n">
        <v>125000</v>
      </c>
      <c r="F422" s="6" t="n">
        <v>125</v>
      </c>
      <c r="G422" t="inlineStr">
        <is>
          <t>Helicopter</t>
        </is>
      </c>
      <c r="H422" s="6" t="n">
        <v>1</v>
      </c>
      <c r="I422" s="6" t="n">
        <v>1</v>
      </c>
      <c r="J422" s="6" t="n">
        <v>1</v>
      </c>
      <c r="K422" s="6" t="n"/>
      <c r="P422">
        <f>MAX(P423)</f>
        <v/>
      </c>
      <c r="S422">
        <f>S423</f>
        <v/>
      </c>
      <c r="T422">
        <f>(E422/100000+F422/100+(P422/1000)*J422/5+S422/200)*200*I422*H422</f>
        <v/>
      </c>
      <c r="U422">
        <f>((E422*F422/25000)+((P422/1000)*J422*S422/2.5))*I422*H422</f>
        <v/>
      </c>
      <c r="V422">
        <f>(E422*F422*(P422/1000)*J422*S422*I422*H422)/12500000</f>
        <v/>
      </c>
      <c r="W422">
        <f>(T422+U422+V422)/3</f>
        <v/>
      </c>
      <c r="X422" s="6" t="n">
        <v>5000</v>
      </c>
      <c r="Y422">
        <f>IFERROR(W422-X422,"")</f>
        <v/>
      </c>
      <c r="Z422">
        <f>IFERROR(ABS(Y422)/MAX(X422,1),"")</f>
        <v/>
      </c>
      <c r="AA422">
        <f>IFERROR((X422-(((E422/100000+F422/100+S422/200)*200*I422*H422)+((E422*F422/25000)*I422*H422))/3)/(((J422/5)*200*I422*H422)+((J422*S422/2.5)*I422*H422)+((E422*F422*J422*S422*I422*H422)/12500000))/3*1000,"")</f>
        <v/>
      </c>
    </row>
    <row r="423">
      <c r="B423" s="7" t="inlineStr">
        <is>
          <t xml:space="preserve">  ↳ MedicHeal</t>
        </is>
      </c>
      <c r="C423" s="7" t="inlineStr">
        <is>
          <t>Armament</t>
        </is>
      </c>
      <c r="L423" s="6" t="n">
        <v>-3000</v>
      </c>
      <c r="M423" s="6" t="n">
        <v>10</v>
      </c>
      <c r="N423" s="6" t="n">
        <v>1</v>
      </c>
      <c r="O423" s="6" t="n"/>
      <c r="P423" s="6" t="n">
        <v>6000</v>
      </c>
      <c r="Q423" s="6" t="n">
        <v>1</v>
      </c>
      <c r="R423">
        <f>M423+IF(N423&gt;1,N(O423)*(N423-1),0)</f>
        <v/>
      </c>
      <c r="S423">
        <f>IFERROR(L423*MAX(N423,1)/R423*IF(ISBLANK(K422),1,K422),0)</f>
        <v/>
      </c>
      <c r="AB423" s="7" t="inlineStr">
        <is>
          <t>^HealingWeapon</t>
        </is>
      </c>
    </row>
    <row r="424">
      <c r="A424" s="4" t="inlineStr">
        <is>
          <t>Spaceship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</row>
    <row r="425">
      <c r="A425" t="inlineStr">
        <is>
          <t>tiberiansun</t>
        </is>
      </c>
      <c r="B425" t="inlineStr">
        <is>
          <t>cabal_hunterdronecarrier</t>
        </is>
      </c>
      <c r="C425" t="inlineStr">
        <is>
          <t>Hunter Drone Carrier</t>
        </is>
      </c>
      <c r="D425" s="6" t="inlineStr">
        <is>
          <t>Spaceship</t>
        </is>
      </c>
      <c r="E425" s="6" t="n">
        <v>300000</v>
      </c>
      <c r="F425" s="6" t="n">
        <v>50</v>
      </c>
      <c r="G425" t="inlineStr">
        <is>
          <t>Spaceship</t>
        </is>
      </c>
      <c r="H425" s="6" t="n">
        <v>1</v>
      </c>
      <c r="I425" s="6" t="n">
        <v>1</v>
      </c>
      <c r="J425" s="6" t="n">
        <v>1</v>
      </c>
      <c r="K425" s="6" t="n"/>
      <c r="P425">
        <f>MAX(P427,P428)</f>
        <v/>
      </c>
      <c r="S425">
        <f>S427+S428</f>
        <v/>
      </c>
      <c r="T425">
        <f>(E425/100000+F425/100+(P425/1000)*J425/5+S425/200)*200*I425*H425</f>
        <v/>
      </c>
      <c r="U425">
        <f>((E425*F425/25000)+((P425/1000)*J425*S425/2.5))*I425*H425</f>
        <v/>
      </c>
      <c r="V425">
        <f>(E425*F425*(P425/1000)*J425*S425*I425*H425)/12500000</f>
        <v/>
      </c>
      <c r="W425">
        <f>(T425+U425+V425)/3</f>
        <v/>
      </c>
      <c r="X425" s="6" t="n">
        <v>4000</v>
      </c>
      <c r="Y425">
        <f>IFERROR(W425-X425,"")</f>
        <v/>
      </c>
      <c r="Z425">
        <f>IFERROR(ABS(Y425)/MAX(X425,1),"")</f>
        <v/>
      </c>
      <c r="AA425">
        <f>IFERROR((X425-(((E425/100000+F425/100+S425/200)*200*I425*H425)+((E425*F425/25000)*I425*H425))/3)/(((J425/5)*200*I425*H425)+((J425*S425/2.5)*I425*H425)+((E425*F425*J425*S425*I425*H425)/12500000))/3*1000,"")</f>
        <v/>
      </c>
    </row>
    <row r="426">
      <c r="B426" s="7" t="inlineStr">
        <is>
          <t xml:space="preserve">  ↳ CabalOverkillDroneLauncher</t>
        </is>
      </c>
      <c r="C426" s="7" t="inlineStr">
        <is>
          <t>Armament@drones</t>
        </is>
      </c>
      <c r="L426" s="6" t="n"/>
      <c r="M426" s="6" t="n">
        <v>25</v>
      </c>
      <c r="N426" s="6" t="n">
        <v>1</v>
      </c>
      <c r="O426" s="6" t="n"/>
      <c r="P426" s="6" t="n">
        <v>6400</v>
      </c>
      <c r="Q426" s="6" t="n">
        <v>1</v>
      </c>
      <c r="R426">
        <f>M426+IF(N426&gt;1,N(O426)*(N426-1),0)</f>
        <v/>
      </c>
      <c r="S426">
        <f>IFERROR(L426*MAX(N426,1)/R426*IF(ISBLANK(K425),1,K425),0)</f>
        <v/>
      </c>
      <c r="AB426" s="7" t="inlineStr"/>
    </row>
    <row r="427">
      <c r="B427" s="7" t="inlineStr">
        <is>
          <t xml:space="preserve">  ↳ CabalOverkillCharge</t>
        </is>
      </c>
      <c r="C427" s="7" t="inlineStr">
        <is>
          <t>Armament@charge</t>
        </is>
      </c>
      <c r="L427" s="6" t="n">
        <v>24000</v>
      </c>
      <c r="M427" s="6" t="n">
        <v>125</v>
      </c>
      <c r="N427" s="6" t="n">
        <v>1</v>
      </c>
      <c r="O427" s="6" t="n"/>
      <c r="P427" s="6" t="n">
        <v>6400</v>
      </c>
      <c r="Q427" s="6" t="n">
        <v>1.25</v>
      </c>
      <c r="R427">
        <f>M427+IF(N427&gt;1,N(O427)*(N427-1),0)</f>
        <v/>
      </c>
      <c r="S427">
        <f>IFERROR(L427*MAX(N427,1)/R427*IF(ISBLANK(K425),1,K425),0)</f>
        <v/>
      </c>
      <c r="AB427" s="7" t="inlineStr">
        <is>
          <t>^Warhead_Tesla_Heavy</t>
        </is>
      </c>
    </row>
    <row r="428">
      <c r="B428" s="7" t="inlineStr">
        <is>
          <t xml:space="preserve">  ↳ CabalOverkillLaser</t>
        </is>
      </c>
      <c r="C428" s="7" t="inlineStr">
        <is>
          <t>Armament</t>
        </is>
      </c>
      <c r="L428" s="6" t="n">
        <v>2000</v>
      </c>
      <c r="M428" s="6" t="n">
        <v>50</v>
      </c>
      <c r="N428" s="6" t="n">
        <v>50</v>
      </c>
      <c r="O428" s="6" t="n">
        <v>1</v>
      </c>
      <c r="P428" s="6" t="n">
        <v>6400</v>
      </c>
      <c r="Q428" s="6" t="n">
        <v>1.25</v>
      </c>
      <c r="R428">
        <f>M428+IF(N428&gt;1,N(O428)*(N428-1),0)</f>
        <v/>
      </c>
      <c r="S428">
        <f>IFERROR(L428*MAX(N428,1)/R428*IF(ISBLANK(K425),1,K425),0)</f>
        <v/>
      </c>
      <c r="AB428" s="7" t="inlineStr">
        <is>
          <t>^Warhead_Laser_Heavy</t>
        </is>
      </c>
    </row>
    <row r="429">
      <c r="A429" t="inlineStr">
        <is>
          <t>tiberiansun</t>
        </is>
      </c>
      <c r="B429" t="inlineStr">
        <is>
          <t>cabal_mothership</t>
        </is>
      </c>
      <c r="C429" t="inlineStr">
        <is>
          <t>Mothership</t>
        </is>
      </c>
      <c r="D429" s="6" t="inlineStr">
        <is>
          <t>Spaceship</t>
        </is>
      </c>
      <c r="E429" s="6" t="n">
        <v>500000</v>
      </c>
      <c r="F429" s="6" t="n">
        <v>50</v>
      </c>
      <c r="G429" t="inlineStr">
        <is>
          <t>Spaceship</t>
        </is>
      </c>
      <c r="H429" s="6" t="n">
        <v>1</v>
      </c>
      <c r="I429" s="6" t="n">
        <v>0.3</v>
      </c>
      <c r="J429" s="6" t="n">
        <v>1</v>
      </c>
      <c r="K429" s="6" t="n"/>
      <c r="P429">
        <f>MAX(P430,P431)</f>
        <v/>
      </c>
      <c r="S429">
        <f>S430+S431</f>
        <v/>
      </c>
      <c r="T429">
        <f>(E429/100000+F429/100+(P429/1000)*J429/5+S429/200)*200*I429*H429</f>
        <v/>
      </c>
      <c r="U429">
        <f>((E429*F429/25000)+((P429/1000)*J429*S429/2.5))*I429*H429</f>
        <v/>
      </c>
      <c r="V429">
        <f>(E429*F429*(P429/1000)*J429*S429*I429*H429)/12500000</f>
        <v/>
      </c>
      <c r="W429">
        <f>(T429+U429+V429)/3</f>
        <v/>
      </c>
      <c r="X429" s="6" t="n">
        <v>10000</v>
      </c>
      <c r="Y429">
        <f>IFERROR(W429-X429,"")</f>
        <v/>
      </c>
      <c r="Z429">
        <f>IFERROR(ABS(Y429)/MAX(X429,1),"")</f>
        <v/>
      </c>
      <c r="AA429">
        <f>IFERROR((X429-(((E429/100000+F429/100+S429/200)*200*I429*H429)+((E429*F429/25000)*I429*H429))/3)/(((J429/5)*200*I429*H429)+((J429*S429/2.5)*I429*H429)+((E429*F429*J429*S429*I429*H429)/12500000))/3*1000,"")</f>
        <v/>
      </c>
    </row>
    <row r="430">
      <c r="B430" s="7" t="inlineStr">
        <is>
          <t xml:space="preserve">  ↳ CabalHunterKillerHeavyLaser</t>
        </is>
      </c>
      <c r="C430" s="7" t="inlineStr">
        <is>
          <t>Armament@PRIMARY</t>
        </is>
      </c>
      <c r="L430" s="6" t="n">
        <v>20000</v>
      </c>
      <c r="M430" s="6" t="n">
        <v>26</v>
      </c>
      <c r="N430" s="6" t="n">
        <v>1</v>
      </c>
      <c r="O430" s="6" t="n"/>
      <c r="P430" s="6" t="n">
        <v>6170</v>
      </c>
      <c r="Q430" s="6" t="n">
        <v>1.25</v>
      </c>
      <c r="R430">
        <f>M430+IF(N430&gt;1,N(O430)*(N430-1),0)</f>
        <v/>
      </c>
      <c r="S430">
        <f>IFERROR(L430*MAX(N430,1)/R430*IF(ISBLANK(K429),1,K429),0)</f>
        <v/>
      </c>
      <c r="AB430" s="7" t="inlineStr">
        <is>
          <t>^Warhead_Laser_Heavy</t>
        </is>
      </c>
    </row>
    <row r="431">
      <c r="B431" s="7" t="inlineStr">
        <is>
          <t xml:space="preserve">  ↳ CabalMothershipRockets</t>
        </is>
      </c>
      <c r="C431" s="7" t="inlineStr">
        <is>
          <t>Armament@ROCKETS</t>
        </is>
      </c>
      <c r="L431" s="6" t="n">
        <v>60000</v>
      </c>
      <c r="M431" s="6" t="n">
        <v>34</v>
      </c>
      <c r="N431" s="6" t="n">
        <v>4</v>
      </c>
      <c r="O431" s="6" t="n">
        <v>2</v>
      </c>
      <c r="P431" s="6" t="n">
        <v>5846</v>
      </c>
      <c r="Q431" s="6" t="n">
        <v>1</v>
      </c>
      <c r="R431">
        <f>M431+IF(N431&gt;1,N(O431)*(N431-1),0)</f>
        <v/>
      </c>
      <c r="S431">
        <f>IFERROR(L431*MAX(N431,1)/R431*IF(ISBLANK(K429),1,K429),0)</f>
        <v/>
      </c>
      <c r="AB431" s="7" t="inlineStr">
        <is>
          <t>^TeslaWeapon, ^HeavyMissile, ^MediumFlameWeapon, ^MediumChemicalWeapon, ^Grenade, ^ArrowWeapon</t>
        </is>
      </c>
    </row>
    <row r="432">
      <c r="A432" t="inlineStr">
        <is>
          <t>tiberiansun</t>
        </is>
      </c>
      <c r="B432" t="inlineStr">
        <is>
          <t>ts_gdi_kodiakcommandship</t>
        </is>
      </c>
      <c r="C432" t="inlineStr">
        <is>
          <t>Kodiak Command Ship</t>
        </is>
      </c>
      <c r="D432" s="6" t="inlineStr">
        <is>
          <t>Spaceship</t>
        </is>
      </c>
      <c r="E432" s="6" t="n">
        <v>900000</v>
      </c>
      <c r="F432" s="6" t="n">
        <v>30</v>
      </c>
      <c r="G432" t="inlineStr">
        <is>
          <t>Spaceship</t>
        </is>
      </c>
      <c r="H432" s="6" t="n">
        <v>0.3793</v>
      </c>
      <c r="I432" s="6" t="n">
        <v>1</v>
      </c>
      <c r="J432" s="6" t="n">
        <v>1</v>
      </c>
      <c r="K432" s="6" t="n"/>
      <c r="P432">
        <f>MAX(P433,P434,P435)</f>
        <v/>
      </c>
      <c r="S432">
        <f>S433+S434+S435</f>
        <v/>
      </c>
      <c r="T432">
        <f>(E432/100000+F432/100+(P432/1000)*J432/5+S432/200)*200*I432*H432</f>
        <v/>
      </c>
      <c r="U432">
        <f>((E432*F432/25000)+((P432/1000)*J432*S432/2.5))*I432*H432</f>
        <v/>
      </c>
      <c r="V432">
        <f>(E432*F432*(P432/1000)*J432*S432*I432*H432)/12500000</f>
        <v/>
      </c>
      <c r="W432">
        <f>(T432+U432+V432)/3</f>
        <v/>
      </c>
      <c r="X432" s="6" t="n">
        <v>10000</v>
      </c>
      <c r="Y432">
        <f>IFERROR(W432-X432,"")</f>
        <v/>
      </c>
      <c r="Z432">
        <f>IFERROR(ABS(Y432)/MAX(X432,1),"")</f>
        <v/>
      </c>
      <c r="AA432">
        <f>IFERROR((X432-(((E432/100000+F432/100+S432/200)*200*I432*H432)+((E432*F432/25000)*I432*H432))/3)/(((J432/5)*200*I432*H432)+((J432*S432/2.5)*I432*H432)+((E432*F432*J432*S432*I432*H432)/12500000))/3*1000,"")</f>
        <v/>
      </c>
    </row>
    <row r="433">
      <c r="B433" s="7" t="inlineStr">
        <is>
          <t xml:space="preserve">  ↳ KodiakCannon</t>
        </is>
      </c>
      <c r="C433" s="7" t="inlineStr">
        <is>
          <t>Armament@PRIMARY</t>
        </is>
      </c>
      <c r="L433" s="6" t="n">
        <v>40000</v>
      </c>
      <c r="M433" s="6" t="n">
        <v>92</v>
      </c>
      <c r="N433" s="6" t="n">
        <v>3</v>
      </c>
      <c r="O433" s="6" t="n">
        <v>4</v>
      </c>
      <c r="P433" s="6" t="n">
        <v>9165</v>
      </c>
      <c r="Q433" s="6" t="n">
        <v>1.25</v>
      </c>
      <c r="R433">
        <f>M433+IF(N433&gt;1,N(O433)*(N433-1),0)</f>
        <v/>
      </c>
      <c r="S433">
        <f>IFERROR(L433*MAX(N433,1)/R433*IF(ISBLANK(K432),1,K432),0)</f>
        <v/>
      </c>
      <c r="AB433" s="7" t="inlineStr">
        <is>
          <t>^Warhead_CannonHE_Heavy</t>
        </is>
      </c>
    </row>
    <row r="434">
      <c r="B434" s="7" t="inlineStr">
        <is>
          <t xml:space="preserve">  ↳ KodiakCannonSonic</t>
        </is>
      </c>
      <c r="C434" s="7" t="inlineStr">
        <is>
          <t>Armament@Upgrade</t>
        </is>
      </c>
      <c r="L434" s="6" t="n">
        <v>16000</v>
      </c>
      <c r="M434" s="6" t="n">
        <v>86</v>
      </c>
      <c r="N434" s="6" t="n">
        <v>3</v>
      </c>
      <c r="O434" s="6" t="n">
        <v>4</v>
      </c>
      <c r="P434" s="6" t="n">
        <v>9165</v>
      </c>
      <c r="Q434" s="6" t="n">
        <v>1.25</v>
      </c>
      <c r="R434">
        <f>M434+IF(N434&gt;1,N(O434)*(N434-1),0)</f>
        <v/>
      </c>
      <c r="S434">
        <f>IFERROR(L434*MAX(N434,1)/R434*IF(ISBLANK(K432),1,K432),0)</f>
        <v/>
      </c>
      <c r="AB434" s="7" t="inlineStr">
        <is>
          <t>^Warhead_CannonHE_Heavy, ^Warhead_Sonic_Heavy</t>
        </is>
      </c>
    </row>
    <row r="435">
      <c r="B435" s="7" t="inlineStr">
        <is>
          <t xml:space="preserve">  ↳ KodiakAAGuns</t>
        </is>
      </c>
      <c r="C435" s="7" t="inlineStr">
        <is>
          <t>Armament@SECONDARY</t>
        </is>
      </c>
      <c r="L435" s="6" t="n">
        <v>6000</v>
      </c>
      <c r="M435" s="6" t="n">
        <v>4</v>
      </c>
      <c r="N435" s="6" t="n">
        <v>1</v>
      </c>
      <c r="O435" s="6" t="n"/>
      <c r="P435" s="6" t="n">
        <v>8450</v>
      </c>
      <c r="Q435" s="6" t="n">
        <v>1</v>
      </c>
      <c r="R435">
        <f>M435+IF(N435&gt;1,N(O435)*(N435-1),0)</f>
        <v/>
      </c>
      <c r="S435">
        <f>IFERROR(L435*MAX(N435,1)/R435*IF(ISBLANK(K432),1,K432),0)</f>
        <v/>
      </c>
      <c r="AB435" s="7" t="inlineStr">
        <is>
          <t>^Warhead_Flak_Medium</t>
        </is>
      </c>
    </row>
    <row r="436">
      <c r="A436" t="inlineStr">
        <is>
          <t>redalert2</t>
        </is>
      </c>
      <c r="B436" t="inlineStr">
        <is>
          <t>ra2_soviets_kirovairship</t>
        </is>
      </c>
      <c r="C436" t="inlineStr">
        <is>
          <t>Kirov Airship</t>
        </is>
      </c>
      <c r="D436" s="6" t="inlineStr">
        <is>
          <t>Spaceship</t>
        </is>
      </c>
      <c r="E436" s="6" t="n">
        <v>800000</v>
      </c>
      <c r="F436" s="6" t="n">
        <v>30</v>
      </c>
      <c r="G436" t="inlineStr">
        <is>
          <t>Spaceship</t>
        </is>
      </c>
      <c r="H436" s="6" t="n">
        <v>0.5205</v>
      </c>
      <c r="I436" s="6" t="n">
        <v>1</v>
      </c>
      <c r="J436" s="6" t="n">
        <v>1</v>
      </c>
      <c r="K436" s="6" t="n"/>
      <c r="P436">
        <f>MAX(P437,P438,P439,P440,P441,P442)</f>
        <v/>
      </c>
      <c r="S436">
        <f>S437+S438+S439+S440+S441+S442</f>
        <v/>
      </c>
      <c r="T436">
        <f>(E436/100000+F436/100+(P436/1000)*J436/5+S436/200)*200*I436*H436</f>
        <v/>
      </c>
      <c r="U436">
        <f>((E436*F436/25000)+((P436/1000)*J436*S436/2.5))*I436*H436</f>
        <v/>
      </c>
      <c r="V436">
        <f>(E436*F436*(P436/1000)*J436*S436*I436*H436)/12500000</f>
        <v/>
      </c>
      <c r="W436">
        <f>(T436+U436+V436)/3</f>
        <v/>
      </c>
      <c r="X436" s="6" t="n">
        <v>4000</v>
      </c>
      <c r="Y436">
        <f>IFERROR(W436-X436,"")</f>
        <v/>
      </c>
      <c r="Z436">
        <f>IFERROR(ABS(Y436)/MAX(X436,1),"")</f>
        <v/>
      </c>
      <c r="AA436">
        <f>IFERROR((X436-(((E436/100000+F436/100+S436/200)*200*I436*H436)+((E436*F436/25000)*I436*H436))/3)/(((J436/5)*200*I436*H436)+((J436*S436/2.5)*I436*H436)+((E436*F436*J436*S436*I436*H436)/12500000))/3*1000,"")</f>
        <v/>
      </c>
    </row>
    <row r="437">
      <c r="B437" s="7" t="inlineStr">
        <is>
          <t xml:space="preserve">  ↳ RA2KirovBomb</t>
        </is>
      </c>
      <c r="C437" s="7" t="inlineStr">
        <is>
          <t>Armament@PRIMARY</t>
        </is>
      </c>
      <c r="L437" s="6" t="n">
        <v>80000</v>
      </c>
      <c r="M437" s="6" t="n">
        <v>50</v>
      </c>
      <c r="N437" s="6" t="n">
        <v>1</v>
      </c>
      <c r="O437" s="6" t="n"/>
      <c r="P437" s="6" t="n">
        <v>2500</v>
      </c>
      <c r="Q437" s="6" t="n">
        <v>1.25</v>
      </c>
      <c r="R437">
        <f>M437+IF(N437&gt;1,N(O437)*(N437-1),0)</f>
        <v/>
      </c>
      <c r="S437">
        <f>IFERROR(L437*MAX(N437,1)/R437*IF(ISBLANK(K436),1,K436),0)</f>
        <v/>
      </c>
      <c r="AB437" s="7" t="inlineStr">
        <is>
          <t>^Warhead_Demolition_Heavy</t>
        </is>
      </c>
    </row>
    <row r="438">
      <c r="B438" s="7" t="inlineStr">
        <is>
          <t xml:space="preserve">  ↳ RA2KirovBomb_rad</t>
        </is>
      </c>
      <c r="C438" s="7" t="inlineStr">
        <is>
          <t>Armament@PRIMARYRad</t>
        </is>
      </c>
      <c r="L438" s="6" t="n">
        <v>96000</v>
      </c>
      <c r="M438" s="6" t="n">
        <v>50</v>
      </c>
      <c r="N438" s="6" t="n">
        <v>1</v>
      </c>
      <c r="O438" s="6" t="n"/>
      <c r="P438" s="6" t="n">
        <v>2500</v>
      </c>
      <c r="Q438" s="6" t="n">
        <v>1.25</v>
      </c>
      <c r="R438">
        <f>M438+IF(N438&gt;1,N(O438)*(N438-1),0)</f>
        <v/>
      </c>
      <c r="S438">
        <f>IFERROR(L438*MAX(N438,1)/R438*IF(ISBLANK(K436),1,K436),0)</f>
        <v/>
      </c>
      <c r="AB438" s="7" t="inlineStr">
        <is>
          <t>^Warhead_Chemical_Heavy, ^Warhead_Demolition_Heavy</t>
        </is>
      </c>
    </row>
    <row r="439">
      <c r="B439" s="7" t="inlineStr">
        <is>
          <t xml:space="preserve">  ↳ RA2KirovBomb_fire</t>
        </is>
      </c>
      <c r="C439" s="7" t="inlineStr">
        <is>
          <t>Armament@PRIMARYFire</t>
        </is>
      </c>
      <c r="L439" s="6" t="n">
        <v>80000</v>
      </c>
      <c r="M439" s="6" t="n">
        <v>50</v>
      </c>
      <c r="N439" s="6" t="n">
        <v>1</v>
      </c>
      <c r="O439" s="6" t="n"/>
      <c r="P439" s="6" t="n">
        <v>2500</v>
      </c>
      <c r="Q439" s="6" t="n">
        <v>1.25</v>
      </c>
      <c r="R439">
        <f>M439+IF(N439&gt;1,N(O439)*(N439-1),0)</f>
        <v/>
      </c>
      <c r="S439">
        <f>IFERROR(L439*MAX(N439,1)/R439*IF(ISBLANK(K436),1,K436),0)</f>
        <v/>
      </c>
      <c r="AB439" s="7" t="inlineStr">
        <is>
          <t>^Warhead_Demolition_Heavy</t>
        </is>
      </c>
    </row>
    <row r="440">
      <c r="B440" s="7" t="inlineStr">
        <is>
          <t xml:space="preserve">  ↳ RA2KirovBomb_tesla</t>
        </is>
      </c>
      <c r="C440" s="7" t="inlineStr">
        <is>
          <t>Armament@PRIMARYTesla</t>
        </is>
      </c>
      <c r="L440" s="6" t="n">
        <v>160000</v>
      </c>
      <c r="M440" s="6" t="n">
        <v>50</v>
      </c>
      <c r="N440" s="6" t="n">
        <v>1</v>
      </c>
      <c r="O440" s="6" t="n"/>
      <c r="P440" s="6" t="n">
        <v>2500</v>
      </c>
      <c r="Q440" s="6" t="n">
        <v>1.25</v>
      </c>
      <c r="R440">
        <f>M440+IF(N440&gt;1,N(O440)*(N440-1),0)</f>
        <v/>
      </c>
      <c r="S440">
        <f>IFERROR(L440*MAX(N440,1)/R440*IF(ISBLANK(K436),1,K436),0)</f>
        <v/>
      </c>
      <c r="AB440" s="7" t="inlineStr">
        <is>
          <t>^Warhead_Tesla_Super, ^Warhead_Demolition_Heavy</t>
        </is>
      </c>
    </row>
    <row r="441">
      <c r="B441" s="7" t="inlineStr">
        <is>
          <t xml:space="preserve">  ↳ RA2KirovBomb_nuclear</t>
        </is>
      </c>
      <c r="C441" s="7" t="inlineStr">
        <is>
          <t>Armament@PRIMARYNuclear</t>
        </is>
      </c>
      <c r="L441" s="6" t="n">
        <v>160000</v>
      </c>
      <c r="M441" s="6" t="n">
        <v>50</v>
      </c>
      <c r="N441" s="6" t="n">
        <v>1</v>
      </c>
      <c r="O441" s="6" t="n"/>
      <c r="P441" s="6" t="n">
        <v>2500</v>
      </c>
      <c r="Q441" s="6" t="n">
        <v>1.375</v>
      </c>
      <c r="R441">
        <f>M441+IF(N441&gt;1,N(O441)*(N441-1),0)</f>
        <v/>
      </c>
      <c r="S441">
        <f>IFERROR(L441*MAX(N441,1)/R441*IF(ISBLANK(K436),1,K436),0)</f>
        <v/>
      </c>
      <c r="AB441" s="7" t="inlineStr">
        <is>
          <t>^Warhead_Nuclear_Super, ^Warhead_Demolition_Heavy</t>
        </is>
      </c>
    </row>
    <row r="442">
      <c r="B442" s="7" t="inlineStr">
        <is>
          <t xml:space="preserve">  ↳ RA2KirovBomb_nuclear_elite</t>
        </is>
      </c>
      <c r="C442" s="7" t="inlineStr">
        <is>
          <t>Armament@PRIMARYNuclearELITE</t>
        </is>
      </c>
      <c r="L442" s="6" t="n">
        <v>200000</v>
      </c>
      <c r="M442" s="6" t="n">
        <v>50</v>
      </c>
      <c r="N442" s="6" t="n">
        <v>1</v>
      </c>
      <c r="O442" s="6" t="n"/>
      <c r="P442" s="6" t="n">
        <v>2500</v>
      </c>
      <c r="Q442" s="6" t="n">
        <v>1.375</v>
      </c>
      <c r="R442">
        <f>M442+IF(N442&gt;1,N(O442)*(N442-1),0)</f>
        <v/>
      </c>
      <c r="S442">
        <f>IFERROR(L442*MAX(N442,1)/R442*IF(ISBLANK(K436),1,K436),0)</f>
        <v/>
      </c>
      <c r="AB442" s="7" t="inlineStr">
        <is>
          <t>^Warhead_Nuclear_Super, ^Warhead_Demolition_Heavy</t>
        </is>
      </c>
    </row>
    <row r="443">
      <c r="A443" t="inlineStr">
        <is>
          <t>redalert2</t>
        </is>
      </c>
      <c r="B443" t="inlineStr">
        <is>
          <t>yuri_floatingdisk</t>
        </is>
      </c>
      <c r="C443" t="inlineStr">
        <is>
          <t>Floating Disk</t>
        </is>
      </c>
      <c r="D443" s="6" t="inlineStr">
        <is>
          <t>Spaceship</t>
        </is>
      </c>
      <c r="E443" s="6" t="n">
        <v>125000</v>
      </c>
      <c r="F443" s="6" t="n">
        <v>80</v>
      </c>
      <c r="G443" t="inlineStr">
        <is>
          <t>Spaceship</t>
        </is>
      </c>
      <c r="H443" s="6" t="n">
        <v>0.5046</v>
      </c>
      <c r="I443" s="6" t="n">
        <v>1</v>
      </c>
      <c r="J443" s="6" t="n">
        <v>1</v>
      </c>
      <c r="K443" s="6" t="n"/>
      <c r="P443">
        <f>MAX(P444,P445,P446)</f>
        <v/>
      </c>
      <c r="S443">
        <f>S444+S445+S446</f>
        <v/>
      </c>
      <c r="T443">
        <f>(E443/100000+F443/100+(P443/1000)*J443/5+S443/200)*200*I443*H443</f>
        <v/>
      </c>
      <c r="U443">
        <f>((E443*F443/25000)+((P443/1000)*J443*S443/2.5))*I443*H443</f>
        <v/>
      </c>
      <c r="V443">
        <f>(E443*F443*(P443/1000)*J443*S443*I443*H443)/12500000</f>
        <v/>
      </c>
      <c r="W443">
        <f>(T443+U443+V443)/3</f>
        <v/>
      </c>
      <c r="X443" s="6" t="n">
        <v>2400</v>
      </c>
      <c r="Y443">
        <f>IFERROR(W443-X443,"")</f>
        <v/>
      </c>
      <c r="Z443">
        <f>IFERROR(ABS(Y443)/MAX(X443,1),"")</f>
        <v/>
      </c>
      <c r="AA443">
        <f>IFERROR((X443-(((E443/100000+F443/100+S443/200)*200*I443*H443)+((E443*F443/25000)*I443*H443))/3)/(((J443/5)*200*I443*H443)+((J443*S443/2.5)*I443*H443)+((E443*F443*J443*S443*I443*H443)/12500000))/3*1000,"")</f>
        <v/>
      </c>
    </row>
    <row r="444">
      <c r="B444" s="7" t="inlineStr">
        <is>
          <t xml:space="preserve">  ↳ RA2DiskLaser</t>
        </is>
      </c>
      <c r="C444" s="7" t="inlineStr">
        <is>
          <t>Armament@PRIMARY</t>
        </is>
      </c>
      <c r="L444" s="6" t="n">
        <v>24000</v>
      </c>
      <c r="M444" s="6" t="n">
        <v>40</v>
      </c>
      <c r="N444" s="6" t="n">
        <v>1</v>
      </c>
      <c r="O444" s="6" t="n"/>
      <c r="P444" s="6" t="n">
        <v>6840</v>
      </c>
      <c r="Q444" s="6" t="n">
        <v>1.25</v>
      </c>
      <c r="R444">
        <f>M444+IF(N444&gt;1,N(O444)*(N444-1),0)</f>
        <v/>
      </c>
      <c r="S444">
        <f>IFERROR(L444*MAX(N444,1)/R444*IF(ISBLANK(K443),1,K443),0)</f>
        <v/>
      </c>
      <c r="AB444" s="7" t="inlineStr">
        <is>
          <t>^Warhead_Laser_Heavy</t>
        </is>
      </c>
    </row>
    <row r="445">
      <c r="B445" s="7" t="inlineStr">
        <is>
          <t xml:space="preserve">  ↳ RA2DiskLaser_elite</t>
        </is>
      </c>
      <c r="C445" s="7" t="inlineStr">
        <is>
          <t>Armament@ELITE</t>
        </is>
      </c>
      <c r="L445" s="6" t="n">
        <v>48000</v>
      </c>
      <c r="M445" s="6" t="n">
        <v>40</v>
      </c>
      <c r="N445" s="6" t="n">
        <v>1</v>
      </c>
      <c r="O445" s="6" t="n"/>
      <c r="P445" s="6" t="n">
        <v>7840</v>
      </c>
      <c r="Q445" s="6" t="n">
        <v>1.25</v>
      </c>
      <c r="R445">
        <f>M445+IF(N445&gt;1,N(O445)*(N445-1),0)</f>
        <v/>
      </c>
      <c r="S445">
        <f>IFERROR(L445*MAX(N445,1)/R445*IF(ISBLANK(K443),1,K443),0)</f>
        <v/>
      </c>
      <c r="AB445" s="7" t="inlineStr">
        <is>
          <t>^Warhead_Laser_Heavy</t>
        </is>
      </c>
    </row>
    <row r="446">
      <c r="B446" s="7" t="inlineStr">
        <is>
          <t xml:space="preserve">  ↳ RA2DiskDrain</t>
        </is>
      </c>
      <c r="C446" s="7" t="inlineStr">
        <is>
          <t>Armament@SECOND</t>
        </is>
      </c>
      <c r="L446" s="6" t="n">
        <v>4000</v>
      </c>
      <c r="M446" s="6" t="n">
        <v>5</v>
      </c>
      <c r="N446" s="6" t="n">
        <v>1</v>
      </c>
      <c r="O446" s="6" t="n"/>
      <c r="P446" s="6" t="n">
        <v>125</v>
      </c>
      <c r="Q446" s="6" t="n">
        <v>1.25</v>
      </c>
      <c r="R446">
        <f>M446+IF(N446&gt;1,N(O446)*(N446-1),0)</f>
        <v/>
      </c>
      <c r="S446">
        <f>IFERROR(L446*MAX(N446,1)/R446*IF(ISBLANK(K443),1,K443),0)</f>
        <v/>
      </c>
      <c r="AB446" s="7" t="inlineStr">
        <is>
          <t>^Warhead_Tesla_Heavy, ^Warhead_Magic_Heavy</t>
        </is>
      </c>
    </row>
    <row r="447">
      <c r="B447" s="7" t="inlineStr">
        <is>
          <t xml:space="preserve">  ↳ RA2DiskSteal</t>
        </is>
      </c>
      <c r="C447" s="7" t="inlineStr">
        <is>
          <t>Armament@Steal</t>
        </is>
      </c>
      <c r="L447" s="6" t="n"/>
      <c r="M447" s="6" t="n">
        <v>5</v>
      </c>
      <c r="N447" s="6" t="n">
        <v>1</v>
      </c>
      <c r="O447" s="6" t="n"/>
      <c r="P447" s="6" t="n">
        <v>125</v>
      </c>
      <c r="Q447" s="6" t="n">
        <v>1</v>
      </c>
      <c r="R447">
        <f>M447+IF(N447&gt;1,N(O447)*(N447-1),0)</f>
        <v/>
      </c>
      <c r="S447">
        <f>IFERROR(L447*MAX(N447,1)/R447*IF(ISBLANK(K443),1,K443),0)</f>
        <v/>
      </c>
      <c r="AB447" s="7" t="inlineStr"/>
    </row>
    <row r="448">
      <c r="A448" t="inlineStr">
        <is>
          <t>redalert2mod</t>
        </is>
      </c>
      <c r="B448" t="inlineStr">
        <is>
          <t>steelconsortium_cloudbreaker</t>
        </is>
      </c>
      <c r="C448" t="inlineStr">
        <is>
          <t>Cloud Breaker</t>
        </is>
      </c>
      <c r="D448" s="6" t="inlineStr">
        <is>
          <t>Spaceship</t>
        </is>
      </c>
      <c r="E448" s="6" t="n">
        <v>250000</v>
      </c>
      <c r="F448" s="6" t="n">
        <v>50</v>
      </c>
      <c r="G448" t="inlineStr">
        <is>
          <t>Spaceship</t>
        </is>
      </c>
      <c r="H448" s="6" t="n">
        <v>0.75</v>
      </c>
      <c r="I448" s="6" t="n">
        <v>1</v>
      </c>
      <c r="J448" s="6" t="n">
        <v>1.25</v>
      </c>
      <c r="K448" s="6" t="n">
        <v>0.005</v>
      </c>
      <c r="P448">
        <f>MAX(P449,P450,P451,P452)</f>
        <v/>
      </c>
      <c r="S448">
        <f>S449+S450+S451+S452</f>
        <v/>
      </c>
      <c r="T448">
        <f>(E448/100000+F448/100+(P448/1000)*J448/5+S448/200)*200*I448*H448</f>
        <v/>
      </c>
      <c r="U448">
        <f>((E448*F448/25000)+((P448/1000)*J448*S448/2.5))*I448*H448</f>
        <v/>
      </c>
      <c r="V448">
        <f>(E448*F448*(P448/1000)*J448*S448*I448*H448)/12500000</f>
        <v/>
      </c>
      <c r="W448">
        <f>(T448+U448+V448)/3</f>
        <v/>
      </c>
      <c r="X448" s="6" t="n">
        <v>5000</v>
      </c>
      <c r="Y448">
        <f>IFERROR(W448-X448,"")</f>
        <v/>
      </c>
      <c r="Z448">
        <f>IFERROR(ABS(Y448)/MAX(X448,1),"")</f>
        <v/>
      </c>
      <c r="AA448">
        <f>IFERROR((X448-(((E448/100000+F448/100+S448/200)*200*I448*H448)+((E448*F448/25000)*I448*H448))/3)/(((J448/5)*200*I448*H448)+((J448*S448/2.5)*I448*H448)+((E448*F448*J448*S448*I448*H448)/12500000))/3*1000,"")</f>
        <v/>
      </c>
    </row>
    <row r="449">
      <c r="B449" s="7" t="inlineStr">
        <is>
          <t xml:space="preserve">  ↳ SteelCruiserCannons</t>
        </is>
      </c>
      <c r="C449" s="7" t="inlineStr">
        <is>
          <t>Armament@PRIMARY</t>
        </is>
      </c>
      <c r="L449" s="6" t="n">
        <v>8000</v>
      </c>
      <c r="M449" s="6" t="n">
        <v>5</v>
      </c>
      <c r="N449" s="6" t="n">
        <v>1</v>
      </c>
      <c r="O449" s="6" t="n"/>
      <c r="P449" s="6" t="n">
        <v>7000</v>
      </c>
      <c r="Q449" s="6" t="n">
        <v>1</v>
      </c>
      <c r="R449">
        <f>M449+IF(N449&gt;1,N(O449)*(N449-1),0)</f>
        <v/>
      </c>
      <c r="S449">
        <f>IFERROR(L449*MAX(N449,1)/R449*IF(ISBLANK(K448),1,K448),0)</f>
        <v/>
      </c>
      <c r="AB449" s="7" t="inlineStr">
        <is>
          <t>^Warhead_Bullet_Medium</t>
        </is>
      </c>
    </row>
    <row r="450">
      <c r="B450" s="7" t="inlineStr">
        <is>
          <t xml:space="preserve">  ↳ SteelCruiserCannons_elite</t>
        </is>
      </c>
      <c r="C450" s="7" t="inlineStr">
        <is>
          <t>Armament@PRIMARYELITE</t>
        </is>
      </c>
      <c r="L450" s="6" t="n">
        <v>8000</v>
      </c>
      <c r="M450" s="6" t="n">
        <v>5</v>
      </c>
      <c r="N450" s="6" t="n">
        <v>2</v>
      </c>
      <c r="O450" s="6" t="n">
        <v>1</v>
      </c>
      <c r="P450" s="6" t="n">
        <v>8000</v>
      </c>
      <c r="Q450" s="6" t="n">
        <v>1</v>
      </c>
      <c r="R450">
        <f>M450+IF(N450&gt;1,N(O450)*(N450-1),0)</f>
        <v/>
      </c>
      <c r="S450">
        <f>IFERROR(L450*MAX(N450,1)/R450*IF(ISBLANK(K448),1,K448),0)</f>
        <v/>
      </c>
      <c r="AB450" s="7" t="inlineStr">
        <is>
          <t>^Warhead_Bullet_Medium</t>
        </is>
      </c>
    </row>
    <row r="451">
      <c r="B451" s="7" t="inlineStr">
        <is>
          <t xml:space="preserve">  ↳ SteelCruiserArtillery</t>
        </is>
      </c>
      <c r="C451" s="7" t="inlineStr">
        <is>
          <t>Armament@CANNON</t>
        </is>
      </c>
      <c r="L451" s="6" t="n">
        <v>32000</v>
      </c>
      <c r="M451" s="6" t="n">
        <v>20</v>
      </c>
      <c r="N451" s="6" t="n">
        <v>1</v>
      </c>
      <c r="O451" s="6" t="n"/>
      <c r="P451" s="6" t="n">
        <v>7000</v>
      </c>
      <c r="Q451" s="6" t="n">
        <v>0.875</v>
      </c>
      <c r="R451">
        <f>M451+IF(N451&gt;1,N(O451)*(N451-1),0)</f>
        <v/>
      </c>
      <c r="S451">
        <f>IFERROR(L451*MAX(N451,1)/R451*IF(ISBLANK(K448),1,K448),0)</f>
        <v/>
      </c>
      <c r="AB451" s="7" t="inlineStr">
        <is>
          <t>^Warhead_CannonHE_Medium, ^Warhead_Demolition_Light</t>
        </is>
      </c>
    </row>
    <row r="452">
      <c r="B452" s="7" t="inlineStr">
        <is>
          <t xml:space="preserve">  ↳ SteelCruiserArtillery_elite</t>
        </is>
      </c>
      <c r="C452" s="7" t="inlineStr">
        <is>
          <t>Armament@CANNONELITE</t>
        </is>
      </c>
      <c r="L452" s="6" t="n">
        <v>32000</v>
      </c>
      <c r="M452" s="6" t="n">
        <v>20</v>
      </c>
      <c r="N452" s="6" t="n">
        <v>2</v>
      </c>
      <c r="O452" s="6" t="n">
        <v>3</v>
      </c>
      <c r="P452" s="6" t="n">
        <v>8000</v>
      </c>
      <c r="Q452" s="6" t="n">
        <v>0.875</v>
      </c>
      <c r="R452">
        <f>M452+IF(N452&gt;1,N(O452)*(N452-1),0)</f>
        <v/>
      </c>
      <c r="S452">
        <f>IFERROR(L452*MAX(N452,1)/R452*IF(ISBLANK(K448),1,K448),0)</f>
        <v/>
      </c>
      <c r="AB452" s="7" t="inlineStr">
        <is>
          <t>^Warhead_CannonHE_Medium, ^Warhead_Demolition_Light</t>
        </is>
      </c>
    </row>
    <row r="453">
      <c r="A453" t="inlineStr">
        <is>
          <t>redalert2mod</t>
        </is>
      </c>
      <c r="B453" t="inlineStr">
        <is>
          <t>steelconsortium_empressstation</t>
        </is>
      </c>
      <c r="C453" t="inlineStr">
        <is>
          <t>Empress Station</t>
        </is>
      </c>
      <c r="D453" s="6" t="inlineStr">
        <is>
          <t>Spaceship</t>
        </is>
      </c>
      <c r="E453" s="6" t="n">
        <v>1500000</v>
      </c>
      <c r="F453" s="6" t="n">
        <v>25</v>
      </c>
      <c r="G453" t="inlineStr">
        <is>
          <t>Spaceship</t>
        </is>
      </c>
      <c r="H453" s="6" t="n">
        <v>0.75</v>
      </c>
      <c r="I453" s="6" t="n">
        <v>1</v>
      </c>
      <c r="J453" s="6" t="n">
        <v>1.25</v>
      </c>
      <c r="K453" s="6" t="n">
        <v>0.001</v>
      </c>
      <c r="P453">
        <f>MAX(P454)</f>
        <v/>
      </c>
      <c r="S453">
        <f>S454</f>
        <v/>
      </c>
      <c r="T453">
        <f>(E453/100000+F453/100+(P453/1000)*J453/5+S453/200)*200*I453*H453</f>
        <v/>
      </c>
      <c r="U453">
        <f>((E453*F453/25000)+((P453/1000)*J453*S453/2.5))*I453*H453</f>
        <v/>
      </c>
      <c r="V453">
        <f>(E453*F453*(P453/1000)*J453*S453*I453*H453)/12500000</f>
        <v/>
      </c>
      <c r="W453">
        <f>(T453+U453+V453)/3</f>
        <v/>
      </c>
      <c r="X453" s="6" t="n">
        <v>5000</v>
      </c>
      <c r="Y453">
        <f>IFERROR(W453-X453,"")</f>
        <v/>
      </c>
      <c r="Z453">
        <f>IFERROR(ABS(Y453)/MAX(X453,1),"")</f>
        <v/>
      </c>
      <c r="AA453">
        <f>IFERROR((X453-(((E453/100000+F453/100+S453/200)*200*I453*H453)+((E453*F453/25000)*I453*H453))/3)/(((J453/5)*200*I453*H453)+((J453*S453/2.5)*I453*H453)+((E453*F453*J453*S453*I453*H453)/12500000))/3*1000,"")</f>
        <v/>
      </c>
    </row>
    <row r="454">
      <c r="B454" s="7" t="inlineStr">
        <is>
          <t xml:space="preserve">  ↳ SteelInspectorIonCannon</t>
        </is>
      </c>
      <c r="C454" s="7" t="inlineStr">
        <is>
          <t>Armament@PRIMARY</t>
        </is>
      </c>
      <c r="L454" s="6" t="n">
        <v>250000</v>
      </c>
      <c r="M454" s="6" t="n">
        <v>25</v>
      </c>
      <c r="N454" s="6" t="n">
        <v>1</v>
      </c>
      <c r="O454" s="6" t="n"/>
      <c r="P454" s="6" t="n">
        <v>2500</v>
      </c>
      <c r="Q454" s="6" t="n">
        <v>1.25</v>
      </c>
      <c r="R454">
        <f>M454+IF(N454&gt;1,N(O454)*(N454-1),0)</f>
        <v/>
      </c>
      <c r="S454">
        <f>IFERROR(L454*MAX(N454,1)/R454*IF(ISBLANK(K453),1,K453),0)</f>
        <v/>
      </c>
      <c r="AB454" s="7" t="inlineStr">
        <is>
          <t>^Warhead_Tesla_Heavy, ^Warhead_Tesla_Super</t>
        </is>
      </c>
    </row>
    <row r="455">
      <c r="A455" t="inlineStr">
        <is>
          <t>redalert2mod</t>
        </is>
      </c>
      <c r="B455" t="inlineStr">
        <is>
          <t>schwarzermond_dieglocke</t>
        </is>
      </c>
      <c r="C455" t="inlineStr">
        <is>
          <t>Die Glocke</t>
        </is>
      </c>
      <c r="D455" s="6" t="inlineStr">
        <is>
          <t>Spaceship</t>
        </is>
      </c>
      <c r="E455" s="6" t="n">
        <v>3750000</v>
      </c>
      <c r="F455" s="6" t="n">
        <v>40</v>
      </c>
      <c r="G455" t="inlineStr">
        <is>
          <t>Spaceship</t>
        </is>
      </c>
      <c r="H455" s="6" t="n">
        <v>0.4571</v>
      </c>
      <c r="I455" s="6" t="n">
        <v>1</v>
      </c>
      <c r="J455" s="6" t="n">
        <v>1</v>
      </c>
      <c r="K455" s="6" t="n"/>
      <c r="P455">
        <f>MAX(P456)</f>
        <v/>
      </c>
      <c r="S455">
        <f>S456</f>
        <v/>
      </c>
      <c r="T455">
        <f>(E455/100000+F455/100+(P455/1000)*J455/5+S455/200)*200*I455*H455</f>
        <v/>
      </c>
      <c r="U455">
        <f>((E455*F455/25000)+((P455/1000)*J455*S455/2.5))*I455*H455</f>
        <v/>
      </c>
      <c r="V455">
        <f>(E455*F455*(P455/1000)*J455*S455*I455*H455)/12500000</f>
        <v/>
      </c>
      <c r="W455">
        <f>(T455+U455+V455)/3</f>
        <v/>
      </c>
      <c r="X455" s="6" t="n">
        <v>15000</v>
      </c>
      <c r="Y455">
        <f>IFERROR(W455-X455,"")</f>
        <v/>
      </c>
      <c r="Z455">
        <f>IFERROR(ABS(Y455)/MAX(X455,1),"")</f>
        <v/>
      </c>
      <c r="AA455">
        <f>IFERROR((X455-(((E455/100000+F455/100+S455/200)*200*I455*H455)+((E455*F455/25000)*I455*H455))/3)/(((J455/5)*200*I455*H455)+((J455*S455/2.5)*I455*H455)+((E455*F455*J455*S455*I455*H455)/12500000))/3*1000,"")</f>
        <v/>
      </c>
    </row>
    <row r="456">
      <c r="B456" s="7" t="inlineStr">
        <is>
          <t xml:space="preserve">  ↳ NaxDieGlocke</t>
        </is>
      </c>
      <c r="C456" s="7" t="inlineStr">
        <is>
          <t>Armament@PRIMARY</t>
        </is>
      </c>
      <c r="L456" s="6" t="n">
        <v>10000</v>
      </c>
      <c r="M456" s="6" t="n">
        <v>60</v>
      </c>
      <c r="N456" s="6" t="n">
        <v>1</v>
      </c>
      <c r="O456" s="6" t="n"/>
      <c r="P456" s="6" t="n">
        <v>2500</v>
      </c>
      <c r="Q456" s="6" t="n">
        <v>1.25</v>
      </c>
      <c r="R456">
        <f>M456+IF(N456&gt;1,N(O456)*(N456-1),0)</f>
        <v/>
      </c>
      <c r="S456">
        <f>IFERROR(L456*MAX(N456,1)/R456*IF(ISBLANK(K455),1,K455),0)</f>
        <v/>
      </c>
      <c r="AB456" s="7" t="inlineStr">
        <is>
          <t>^Warhead_Chemical_Heavy</t>
        </is>
      </c>
    </row>
    <row r="457">
      <c r="A457" t="inlineStr">
        <is>
          <t>redalert2mod</t>
        </is>
      </c>
      <c r="B457" t="inlineStr">
        <is>
          <t>schwarzermond_haunebuii</t>
        </is>
      </c>
      <c r="C457" t="inlineStr">
        <is>
          <t>Haunebu II</t>
        </is>
      </c>
      <c r="D457" s="6" t="inlineStr">
        <is>
          <t>Spaceship</t>
        </is>
      </c>
      <c r="E457" s="6" t="n">
        <v>250000</v>
      </c>
      <c r="F457" s="6" t="n">
        <v>66</v>
      </c>
      <c r="G457" t="inlineStr">
        <is>
          <t>Spaceship</t>
        </is>
      </c>
      <c r="H457" s="6" t="n">
        <v>1</v>
      </c>
      <c r="I457" s="6" t="n">
        <v>0.75</v>
      </c>
      <c r="J457" s="6" t="n">
        <v>1</v>
      </c>
      <c r="K457" s="6" t="n"/>
      <c r="P457">
        <f>MAX(P458,P459)</f>
        <v/>
      </c>
      <c r="S457">
        <f>S458+S459</f>
        <v/>
      </c>
      <c r="T457">
        <f>(E457/100000+F457/100+(P457/1000)*J457/5+S457/200)*200*I457*H457</f>
        <v/>
      </c>
      <c r="U457">
        <f>((E457*F457/25000)+((P457/1000)*J457*S457/2.5))*I457*H457</f>
        <v/>
      </c>
      <c r="V457">
        <f>(E457*F457*(P457/1000)*J457*S457*I457*H457)/12500000</f>
        <v/>
      </c>
      <c r="W457">
        <f>(T457+U457+V457)/3</f>
        <v/>
      </c>
      <c r="X457" s="6" t="n">
        <v>3200</v>
      </c>
      <c r="Y457">
        <f>IFERROR(W457-X457,"")</f>
        <v/>
      </c>
      <c r="Z457">
        <f>IFERROR(ABS(Y457)/MAX(X457,1),"")</f>
        <v/>
      </c>
      <c r="AA457">
        <f>IFERROR((X457-(((E457/100000+F457/100+S457/200)*200*I457*H457)+((E457*F457/25000)*I457*H457))/3)/(((J457/5)*200*I457*H457)+((J457*S457/2.5)*I457*H457)+((E457*F457*J457*S457*I457*H457)/12500000))/3*1000,"")</f>
        <v/>
      </c>
    </row>
    <row r="458">
      <c r="B458" s="7" t="inlineStr">
        <is>
          <t xml:space="preserve">  ↳ NaxHaenebuQuadCannon</t>
        </is>
      </c>
      <c r="C458" s="7" t="inlineStr">
        <is>
          <t>Armament@PRIMARY</t>
        </is>
      </c>
      <c r="L458" s="6" t="n">
        <v>6000</v>
      </c>
      <c r="M458" s="6" t="n">
        <v>66</v>
      </c>
      <c r="N458" s="6" t="n">
        <v>6</v>
      </c>
      <c r="O458" s="6" t="n">
        <v>0</v>
      </c>
      <c r="P458" s="6" t="n">
        <v>6666</v>
      </c>
      <c r="Q458" s="6" t="n">
        <v>1</v>
      </c>
      <c r="R458">
        <f>M458+IF(N458&gt;1,N(O458)*(N458-1),0)</f>
        <v/>
      </c>
      <c r="S458">
        <f>IFERROR(L458*MAX(N458,1)/R458*IF(ISBLANK(K457),1,K457),0)</f>
        <v/>
      </c>
      <c r="AB458" s="7" t="inlineStr">
        <is>
          <t>^Warhead_Concussion_Light, ^Warhead_MissileAP_Heavy, ^Warhead_Flak_Medium</t>
        </is>
      </c>
    </row>
    <row r="459">
      <c r="B459" s="7" t="inlineStr">
        <is>
          <t xml:space="preserve">  ↳ NaxHaenebuQuadCannon_elite</t>
        </is>
      </c>
      <c r="C459" s="7" t="inlineStr">
        <is>
          <t>Armament@ELITE</t>
        </is>
      </c>
      <c r="L459" s="6" t="n">
        <v>6000</v>
      </c>
      <c r="M459" s="6" t="n">
        <v>66</v>
      </c>
      <c r="N459" s="6" t="n">
        <v>7</v>
      </c>
      <c r="O459" s="6" t="n">
        <v>0</v>
      </c>
      <c r="P459" s="6" t="n">
        <v>7777</v>
      </c>
      <c r="Q459" s="6" t="n">
        <v>1</v>
      </c>
      <c r="R459">
        <f>M459+IF(N459&gt;1,N(O459)*(N459-1),0)</f>
        <v/>
      </c>
      <c r="S459">
        <f>IFERROR(L459*MAX(N459,1)/R459*IF(ISBLANK(K457),1,K457),0)</f>
        <v/>
      </c>
      <c r="AB459" s="7" t="inlineStr">
        <is>
          <t>^Warhead_Concussion_Light, ^Warhead_MissileAP_Heavy, ^Warhead_Flak_Medium</t>
        </is>
      </c>
    </row>
    <row r="460">
      <c r="A460" t="inlineStr">
        <is>
          <t>redalert2mod</t>
        </is>
      </c>
      <c r="B460" t="inlineStr">
        <is>
          <t>schwarzermond_haunebuiii</t>
        </is>
      </c>
      <c r="C460" t="inlineStr">
        <is>
          <t>Haunebu III</t>
        </is>
      </c>
      <c r="D460" s="6" t="inlineStr">
        <is>
          <t>Spaceship</t>
        </is>
      </c>
      <c r="E460" s="6" t="n">
        <v>375000</v>
      </c>
      <c r="F460" s="6" t="n">
        <v>55</v>
      </c>
      <c r="G460" t="inlineStr">
        <is>
          <t>Spaceship</t>
        </is>
      </c>
      <c r="H460" s="6" t="n">
        <v>0.4571</v>
      </c>
      <c r="I460" s="6" t="n">
        <v>1</v>
      </c>
      <c r="J460" s="6" t="n">
        <v>1</v>
      </c>
      <c r="K460" s="6" t="n"/>
      <c r="P460">
        <f>MAX(P461,P462,P463)</f>
        <v/>
      </c>
      <c r="S460">
        <f>S461+S462+S463</f>
        <v/>
      </c>
      <c r="T460">
        <f>(E460/100000+F460/100+(P460/1000)*J460/5+S460/200)*200*I460*H460</f>
        <v/>
      </c>
      <c r="U460">
        <f>((E460*F460/25000)+((P460/1000)*J460*S460/2.5))*I460*H460</f>
        <v/>
      </c>
      <c r="V460">
        <f>(E460*F460*(P460/1000)*J460*S460*I460*H460)/12500000</f>
        <v/>
      </c>
      <c r="W460">
        <f>(T460+U460+V460)/3</f>
        <v/>
      </c>
      <c r="X460" s="6" t="n">
        <v>4000</v>
      </c>
      <c r="Y460">
        <f>IFERROR(W460-X460,"")</f>
        <v/>
      </c>
      <c r="Z460">
        <f>IFERROR(ABS(Y460)/MAX(X460,1),"")</f>
        <v/>
      </c>
      <c r="AA460">
        <f>IFERROR((X460-(((E460/100000+F460/100+S460/200)*200*I460*H460)+((E460*F460/25000)*I460*H460))/3)/(((J460/5)*200*I460*H460)+((J460*S460/2.5)*I460*H460)+((E460*F460*J460*S460*I460*H460)/12500000))/3*1000,"")</f>
        <v/>
      </c>
    </row>
    <row r="461">
      <c r="B461" s="7" t="inlineStr">
        <is>
          <t xml:space="preserve">  ↳ NaxHaenebuQuadCannon</t>
        </is>
      </c>
      <c r="C461" s="7" t="inlineStr">
        <is>
          <t>Armament@PRIMARY</t>
        </is>
      </c>
      <c r="L461" s="6" t="n">
        <v>6000</v>
      </c>
      <c r="M461" s="6" t="n">
        <v>66</v>
      </c>
      <c r="N461" s="6" t="n">
        <v>6</v>
      </c>
      <c r="O461" s="6" t="n">
        <v>0</v>
      </c>
      <c r="P461" s="6" t="n">
        <v>6666</v>
      </c>
      <c r="Q461" s="6" t="n">
        <v>1</v>
      </c>
      <c r="R461">
        <f>M461+IF(N461&gt;1,N(O461)*(N461-1),0)</f>
        <v/>
      </c>
      <c r="S461">
        <f>IFERROR(L461*MAX(N461,1)/R461*IF(ISBLANK(K460),1,K460),0)</f>
        <v/>
      </c>
      <c r="AB461" s="7" t="inlineStr">
        <is>
          <t>^Warhead_Concussion_Light, ^Warhead_MissileAP_Heavy, ^Warhead_Flak_Medium</t>
        </is>
      </c>
    </row>
    <row r="462">
      <c r="B462" s="7" t="inlineStr">
        <is>
          <t xml:space="preserve">  ↳ NaxHaenebuQuadCannon_elite</t>
        </is>
      </c>
      <c r="C462" s="7" t="inlineStr">
        <is>
          <t>Armament@ELITE</t>
        </is>
      </c>
      <c r="L462" s="6" t="n">
        <v>6000</v>
      </c>
      <c r="M462" s="6" t="n">
        <v>66</v>
      </c>
      <c r="N462" s="6" t="n">
        <v>7</v>
      </c>
      <c r="O462" s="6" t="n">
        <v>0</v>
      </c>
      <c r="P462" s="6" t="n">
        <v>7777</v>
      </c>
      <c r="Q462" s="6" t="n">
        <v>1</v>
      </c>
      <c r="R462">
        <f>M462+IF(N462&gt;1,N(O462)*(N462-1),0)</f>
        <v/>
      </c>
      <c r="S462">
        <f>IFERROR(L462*MAX(N462,1)/R462*IF(ISBLANK(K460),1,K460),0)</f>
        <v/>
      </c>
      <c r="AB462" s="7" t="inlineStr">
        <is>
          <t>^Warhead_Concussion_Light, ^Warhead_MissileAP_Heavy, ^Warhead_Flak_Medium</t>
        </is>
      </c>
    </row>
    <row r="463">
      <c r="B463" s="7" t="inlineStr">
        <is>
          <t xml:space="preserve">  ↳ NaxiCowDrop</t>
        </is>
      </c>
      <c r="C463" s="7" t="inlineStr">
        <is>
          <t>Armament@SECOND</t>
        </is>
      </c>
      <c r="L463" s="6" t="n">
        <v>10000</v>
      </c>
      <c r="M463" s="6" t="n">
        <v>50</v>
      </c>
      <c r="N463" s="6" t="n">
        <v>1</v>
      </c>
      <c r="O463" s="6" t="n"/>
      <c r="P463" s="6" t="n">
        <v>2000</v>
      </c>
      <c r="Q463" s="6" t="n">
        <v>1.25</v>
      </c>
      <c r="R463">
        <f>M463+IF(N463&gt;1,N(O463)*(N463-1),0)</f>
        <v/>
      </c>
      <c r="S463">
        <f>IFERROR(L463*MAX(N463,1)/R463*IF(ISBLANK(K460),1,K460),0)</f>
        <v/>
      </c>
      <c r="AB463" s="7" t="inlineStr">
        <is>
          <t>^Warhead_Demolition_Heavy</t>
        </is>
      </c>
    </row>
    <row r="464">
      <c r="A464" t="inlineStr">
        <is>
          <t>redalert2mod</t>
        </is>
      </c>
      <c r="B464" t="inlineStr">
        <is>
          <t>futuretech_harbingergunship</t>
        </is>
      </c>
      <c r="C464" t="inlineStr">
        <is>
          <t>Harbinger Gunship</t>
        </is>
      </c>
      <c r="D464" s="6" t="inlineStr">
        <is>
          <t>Spaceship</t>
        </is>
      </c>
      <c r="E464" s="6" t="n">
        <v>400000</v>
      </c>
      <c r="F464" s="6" t="n">
        <v>125</v>
      </c>
      <c r="G464" t="inlineStr">
        <is>
          <t>Spaceship</t>
        </is>
      </c>
      <c r="H464" s="6" t="n">
        <v>0.289</v>
      </c>
      <c r="I464" s="6" t="n">
        <v>1</v>
      </c>
      <c r="J464" s="6" t="n">
        <v>1</v>
      </c>
      <c r="K464" s="6" t="n">
        <v>0.005</v>
      </c>
      <c r="P464">
        <f>MAX(P465,P466,P467,P468)</f>
        <v/>
      </c>
      <c r="S464">
        <f>S465+S466+S467+S468</f>
        <v/>
      </c>
      <c r="T464">
        <f>(E464/100000+F464/100+(P464/1000)*J464/5+S464/200)*200*I464*H464</f>
        <v/>
      </c>
      <c r="U464">
        <f>((E464*F464/25000)+((P464/1000)*J464*S464/2.5))*I464*H464</f>
        <v/>
      </c>
      <c r="V464">
        <f>(E464*F464*(P464/1000)*J464*S464*I464*H464)/12500000</f>
        <v/>
      </c>
      <c r="W464">
        <f>(T464+U464+V464)/3</f>
        <v/>
      </c>
      <c r="X464" s="6" t="n">
        <v>10000</v>
      </c>
      <c r="Y464">
        <f>IFERROR(W464-X464,"")</f>
        <v/>
      </c>
      <c r="Z464">
        <f>IFERROR(ABS(Y464)/MAX(X464,1),"")</f>
        <v/>
      </c>
      <c r="AA464">
        <f>IFERROR((X464-(((E464/100000+F464/100+S464/200)*200*I464*H464)+((E464*F464/25000)*I464*H464))/3)/(((J464/5)*200*I464*H464)+((J464*S464/2.5)*I464*H464)+((E464*F464*J464*S464*I464*H464)/12500000))/3*1000,"")</f>
        <v/>
      </c>
    </row>
    <row r="465">
      <c r="B465" s="7" t="inlineStr">
        <is>
          <t xml:space="preserve">  ↳ FutureHarbingerCannon</t>
        </is>
      </c>
      <c r="C465" s="7" t="inlineStr">
        <is>
          <t>Armament@PRIMARY</t>
        </is>
      </c>
      <c r="L465" s="6" t="n">
        <v>40000</v>
      </c>
      <c r="M465" s="6" t="n">
        <v>70</v>
      </c>
      <c r="N465" s="6" t="n">
        <v>2</v>
      </c>
      <c r="O465" s="6" t="n">
        <v>5</v>
      </c>
      <c r="P465" s="6" t="n">
        <v>6030</v>
      </c>
      <c r="Q465" s="6" t="n">
        <v>1.25</v>
      </c>
      <c r="R465">
        <f>M465+IF(N465&gt;1,N(O465)*(N465-1),0)</f>
        <v/>
      </c>
      <c r="S465">
        <f>IFERROR(L465*MAX(N465,1)/R465*IF(ISBLANK(K464),1,K464),0)</f>
        <v/>
      </c>
      <c r="AB465" s="7" t="inlineStr">
        <is>
          <t>^Warhead_CannonHE_Heavy</t>
        </is>
      </c>
    </row>
    <row r="466">
      <c r="B466" s="7" t="inlineStr">
        <is>
          <t xml:space="preserve">  ↳ FutureHarbingerCannon_elite</t>
        </is>
      </c>
      <c r="C466" s="7" t="inlineStr">
        <is>
          <t>Armament@PRIMARYELITE</t>
        </is>
      </c>
      <c r="L466" s="6" t="n">
        <v>40000</v>
      </c>
      <c r="M466" s="6" t="n">
        <v>70</v>
      </c>
      <c r="N466" s="6" t="n">
        <v>4</v>
      </c>
      <c r="O466" s="6" t="n">
        <v>5</v>
      </c>
      <c r="P466" s="6" t="n">
        <v>7030</v>
      </c>
      <c r="Q466" s="6" t="n">
        <v>1.25</v>
      </c>
      <c r="R466">
        <f>M466+IF(N466&gt;1,N(O466)*(N466-1),0)</f>
        <v/>
      </c>
      <c r="S466">
        <f>IFERROR(L466*MAX(N466,1)/R466*IF(ISBLANK(K464),1,K464),0)</f>
        <v/>
      </c>
      <c r="AB466" s="7" t="inlineStr">
        <is>
          <t>^Warhead_CannonHE_Heavy</t>
        </is>
      </c>
    </row>
    <row r="467">
      <c r="B467" s="7" t="inlineStr">
        <is>
          <t xml:space="preserve">  ↳ HarbingerChainguns</t>
        </is>
      </c>
      <c r="C467" s="7" t="inlineStr">
        <is>
          <t>Armament@AA</t>
        </is>
      </c>
      <c r="L467" s="6" t="n">
        <v>12000</v>
      </c>
      <c r="M467" s="6" t="n">
        <v>9</v>
      </c>
      <c r="N467" s="6" t="n">
        <v>1</v>
      </c>
      <c r="O467" s="6" t="n"/>
      <c r="P467" s="6" t="n">
        <v>6030</v>
      </c>
      <c r="Q467" s="6" t="n">
        <v>1</v>
      </c>
      <c r="R467">
        <f>M467+IF(N467&gt;1,N(O467)*(N467-1),0)</f>
        <v/>
      </c>
      <c r="S467">
        <f>IFERROR(L467*MAX(N467,1)/R467*IF(ISBLANK(K464),1,K464),0)</f>
        <v/>
      </c>
      <c r="AB467" s="7" t="inlineStr">
        <is>
          <t>^Warhead_Flak_Medium</t>
        </is>
      </c>
    </row>
    <row r="468">
      <c r="B468" s="7" t="inlineStr">
        <is>
          <t xml:space="preserve">  ↳ HarbingerChainguns_elite</t>
        </is>
      </c>
      <c r="C468" s="7" t="inlineStr">
        <is>
          <t>Armament@AAELITE</t>
        </is>
      </c>
      <c r="L468" s="6" t="n">
        <v>12000</v>
      </c>
      <c r="M468" s="6" t="n">
        <v>9</v>
      </c>
      <c r="N468" s="6" t="n">
        <v>2</v>
      </c>
      <c r="O468" s="6" t="n">
        <v>1</v>
      </c>
      <c r="P468" s="6" t="n">
        <v>7030</v>
      </c>
      <c r="Q468" s="6" t="n">
        <v>1</v>
      </c>
      <c r="R468">
        <f>M468+IF(N468&gt;1,N(O468)*(N468-1),0)</f>
        <v/>
      </c>
      <c r="S468">
        <f>IFERROR(L468*MAX(N468,1)/R468*IF(ISBLANK(K464),1,K464),0)</f>
        <v/>
      </c>
      <c r="AB468" s="7" t="inlineStr">
        <is>
          <t>^Warhead_Flak_Medium</t>
        </is>
      </c>
    </row>
    <row r="469">
      <c r="A469" t="inlineStr">
        <is>
          <t>d2k</t>
        </is>
      </c>
      <c r="B469" t="inlineStr">
        <is>
          <t>ordos_wraith</t>
        </is>
      </c>
      <c r="C469" t="inlineStr">
        <is>
          <t>Wraith</t>
        </is>
      </c>
      <c r="D469" s="6" t="inlineStr">
        <is>
          <t>Spaceship</t>
        </is>
      </c>
      <c r="E469" s="6" t="n">
        <v>375000</v>
      </c>
      <c r="F469" s="6" t="n">
        <v>45</v>
      </c>
      <c r="G469" t="inlineStr">
        <is>
          <t>Spaceship</t>
        </is>
      </c>
      <c r="H469" s="6" t="n">
        <v>0.3143</v>
      </c>
      <c r="I469" s="6" t="n">
        <v>1</v>
      </c>
      <c r="J469" s="6" t="n">
        <v>1</v>
      </c>
      <c r="K469" s="6" t="n"/>
      <c r="P469">
        <f>MAX(P470)</f>
        <v/>
      </c>
      <c r="S469">
        <f>S470</f>
        <v/>
      </c>
      <c r="T469">
        <f>(E469/100000+F469/100+(P469/1000)*J469/5+S469/200)*200*I469*H469</f>
        <v/>
      </c>
      <c r="U469">
        <f>((E469*F469/25000)+((P469/1000)*J469*S469/2.5))*I469*H469</f>
        <v/>
      </c>
      <c r="V469">
        <f>(E469*F469*(P469/1000)*J469*S469*I469*H469)/12500000</f>
        <v/>
      </c>
      <c r="W469">
        <f>(T469+U469+V469)/3</f>
        <v/>
      </c>
      <c r="X469" s="6" t="n">
        <v>7000</v>
      </c>
      <c r="Y469">
        <f>IFERROR(W469-X469,"")</f>
        <v/>
      </c>
      <c r="Z469">
        <f>IFERROR(ABS(Y469)/MAX(X469,1),"")</f>
        <v/>
      </c>
      <c r="AA469">
        <f>IFERROR((X469-(((E469/100000+F469/100+S469/200)*200*I469*H469)+((E469*F469/25000)*I469*H469))/3)/(((J469/5)*200*I469*H469)+((J469*S469/2.5)*I469*H469)+((E469*F469*J469*S469*I469*H469)/12500000))/3*1000,"")</f>
        <v/>
      </c>
    </row>
    <row r="470">
      <c r="B470" s="7" t="inlineStr">
        <is>
          <t xml:space="preserve">  ↳ Wraith_ToxinMissiles</t>
        </is>
      </c>
      <c r="C470" s="7" t="inlineStr">
        <is>
          <t>Armament@PRIMARY</t>
        </is>
      </c>
      <c r="L470" s="6" t="n">
        <v>60000</v>
      </c>
      <c r="M470" s="6" t="n">
        <v>125</v>
      </c>
      <c r="N470" s="6" t="n">
        <v>4</v>
      </c>
      <c r="O470" s="6" t="n">
        <v>25</v>
      </c>
      <c r="P470" s="6" t="n">
        <v>8370</v>
      </c>
      <c r="Q470" s="6" t="n">
        <v>1.25</v>
      </c>
      <c r="R470">
        <f>M470+IF(N470&gt;1,N(O470)*(N470-1),0)</f>
        <v/>
      </c>
      <c r="S470">
        <f>IFERROR(L470*MAX(N470,1)/R470*IF(ISBLANK(K469),1,K469),0)</f>
        <v/>
      </c>
      <c r="AB470" s="7" t="inlineStr">
        <is>
          <t>^Warhead_CannonHE_Heavy, ^Warhead_MissileAP_Heavy</t>
        </is>
      </c>
    </row>
    <row r="471">
      <c r="A471" t="inlineStr">
        <is>
          <t>d2k</t>
        </is>
      </c>
      <c r="B471" t="inlineStr">
        <is>
          <t>ixian_farasha</t>
        </is>
      </c>
      <c r="C471" t="inlineStr">
        <is>
          <t>Farasha</t>
        </is>
      </c>
      <c r="D471" s="6" t="inlineStr">
        <is>
          <t>Spaceship</t>
        </is>
      </c>
      <c r="E471" s="6" t="n">
        <v>250000</v>
      </c>
      <c r="F471" s="6" t="n">
        <v>40</v>
      </c>
      <c r="G471" t="inlineStr">
        <is>
          <t>Spaceship</t>
        </is>
      </c>
      <c r="H471" s="6" t="n">
        <v>0.75</v>
      </c>
      <c r="I471" s="6" t="n">
        <v>1</v>
      </c>
      <c r="J471" s="6" t="n">
        <v>1.25</v>
      </c>
      <c r="K471" s="6" t="n"/>
      <c r="P471">
        <f>MAX(P474,P475)</f>
        <v/>
      </c>
      <c r="S471">
        <f>S474+S475</f>
        <v/>
      </c>
      <c r="T471">
        <f>(E471/100000+F471/100+(P471/1000)*J471/5+S471/200)*200*I471*H471</f>
        <v/>
      </c>
      <c r="U471">
        <f>((E471*F471/25000)+((P471/1000)*J471*S471/2.5))*I471*H471</f>
        <v/>
      </c>
      <c r="V471">
        <f>(E471*F471*(P471/1000)*J471*S471*I471*H471)/12500000</f>
        <v/>
      </c>
      <c r="W471">
        <f>(T471+U471+V471)/3</f>
        <v/>
      </c>
      <c r="X471" s="6" t="n">
        <v>6000</v>
      </c>
      <c r="Y471">
        <f>IFERROR(W471-X471,"")</f>
        <v/>
      </c>
      <c r="Z471">
        <f>IFERROR(ABS(Y471)/MAX(X471,1),"")</f>
        <v/>
      </c>
      <c r="AA471">
        <f>IFERROR((X471-(((E471/100000+F471/100+S471/200)*200*I471*H471)+((E471*F471/25000)*I471*H471))/3)/(((J471/5)*200*I471*H471)+((J471*S471/2.5)*I471*H471)+((E471*F471*J471*S471*I471*H471)/12500000))/3*1000,"")</f>
        <v/>
      </c>
    </row>
    <row r="472">
      <c r="B472" s="7" t="inlineStr">
        <is>
          <t xml:space="preserve">  ↳ d2k_dronelauncher</t>
        </is>
      </c>
      <c r="C472" s="7" t="inlineStr">
        <is>
          <t>Armament@drones</t>
        </is>
      </c>
      <c r="L472" s="6" t="n"/>
      <c r="M472" s="6" t="n">
        <v>25</v>
      </c>
      <c r="N472" s="6" t="n">
        <v>1</v>
      </c>
      <c r="O472" s="6" t="n"/>
      <c r="P472" s="6" t="n">
        <v>6400</v>
      </c>
      <c r="Q472" s="6" t="n">
        <v>1</v>
      </c>
      <c r="R472">
        <f>M472+IF(N472&gt;1,N(O472)*(N472-1),0)</f>
        <v/>
      </c>
      <c r="S472">
        <f>IFERROR(L472*MAX(N472,1)/R472*IF(ISBLANK(K471),1,K471),0)</f>
        <v/>
      </c>
      <c r="AB472" s="7" t="inlineStr"/>
    </row>
    <row r="473">
      <c r="B473" s="7" t="inlineStr">
        <is>
          <t xml:space="preserve">  ↳ d2k_farasha_charge</t>
        </is>
      </c>
      <c r="C473" s="7" t="inlineStr">
        <is>
          <t>Armament@charge</t>
        </is>
      </c>
      <c r="L473" s="6" t="n"/>
      <c r="M473" s="6" t="n">
        <v>125</v>
      </c>
      <c r="N473" s="6" t="n">
        <v>1</v>
      </c>
      <c r="O473" s="6" t="n"/>
      <c r="P473" s="6" t="n">
        <v>6400</v>
      </c>
      <c r="Q473" s="6" t="n">
        <v>1</v>
      </c>
      <c r="R473">
        <f>M473+IF(N473&gt;1,N(O473)*(N473-1),0)</f>
        <v/>
      </c>
      <c r="S473">
        <f>IFERROR(L473*MAX(N473,1)/R473*IF(ISBLANK(K471),1,K471),0)</f>
        <v/>
      </c>
      <c r="AB473" s="7" t="inlineStr"/>
    </row>
    <row r="474">
      <c r="B474" s="7" t="inlineStr">
        <is>
          <t xml:space="preserve">  ↳ ixian_farasha</t>
        </is>
      </c>
      <c r="C474" s="7" t="inlineStr">
        <is>
          <t>Armament</t>
        </is>
      </c>
      <c r="L474" s="6" t="n">
        <v>6000</v>
      </c>
      <c r="M474" s="6" t="n">
        <v>50</v>
      </c>
      <c r="N474" s="6" t="n">
        <v>50</v>
      </c>
      <c r="O474" s="6" t="n">
        <v>1</v>
      </c>
      <c r="P474" s="6" t="n">
        <v>6400</v>
      </c>
      <c r="Q474" s="6" t="n">
        <v>1</v>
      </c>
      <c r="R474">
        <f>M474+IF(N474&gt;1,N(O474)*(N474-1),0)</f>
        <v/>
      </c>
      <c r="S474">
        <f>IFERROR(L474*MAX(N474,1)/R474*IF(ISBLANK(K471),1,K471),0)</f>
        <v/>
      </c>
      <c r="AB474" s="7" t="inlineStr">
        <is>
          <t>^TeslaWeapon, ^HeavyFlameWeapon, ^RailgunWeapon</t>
        </is>
      </c>
    </row>
    <row r="475">
      <c r="B475" s="7" t="inlineStr">
        <is>
          <t xml:space="preserve">  ↳ d2k_farasha_aa</t>
        </is>
      </c>
      <c r="C475" s="7" t="inlineStr">
        <is>
          <t>Armament@AA</t>
        </is>
      </c>
      <c r="L475" s="6" t="n">
        <v>6000</v>
      </c>
      <c r="M475" s="6" t="n">
        <v>50</v>
      </c>
      <c r="N475" s="6" t="n">
        <v>50</v>
      </c>
      <c r="O475" s="6" t="n">
        <v>1</v>
      </c>
      <c r="P475" s="6" t="n">
        <v>6400</v>
      </c>
      <c r="Q475" s="6" t="n">
        <v>1</v>
      </c>
      <c r="R475">
        <f>M475+IF(N475&gt;1,N(O475)*(N475-1),0)</f>
        <v/>
      </c>
      <c r="S475">
        <f>IFERROR(L475*MAX(N475,1)/R475*IF(ISBLANK(K471),1,K471),0)</f>
        <v/>
      </c>
      <c r="AB475" s="7" t="inlineStr">
        <is>
          <t>ixian_farasha</t>
        </is>
      </c>
    </row>
    <row r="476">
      <c r="A476" t="inlineStr">
        <is>
          <t>starcraft</t>
        </is>
      </c>
      <c r="B476" t="inlineStr">
        <is>
          <t>protoss_carrier</t>
        </is>
      </c>
      <c r="C476" t="inlineStr">
        <is>
          <t>Carrier</t>
        </is>
      </c>
      <c r="D476" s="6" t="inlineStr">
        <is>
          <t>Spaceship</t>
        </is>
      </c>
      <c r="E476" s="6" t="n">
        <v>300000</v>
      </c>
      <c r="F476" s="6" t="n">
        <v>45</v>
      </c>
      <c r="G476" t="inlineStr">
        <is>
          <t>Spaceship</t>
        </is>
      </c>
      <c r="H476" s="6" t="n">
        <v>0.75</v>
      </c>
      <c r="I476" s="6" t="n">
        <v>1</v>
      </c>
      <c r="J476" s="6" t="n">
        <v>0.75</v>
      </c>
      <c r="K476" s="6" t="n"/>
      <c r="X476" s="6" t="n">
        <v>3000</v>
      </c>
    </row>
    <row r="477">
      <c r="B477" s="7" t="inlineStr">
        <is>
          <t xml:space="preserve">  ↳ InterceptorLauncher</t>
        </is>
      </c>
      <c r="C477" s="7" t="inlineStr">
        <is>
          <t>Armament</t>
        </is>
      </c>
      <c r="L477" s="6" t="n"/>
      <c r="M477" s="6" t="n">
        <v>100</v>
      </c>
      <c r="N477" s="6" t="n">
        <v>5</v>
      </c>
      <c r="O477" s="6" t="n">
        <v>10</v>
      </c>
      <c r="P477" s="6" t="n">
        <v>10000</v>
      </c>
      <c r="Q477" s="6" t="n">
        <v>1</v>
      </c>
      <c r="R477">
        <f>M477+IF(N477&gt;1,N(O477)*(N477-1),0)</f>
        <v/>
      </c>
      <c r="S477">
        <f>IFERROR(L477*MAX(N477,1)/R477*IF(ISBLANK(K476),1,K476),0)</f>
        <v/>
      </c>
      <c r="AB477" s="7" t="inlineStr"/>
    </row>
    <row r="478">
      <c r="A478" t="inlineStr">
        <is>
          <t>starcraft</t>
        </is>
      </c>
      <c r="B478" t="inlineStr">
        <is>
          <t>protoss_starshipsovereign</t>
        </is>
      </c>
      <c r="C478" t="inlineStr">
        <is>
          <t>Starship Sovereign</t>
        </is>
      </c>
      <c r="D478" s="6" t="inlineStr">
        <is>
          <t>Spaceship</t>
        </is>
      </c>
      <c r="E478" s="6" t="n">
        <v>750000</v>
      </c>
      <c r="F478" s="6" t="n">
        <v>40</v>
      </c>
      <c r="G478" t="inlineStr">
        <is>
          <t>Spaceship</t>
        </is>
      </c>
      <c r="H478" s="6" t="n">
        <v>0.75</v>
      </c>
      <c r="I478" s="6" t="n">
        <v>1</v>
      </c>
      <c r="J478" s="6" t="n">
        <v>1.25</v>
      </c>
      <c r="K478" s="6" t="n">
        <v>0.0075</v>
      </c>
      <c r="P478">
        <f>MAX(P479)</f>
        <v/>
      </c>
      <c r="S478">
        <f>S479</f>
        <v/>
      </c>
      <c r="T478">
        <f>(E478/100000+F478/100+(P478/1000)*J478/5+S478/200)*200*I478*H478</f>
        <v/>
      </c>
      <c r="U478">
        <f>((E478*F478/25000)+((P478/1000)*J478*S478/2.5))*I478*H478</f>
        <v/>
      </c>
      <c r="V478">
        <f>(E478*F478*(P478/1000)*J478*S478*I478*H478)/12500000</f>
        <v/>
      </c>
      <c r="W478">
        <f>(T478+U478+V478)/3</f>
        <v/>
      </c>
      <c r="X478" s="6" t="n">
        <v>10000</v>
      </c>
      <c r="Y478">
        <f>IFERROR(W478-X478,"")</f>
        <v/>
      </c>
      <c r="Z478">
        <f>IFERROR(ABS(Y478)/MAX(X478,1),"")</f>
        <v/>
      </c>
      <c r="AA478">
        <f>IFERROR((X478-(((E478/100000+F478/100+S478/200)*200*I478*H478)+((E478*F478/25000)*I478*H478))/3)/(((J478/5)*200*I478*H478)+((J478*S478/2.5)*I478*H478)+((E478*F478*J478*S478*I478*H478)/12500000))/3*1000,"")</f>
        <v/>
      </c>
    </row>
    <row r="479">
      <c r="B479" s="7" t="inlineStr">
        <is>
          <t xml:space="preserve">  ↳ StarshipSovereignBeam</t>
        </is>
      </c>
      <c r="C479" s="7" t="inlineStr">
        <is>
          <t>Armament</t>
        </is>
      </c>
      <c r="L479" s="6" t="n">
        <v>12000</v>
      </c>
      <c r="M479" s="6" t="n">
        <v>10</v>
      </c>
      <c r="N479" s="6" t="n">
        <v>1</v>
      </c>
      <c r="O479" s="6" t="n"/>
      <c r="P479" s="6" t="n">
        <v>8475</v>
      </c>
      <c r="Q479" s="6" t="n">
        <v>1</v>
      </c>
      <c r="R479">
        <f>M479+IF(N479&gt;1,N(O479)*(N479-1),0)</f>
        <v/>
      </c>
      <c r="S479">
        <f>IFERROR(L479*MAX(N479,1)/R479*IF(ISBLANK(K478),1,K478),0)</f>
        <v/>
      </c>
      <c r="AB479" s="7" t="inlineStr">
        <is>
          <t>^LightMissile, ^SmallArms, ^Chaingun, ^FlakWeapon, ^TeslaWeapon, ^LaserWeapon</t>
        </is>
      </c>
    </row>
    <row r="480">
      <c r="A480" t="inlineStr">
        <is>
          <t>starcraft</t>
        </is>
      </c>
      <c r="B480" t="inlineStr">
        <is>
          <t>zerg_behemoth</t>
        </is>
      </c>
      <c r="C480" t="inlineStr">
        <is>
          <t>Behemoth</t>
        </is>
      </c>
      <c r="D480" s="6" t="inlineStr">
        <is>
          <t>Spaceship</t>
        </is>
      </c>
      <c r="E480" s="6" t="n">
        <v>600000</v>
      </c>
      <c r="F480" s="6" t="n">
        <v>30</v>
      </c>
      <c r="G480" t="inlineStr">
        <is>
          <t>Spaceship</t>
        </is>
      </c>
      <c r="H480" s="6" t="n">
        <v>0.75</v>
      </c>
      <c r="I480" s="6" t="n">
        <v>1</v>
      </c>
      <c r="J480" s="6" t="n">
        <v>1.25</v>
      </c>
      <c r="K480" s="6" t="n"/>
      <c r="P480">
        <f>MAX(P481)</f>
        <v/>
      </c>
      <c r="S480">
        <f>S481</f>
        <v/>
      </c>
      <c r="T480">
        <f>(E480/100000+F480/100+(P480/1000)*J480/5+S480/200)*200*I480*H480</f>
        <v/>
      </c>
      <c r="U480">
        <f>((E480*F480/25000)+((P480/1000)*J480*S480/2.5))*I480*H480</f>
        <v/>
      </c>
      <c r="V480">
        <f>(E480*F480*(P480/1000)*J480*S480*I480*H480)/12500000</f>
        <v/>
      </c>
      <c r="W480">
        <f>(T480+U480+V480)/3</f>
        <v/>
      </c>
      <c r="X480" s="6" t="n">
        <v>7200</v>
      </c>
      <c r="Y480">
        <f>IFERROR(W480-X480,"")</f>
        <v/>
      </c>
      <c r="Z480">
        <f>IFERROR(ABS(Y480)/MAX(X480,1),"")</f>
        <v/>
      </c>
      <c r="AA480">
        <f>IFERROR((X480-(((E480/100000+F480/100+S480/200)*200*I480*H480)+((E480*F480/25000)*I480*H480))/3)/(((J480/5)*200*I480*H480)+((J480*S480/2.5)*I480*H480)+((E480*F480*J480*S480*I480*H480)/12500000))/3*1000,"")</f>
        <v/>
      </c>
    </row>
    <row r="481">
      <c r="B481" s="7" t="inlineStr">
        <is>
          <t xml:space="preserve">  ↳ BehemothShoot</t>
        </is>
      </c>
      <c r="C481" s="7" t="inlineStr">
        <is>
          <t>Armament</t>
        </is>
      </c>
      <c r="L481" s="6" t="n">
        <v>12000</v>
      </c>
      <c r="M481" s="6" t="n">
        <v>60</v>
      </c>
      <c r="N481" s="6" t="n">
        <v>1</v>
      </c>
      <c r="O481" s="6" t="n"/>
      <c r="P481" s="6" t="n">
        <v>5230</v>
      </c>
      <c r="Q481" s="6" t="n">
        <v>1</v>
      </c>
      <c r="R481">
        <f>M481+IF(N481&gt;1,N(O481)*(N481-1),0)</f>
        <v/>
      </c>
      <c r="S481">
        <f>IFERROR(L481*MAX(N481,1)/R481*IF(ISBLANK(K480),1,K480),0)</f>
        <v/>
      </c>
      <c r="AB481" s="7" t="inlineStr">
        <is>
          <t>^LightFlameWeapon, ^MediumChemicalWeapon, ^HeavyMissile, ^Grenade, ^ShrapnelWeapon, ^HeavyBomb</t>
        </is>
      </c>
    </row>
    <row r="482">
      <c r="A482" t="inlineStr">
        <is>
          <t>starcraft</t>
        </is>
      </c>
      <c r="B482" t="inlineStr">
        <is>
          <t>terran_battlecruiser</t>
        </is>
      </c>
      <c r="C482" t="inlineStr">
        <is>
          <t>Battlecruiser</t>
        </is>
      </c>
      <c r="D482" s="6" t="inlineStr">
        <is>
          <t>Spaceship</t>
        </is>
      </c>
      <c r="E482" s="6" t="n">
        <v>500000</v>
      </c>
      <c r="F482" s="6" t="n">
        <v>30</v>
      </c>
      <c r="G482" t="inlineStr">
        <is>
          <t>Spaceship</t>
        </is>
      </c>
      <c r="H482" s="6" t="n">
        <v>0.75</v>
      </c>
      <c r="I482" s="6" t="n">
        <v>1</v>
      </c>
      <c r="J482" s="6" t="n">
        <v>1</v>
      </c>
      <c r="K482" s="6" t="n"/>
      <c r="P482">
        <f>MAX(P483,P484)</f>
        <v/>
      </c>
      <c r="S482">
        <f>S483+S484</f>
        <v/>
      </c>
      <c r="T482">
        <f>(E482/100000+F482/100+(P482/1000)*J482/5+S482/200)*200*I482*H482</f>
        <v/>
      </c>
      <c r="U482">
        <f>((E482*F482/25000)+((P482/1000)*J482*S482/2.5))*I482*H482</f>
        <v/>
      </c>
      <c r="V482">
        <f>(E482*F482*(P482/1000)*J482*S482*I482*H482)/12500000</f>
        <v/>
      </c>
      <c r="W482">
        <f>(T482+U482+V482)/3</f>
        <v/>
      </c>
      <c r="X482" s="6" t="n">
        <v>4000</v>
      </c>
      <c r="Y482">
        <f>IFERROR(W482-X482,"")</f>
        <v/>
      </c>
      <c r="Z482">
        <f>IFERROR(ABS(Y482)/MAX(X482,1),"")</f>
        <v/>
      </c>
      <c r="AA482">
        <f>IFERROR((X482-(((E482/100000+F482/100+S482/200)*200*I482*H482)+((E482*F482/25000)*I482*H482))/3)/(((J482/5)*200*I482*H482)+((J482*S482/2.5)*I482*H482)+((E482*F482*J482*S482*I482*H482)/12500000))/3*1000,"")</f>
        <v/>
      </c>
    </row>
    <row r="483">
      <c r="B483" s="7" t="inlineStr">
        <is>
          <t xml:space="preserve">  ↳ BCLaser</t>
        </is>
      </c>
      <c r="C483" s="7" t="inlineStr">
        <is>
          <t>Armament</t>
        </is>
      </c>
      <c r="L483" s="6" t="n">
        <v>36000</v>
      </c>
      <c r="M483" s="6" t="n">
        <v>38</v>
      </c>
      <c r="N483" s="6" t="n">
        <v>1</v>
      </c>
      <c r="O483" s="6" t="n"/>
      <c r="P483" s="6" t="n">
        <v>6800</v>
      </c>
      <c r="Q483" s="6" t="n">
        <v>1.25</v>
      </c>
      <c r="R483">
        <f>M483+IF(N483&gt;1,N(O483)*(N483-1),0)</f>
        <v/>
      </c>
      <c r="S483">
        <f>IFERROR(L483*MAX(N483,1)/R483*IF(ISBLANK(K482),1,K482),0)</f>
        <v/>
      </c>
      <c r="AB483" s="7" t="inlineStr">
        <is>
          <t>^Warhead_CannonHE_Heavy</t>
        </is>
      </c>
    </row>
    <row r="484">
      <c r="B484" s="7" t="inlineStr">
        <is>
          <t xml:space="preserve">  ↳ BCYamatoCannon</t>
        </is>
      </c>
      <c r="C484" s="7" t="inlineStr">
        <is>
          <t>Armament@Yamato</t>
        </is>
      </c>
      <c r="L484" s="6" t="n">
        <v>144000</v>
      </c>
      <c r="M484" s="6" t="n">
        <v>38</v>
      </c>
      <c r="N484" s="6" t="n">
        <v>1</v>
      </c>
      <c r="O484" s="6" t="n"/>
      <c r="P484" s="6" t="n">
        <v>6800</v>
      </c>
      <c r="Q484" s="6" t="n">
        <v>1.25</v>
      </c>
      <c r="R484">
        <f>M484+IF(N484&gt;1,N(O484)*(N484-1),0)</f>
        <v/>
      </c>
      <c r="S484">
        <f>IFERROR(L484*MAX(N484,1)/R484*IF(ISBLANK(K482),1,K482),0)</f>
        <v/>
      </c>
      <c r="AB484" s="7" t="inlineStr">
        <is>
          <t>^Warhead_CannonHE_Heavy</t>
        </is>
      </c>
    </row>
    <row r="485">
      <c r="A485" t="inlineStr">
        <is>
          <t>starcraft</t>
        </is>
      </c>
      <c r="B485" t="inlineStr">
        <is>
          <t>terran_phobos</t>
        </is>
      </c>
      <c r="C485" t="inlineStr">
        <is>
          <t>Phobos</t>
        </is>
      </c>
      <c r="D485" s="6" t="inlineStr">
        <is>
          <t>Spaceship</t>
        </is>
      </c>
      <c r="E485" s="6" t="n">
        <v>1000000</v>
      </c>
      <c r="F485" s="6" t="n">
        <v>25</v>
      </c>
      <c r="G485" t="inlineStr">
        <is>
          <t>Spaceship</t>
        </is>
      </c>
      <c r="H485" s="6" t="n">
        <v>0.75</v>
      </c>
      <c r="I485" s="6" t="n">
        <v>1</v>
      </c>
      <c r="J485" s="6" t="n">
        <v>1.25</v>
      </c>
      <c r="K485" s="6" t="n"/>
      <c r="P485">
        <f>MAX(P486,P487)</f>
        <v/>
      </c>
      <c r="S485">
        <f>S486+S487</f>
        <v/>
      </c>
      <c r="T485">
        <f>(E485/100000+F485/100+(P485/1000)*J485/5+S485/200)*200*I485*H485</f>
        <v/>
      </c>
      <c r="U485">
        <f>((E485*F485/25000)+((P485/1000)*J485*S485/2.5))*I485*H485</f>
        <v/>
      </c>
      <c r="V485">
        <f>(E485*F485*(P485/1000)*J485*S485*I485*H485)/12500000</f>
        <v/>
      </c>
      <c r="W485">
        <f>(T485+U485+V485)/3</f>
        <v/>
      </c>
      <c r="X485" s="6" t="n">
        <v>10000</v>
      </c>
      <c r="Y485">
        <f>IFERROR(W485-X485,"")</f>
        <v/>
      </c>
      <c r="Z485">
        <f>IFERROR(ABS(Y485)/MAX(X485,1),"")</f>
        <v/>
      </c>
      <c r="AA485">
        <f>IFERROR((X485-(((E485/100000+F485/100+S485/200)*200*I485*H485)+((E485*F485/25000)*I485*H485))/3)/(((J485/5)*200*I485*H485)+((J485*S485/2.5)*I485*H485)+((E485*F485*J485*S485*I485*H485)/12500000))/3*1000,"")</f>
        <v/>
      </c>
    </row>
    <row r="486">
      <c r="B486" s="7" t="inlineStr">
        <is>
          <t xml:space="preserve">  ↳ PhobosLaser</t>
        </is>
      </c>
      <c r="C486" s="7" t="inlineStr">
        <is>
          <t>Armament</t>
        </is>
      </c>
      <c r="L486" s="6" t="n">
        <v>48000</v>
      </c>
      <c r="M486" s="6" t="n">
        <v>80</v>
      </c>
      <c r="N486" s="6" t="n">
        <v>4</v>
      </c>
      <c r="O486" s="6" t="n">
        <v>4</v>
      </c>
      <c r="P486" s="6" t="n">
        <v>9000</v>
      </c>
      <c r="Q486" s="6" t="n">
        <v>1.25</v>
      </c>
      <c r="R486">
        <f>M486+IF(N486&gt;1,N(O486)*(N486-1),0)</f>
        <v/>
      </c>
      <c r="S486">
        <f>IFERROR(L486*MAX(N486,1)/R486*IF(ISBLANK(K485),1,K485),0)</f>
        <v/>
      </c>
      <c r="AB486" s="7" t="inlineStr">
        <is>
          <t>^Warhead_CannonHE_Heavy</t>
        </is>
      </c>
    </row>
    <row r="487">
      <c r="B487" s="7" t="inlineStr">
        <is>
          <t xml:space="preserve">  ↳ BCYamatoCannon</t>
        </is>
      </c>
      <c r="C487" s="7" t="inlineStr">
        <is>
          <t>Armament@Yamato</t>
        </is>
      </c>
      <c r="L487" s="6" t="n">
        <v>144000</v>
      </c>
      <c r="M487" s="6" t="n">
        <v>38</v>
      </c>
      <c r="N487" s="6" t="n">
        <v>1</v>
      </c>
      <c r="O487" s="6" t="n"/>
      <c r="P487" s="6" t="n">
        <v>6800</v>
      </c>
      <c r="Q487" s="6" t="n">
        <v>1.25</v>
      </c>
      <c r="R487">
        <f>M487+IF(N487&gt;1,N(O487)*(N487-1),0)</f>
        <v/>
      </c>
      <c r="S487">
        <f>IFERROR(L487*MAX(N487,1)/R487*IF(ISBLANK(K485),1,K485),0)</f>
        <v/>
      </c>
      <c r="AB487" s="7" t="inlineStr">
        <is>
          <t>^Warhead_CannonHE_Heavy</t>
        </is>
      </c>
    </row>
    <row r="488">
      <c r="A488" t="inlineStr">
        <is>
          <t>starcraft</t>
        </is>
      </c>
      <c r="B488" t="inlineStr">
        <is>
          <t>terran_pythean</t>
        </is>
      </c>
      <c r="C488" t="inlineStr">
        <is>
          <t>Pythean</t>
        </is>
      </c>
      <c r="D488" s="6" t="inlineStr">
        <is>
          <t>Spaceship</t>
        </is>
      </c>
      <c r="E488" s="6" t="n">
        <v>400000</v>
      </c>
      <c r="F488" s="6" t="n">
        <v>40</v>
      </c>
      <c r="G488" t="inlineStr">
        <is>
          <t>Spaceship</t>
        </is>
      </c>
      <c r="H488" s="6" t="n">
        <v>0.75</v>
      </c>
      <c r="I488" s="6" t="n">
        <v>1.25</v>
      </c>
      <c r="J488" s="6" t="n">
        <v>1</v>
      </c>
      <c r="K488" s="6" t="n"/>
      <c r="P488">
        <f>MAX(P489)</f>
        <v/>
      </c>
      <c r="S488">
        <f>S489</f>
        <v/>
      </c>
      <c r="T488">
        <f>(E488/100000+F488/100+(P488/1000)*J488/5+S488/200)*200*I488*H488</f>
        <v/>
      </c>
      <c r="U488">
        <f>((E488*F488/25000)+((P488/1000)*J488*S488/2.5))*I488*H488</f>
        <v/>
      </c>
      <c r="V488">
        <f>(E488*F488*(P488/1000)*J488*S488*I488*H488)/12500000</f>
        <v/>
      </c>
      <c r="W488">
        <f>(T488+U488+V488)/3</f>
        <v/>
      </c>
      <c r="X488" s="6" t="n">
        <v>5500</v>
      </c>
      <c r="Y488">
        <f>IFERROR(W488-X488,"")</f>
        <v/>
      </c>
      <c r="Z488">
        <f>IFERROR(ABS(Y488)/MAX(X488,1),"")</f>
        <v/>
      </c>
      <c r="AA488">
        <f>IFERROR((X488-(((E488/100000+F488/100+S488/200)*200*I488*H488)+((E488*F488/25000)*I488*H488))/3)/(((J488/5)*200*I488*H488)+((J488*S488/2.5)*I488*H488)+((E488*F488*J488*S488*I488*H488)/12500000))/3*1000,"")</f>
        <v/>
      </c>
    </row>
    <row r="489">
      <c r="B489" s="7" t="inlineStr">
        <is>
          <t xml:space="preserve">  ↳ JimRaynorMachineGun</t>
        </is>
      </c>
      <c r="C489" s="7" t="inlineStr">
        <is>
          <t>Armament</t>
        </is>
      </c>
      <c r="L489" s="6" t="n">
        <v>4000</v>
      </c>
      <c r="M489" s="6" t="n">
        <v>12</v>
      </c>
      <c r="N489" s="6" t="n">
        <v>5</v>
      </c>
      <c r="O489" s="6" t="n">
        <v>2</v>
      </c>
      <c r="P489" s="6" t="n">
        <v>7446</v>
      </c>
      <c r="Q489" s="6" t="n">
        <v>1.25</v>
      </c>
      <c r="R489">
        <f>M489+IF(N489&gt;1,N(O489)*(N489-1),0)</f>
        <v/>
      </c>
      <c r="S489">
        <f>IFERROR(L489*MAX(N489,1)/R489*IF(ISBLANK(K488),1,K488),0)</f>
        <v/>
      </c>
      <c r="AB489" s="7" t="inlineStr">
        <is>
          <t>^Warhead_MissileHE_Heavy, ^Warhead_CannonHE_Heavy</t>
        </is>
      </c>
    </row>
    <row r="490">
      <c r="A490" t="inlineStr">
        <is>
          <t>warcraft2</t>
        </is>
      </c>
      <c r="B490" t="inlineStr">
        <is>
          <t>wc2_orcs_dragon</t>
        </is>
      </c>
      <c r="C490" t="inlineStr">
        <is>
          <t>Dragon</t>
        </is>
      </c>
      <c r="D490" s="6" t="inlineStr">
        <is>
          <t>Spaceship</t>
        </is>
      </c>
      <c r="E490" s="6" t="n">
        <v>150000</v>
      </c>
      <c r="F490" s="6" t="n">
        <v>125</v>
      </c>
      <c r="G490" t="inlineStr">
        <is>
          <t>Spaceship</t>
        </is>
      </c>
      <c r="H490" s="6" t="n">
        <v>0.75</v>
      </c>
      <c r="I490" s="6" t="n">
        <v>1</v>
      </c>
      <c r="J490" s="6" t="n">
        <v>1.25</v>
      </c>
      <c r="K490" s="6" t="n"/>
      <c r="P490">
        <f>MAX(P491,P492)</f>
        <v/>
      </c>
      <c r="S490">
        <f>S491+S492</f>
        <v/>
      </c>
      <c r="T490">
        <f>(E490/100000+F490/100+(P490/1000)*J490/5+S490/200)*200*I490*H490</f>
        <v/>
      </c>
      <c r="U490">
        <f>((E490*F490/25000)+((P490/1000)*J490*S490/2.5))*I490*H490</f>
        <v/>
      </c>
      <c r="V490">
        <f>(E490*F490*(P490/1000)*J490*S490*I490*H490)/12500000</f>
        <v/>
      </c>
      <c r="W490">
        <f>(T490+U490+V490)/3</f>
        <v/>
      </c>
      <c r="X490" s="6" t="n">
        <v>2000</v>
      </c>
      <c r="Y490">
        <f>IFERROR(W490-X490,"")</f>
        <v/>
      </c>
      <c r="Z490">
        <f>IFERROR(ABS(Y490)/MAX(X490,1),"")</f>
        <v/>
      </c>
      <c r="AA490">
        <f>IFERROR((X490-(((E490/100000+F490/100+S490/200)*200*I490*H490)+((E490*F490/25000)*I490*H490))/3)/(((J490/5)*200*I490*H490)+((J490*S490/2.5)*I490*H490)+((E490*F490*J490*S490*I490*H490)/12500000))/3*1000,"")</f>
        <v/>
      </c>
    </row>
    <row r="491">
      <c r="B491" s="7" t="inlineStr">
        <is>
          <t xml:space="preserve">  ↳ wc2dragonFireVisible</t>
        </is>
      </c>
      <c r="C491" s="7" t="inlineStr">
        <is>
          <t>Armament@VISIBLE</t>
        </is>
      </c>
      <c r="L491" s="6" t="n">
        <v>30000</v>
      </c>
      <c r="M491" s="6" t="n">
        <v>120</v>
      </c>
      <c r="N491" s="6" t="n">
        <v>2</v>
      </c>
      <c r="O491" s="6" t="n">
        <v>0</v>
      </c>
      <c r="P491" s="6" t="n">
        <v>5010</v>
      </c>
      <c r="Q491" s="6" t="n">
        <v>1</v>
      </c>
      <c r="R491">
        <f>M491+IF(N491&gt;1,N(O491)*(N491-1),0)</f>
        <v/>
      </c>
      <c r="S491">
        <f>IFERROR(L491*MAX(N491,1)/R491*IF(ISBLANK(K490),1,K490),0)</f>
        <v/>
      </c>
      <c r="AB491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492">
      <c r="B492" s="7" t="inlineStr">
        <is>
          <t xml:space="preserve">  ↳ wc2dragonFireExplosion</t>
        </is>
      </c>
      <c r="C492" s="7" t="inlineStr">
        <is>
          <t>Armament@EXPLOSIONS</t>
        </is>
      </c>
      <c r="L492" s="6" t="n">
        <v>30000</v>
      </c>
      <c r="M492" s="6" t="n">
        <v>120</v>
      </c>
      <c r="N492" s="6" t="n">
        <v>3</v>
      </c>
      <c r="O492" s="6" t="n">
        <v>0</v>
      </c>
      <c r="P492" s="6" t="n">
        <v>5010</v>
      </c>
      <c r="Q492" s="6" t="n">
        <v>1</v>
      </c>
      <c r="R492">
        <f>M492+IF(N492&gt;1,N(O492)*(N492-1),0)</f>
        <v/>
      </c>
      <c r="S492">
        <f>IFERROR(L492*MAX(N492,1)/R492*IF(ISBLANK(K490),1,K490),0)</f>
        <v/>
      </c>
      <c r="AB492" s="7" t="inlineStr">
        <is>
          <t>wc2dragonFireVisible</t>
        </is>
      </c>
    </row>
    <row r="493">
      <c r="A493" t="inlineStr">
        <is>
          <t>warcraft2</t>
        </is>
      </c>
      <c r="B493" t="inlineStr">
        <is>
          <t>wc2_humans_gryphonrider</t>
        </is>
      </c>
      <c r="C493" t="inlineStr">
        <is>
          <t>Gryphon Rider</t>
        </is>
      </c>
      <c r="D493" s="6" t="inlineStr">
        <is>
          <t>Spaceship</t>
        </is>
      </c>
      <c r="E493" s="6" t="n">
        <v>125000</v>
      </c>
      <c r="F493" s="6" t="n">
        <v>145</v>
      </c>
      <c r="G493" t="inlineStr">
        <is>
          <t>Spaceship</t>
        </is>
      </c>
      <c r="H493" s="6" t="n">
        <v>0.75</v>
      </c>
      <c r="I493" s="6" t="n">
        <v>1</v>
      </c>
      <c r="J493" s="6" t="n">
        <v>1.25</v>
      </c>
      <c r="K493" s="6" t="n"/>
      <c r="P493">
        <f>MAX(P494)</f>
        <v/>
      </c>
      <c r="S493">
        <f>S494</f>
        <v/>
      </c>
      <c r="T493">
        <f>(E493/100000+F493/100+(P493/1000)*J493/5+S493/200)*200*I493*H493</f>
        <v/>
      </c>
      <c r="U493">
        <f>((E493*F493/25000)+((P493/1000)*J493*S493/2.5))*I493*H493</f>
        <v/>
      </c>
      <c r="V493">
        <f>(E493*F493*(P493/1000)*J493*S493*I493*H493)/12500000</f>
        <v/>
      </c>
      <c r="W493">
        <f>(T493+U493+V493)/3</f>
        <v/>
      </c>
      <c r="X493" s="6" t="n">
        <v>1500</v>
      </c>
      <c r="Y493">
        <f>IFERROR(W493-X493,"")</f>
        <v/>
      </c>
      <c r="Z493">
        <f>IFERROR(ABS(Y493)/MAX(X493,1),"")</f>
        <v/>
      </c>
      <c r="AA493">
        <f>IFERROR((X493-(((E493/100000+F493/100+S493/200)*200*I493*H493)+((E493*F493/25000)*I493*H493))/3)/(((J493/5)*200*I493*H493)+((J493*S493/2.5)*I493*H493)+((E493*F493*J493*S493*I493*H493)/12500000))/3*1000,"")</f>
        <v/>
      </c>
    </row>
    <row r="494">
      <c r="B494" s="7" t="inlineStr">
        <is>
          <t xml:space="preserve">  ↳ wc2gryphonFireVisible</t>
        </is>
      </c>
      <c r="C494" s="7" t="inlineStr">
        <is>
          <t>Armament@VISIBLE</t>
        </is>
      </c>
      <c r="L494" s="6" t="n">
        <v>40000</v>
      </c>
      <c r="M494" s="6" t="n">
        <v>100</v>
      </c>
      <c r="N494" s="6" t="n">
        <v>1</v>
      </c>
      <c r="O494" s="6" t="n"/>
      <c r="P494" s="6" t="n">
        <v>4444</v>
      </c>
      <c r="Q494" s="6" t="n">
        <v>1</v>
      </c>
      <c r="R494">
        <f>M494+IF(N494&gt;1,N(O494)*(N494-1),0)</f>
        <v/>
      </c>
      <c r="S494">
        <f>IFERROR(L494*MAX(N494,1)/R494*IF(ISBLANK(K493),1,K493),0)</f>
        <v/>
      </c>
      <c r="AB494" s="7" t="inlineStr">
        <is>
          <t>^LightMissile, ^MediumFlameWeapon, ^HeavyBomb, ^TeslaChargedWeapon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9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Defense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japan_japaneseshrine</t>
        </is>
      </c>
      <c r="C3" t="inlineStr">
        <is>
          <t>Japanese Shrine</t>
        </is>
      </c>
      <c r="D3" s="6" t="inlineStr">
        <is>
          <t>Defense</t>
        </is>
      </c>
      <c r="E3" s="6" t="n">
        <v>1000000</v>
      </c>
      <c r="F3" s="6" t="n">
        <v>100</v>
      </c>
      <c r="G3" t="inlineStr">
        <is>
          <t>Concrete</t>
        </is>
      </c>
      <c r="H3" s="6" t="n">
        <v>0.55</v>
      </c>
      <c r="I3" s="6" t="n">
        <v>1</v>
      </c>
      <c r="J3" s="6" t="n">
        <v>1</v>
      </c>
      <c r="K3" s="6" t="n"/>
      <c r="X3" s="6" t="n">
        <v>10000</v>
      </c>
    </row>
    <row r="4">
      <c r="A4" t="inlineStr">
        <is>
          <t>redalert</t>
        </is>
      </c>
      <c r="B4" t="inlineStr">
        <is>
          <t>ra1_soviets_ironcurtain</t>
        </is>
      </c>
      <c r="C4" t="inlineStr">
        <is>
          <t>Iron Curtain</t>
        </is>
      </c>
      <c r="D4" s="6" t="inlineStr">
        <is>
          <t>Defense</t>
        </is>
      </c>
      <c r="E4" s="6" t="n">
        <v>1000000</v>
      </c>
      <c r="F4" s="6" t="n">
        <v>100</v>
      </c>
      <c r="G4" t="inlineStr">
        <is>
          <t>Concrete</t>
        </is>
      </c>
      <c r="H4" s="6" t="n">
        <v>0.5593</v>
      </c>
      <c r="I4" s="6" t="n">
        <v>1</v>
      </c>
      <c r="J4" s="6" t="n">
        <v>1</v>
      </c>
      <c r="K4" s="6" t="n"/>
      <c r="X4" s="6" t="n">
        <v>5000</v>
      </c>
    </row>
    <row r="5">
      <c r="A5" t="inlineStr">
        <is>
          <t>redalert</t>
        </is>
      </c>
      <c r="B5" t="inlineStr">
        <is>
          <t>ra1_soviets_missilesilo</t>
        </is>
      </c>
      <c r="C5" t="inlineStr">
        <is>
          <t>Soviet Missile Silo</t>
        </is>
      </c>
      <c r="D5" s="6" t="inlineStr">
        <is>
          <t>Defense</t>
        </is>
      </c>
      <c r="E5" s="6" t="n">
        <v>1000000</v>
      </c>
      <c r="F5" s="6" t="n">
        <v>100</v>
      </c>
      <c r="G5" t="inlineStr">
        <is>
          <t>Concrete</t>
        </is>
      </c>
      <c r="H5" s="6" t="n">
        <v>0.5593</v>
      </c>
      <c r="I5" s="6" t="n">
        <v>1</v>
      </c>
      <c r="J5" s="6" t="n">
        <v>1</v>
      </c>
      <c r="K5" s="6" t="n"/>
      <c r="X5" s="6" t="n">
        <v>10000</v>
      </c>
    </row>
    <row r="6">
      <c r="A6" t="inlineStr">
        <is>
          <t>redalert</t>
        </is>
      </c>
      <c r="B6" t="inlineStr">
        <is>
          <t>ra1_allies_chronosphere</t>
        </is>
      </c>
      <c r="C6" t="inlineStr">
        <is>
          <t>Chronosphere</t>
        </is>
      </c>
      <c r="D6" s="6" t="inlineStr">
        <is>
          <t>Defense</t>
        </is>
      </c>
      <c r="E6" s="6" t="n">
        <v>1000000</v>
      </c>
      <c r="F6" s="6" t="n">
        <v>100</v>
      </c>
      <c r="G6" t="inlineStr">
        <is>
          <t>Concrete</t>
        </is>
      </c>
      <c r="H6" s="6" t="n">
        <v>0.5593</v>
      </c>
      <c r="I6" s="6" t="n">
        <v>1</v>
      </c>
      <c r="J6" s="6" t="n">
        <v>1</v>
      </c>
      <c r="K6" s="6" t="n"/>
      <c r="X6" s="6" t="n">
        <v>10000</v>
      </c>
    </row>
    <row r="7">
      <c r="A7" t="inlineStr">
        <is>
          <t>tiberiansun</t>
        </is>
      </c>
      <c r="B7" t="inlineStr">
        <is>
          <t>cabal_missilesilo</t>
        </is>
      </c>
      <c r="C7" t="inlineStr">
        <is>
          <t>CABAL Missile Silo</t>
        </is>
      </c>
      <c r="D7" s="6" t="inlineStr">
        <is>
          <t>Defense</t>
        </is>
      </c>
      <c r="E7" s="6" t="n"/>
      <c r="F7" s="6" t="n">
        <v>100</v>
      </c>
      <c r="H7" s="6" t="n">
        <v>0.422</v>
      </c>
      <c r="I7" s="6" t="n">
        <v>1</v>
      </c>
      <c r="J7" s="6" t="n">
        <v>1</v>
      </c>
      <c r="K7" s="6" t="n"/>
      <c r="X7" s="6" t="n">
        <v>5000</v>
      </c>
    </row>
    <row r="8">
      <c r="A8" t="inlineStr">
        <is>
          <t>tiberiansun</t>
        </is>
      </c>
      <c r="B8" t="inlineStr">
        <is>
          <t>cabal_silo</t>
        </is>
      </c>
      <c r="C8" t="inlineStr">
        <is>
          <t>Silo</t>
        </is>
      </c>
      <c r="D8" s="6" t="inlineStr">
        <is>
          <t>Defense</t>
        </is>
      </c>
      <c r="E8" s="6" t="n">
        <v>100000</v>
      </c>
      <c r="F8" s="6" t="n">
        <v>100</v>
      </c>
      <c r="G8" t="inlineStr">
        <is>
          <t>Wood</t>
        </is>
      </c>
      <c r="H8" s="6" t="n">
        <v>1</v>
      </c>
      <c r="I8" s="6" t="n">
        <v>1</v>
      </c>
      <c r="J8" s="6" t="n">
        <v>1</v>
      </c>
      <c r="K8" s="6" t="n"/>
      <c r="X8" s="6" t="n">
        <v>150</v>
      </c>
    </row>
    <row r="9">
      <c r="A9" t="inlineStr">
        <is>
          <t>tiberiansun</t>
        </is>
      </c>
      <c r="B9" t="inlineStr">
        <is>
          <t>cabal_stealthgenerator</t>
        </is>
      </c>
      <c r="C9" t="inlineStr">
        <is>
          <t>Stealth Generator</t>
        </is>
      </c>
      <c r="D9" s="6" t="inlineStr">
        <is>
          <t>Defense</t>
        </is>
      </c>
      <c r="E9" s="6" t="n">
        <v>100000</v>
      </c>
      <c r="F9" s="6" t="n">
        <v>100</v>
      </c>
      <c r="G9" t="inlineStr">
        <is>
          <t>Concrete</t>
        </is>
      </c>
      <c r="H9" s="6" t="n">
        <v>0.8639</v>
      </c>
      <c r="I9" s="6" t="n">
        <v>1</v>
      </c>
      <c r="J9" s="6" t="n">
        <v>1</v>
      </c>
      <c r="K9" s="6" t="n"/>
      <c r="X9" s="6" t="n">
        <v>2500</v>
      </c>
    </row>
    <row r="10">
      <c r="A10" t="inlineStr">
        <is>
          <t>tiberiansun</t>
        </is>
      </c>
      <c r="B10" t="inlineStr">
        <is>
          <t>ts_nod_laserfence</t>
        </is>
      </c>
      <c r="C10" t="inlineStr">
        <is>
          <t>Laser Fence</t>
        </is>
      </c>
      <c r="D10" s="6" t="inlineStr">
        <is>
          <t>Defense</t>
        </is>
      </c>
      <c r="E10" s="6" t="n">
        <v>30000</v>
      </c>
      <c r="F10" s="6" t="n">
        <v>100</v>
      </c>
      <c r="G10" t="inlineStr">
        <is>
          <t>Concrete</t>
        </is>
      </c>
      <c r="H10" s="6" t="n">
        <v>1</v>
      </c>
      <c r="I10" s="6" t="n">
        <v>1</v>
      </c>
      <c r="J10" s="6" t="n">
        <v>1</v>
      </c>
      <c r="K10" s="6" t="n"/>
      <c r="X10" s="6" t="n">
        <v>200</v>
      </c>
    </row>
    <row r="11">
      <c r="A11" t="inlineStr">
        <is>
          <t>tiberiansun</t>
        </is>
      </c>
      <c r="B11" t="inlineStr">
        <is>
          <t>ts_nod_missilesilo</t>
        </is>
      </c>
      <c r="C11" t="inlineStr">
        <is>
          <t>Missile Silo</t>
        </is>
      </c>
      <c r="D11" s="6" t="inlineStr">
        <is>
          <t>Defense</t>
        </is>
      </c>
      <c r="E11" s="6" t="n">
        <v>1000000</v>
      </c>
      <c r="F11" s="6" t="n">
        <v>100</v>
      </c>
      <c r="G11" t="inlineStr">
        <is>
          <t>Wood</t>
        </is>
      </c>
      <c r="H11" s="6" t="n">
        <v>0.7604</v>
      </c>
      <c r="I11" s="6" t="n">
        <v>1</v>
      </c>
      <c r="J11" s="6" t="n">
        <v>1</v>
      </c>
      <c r="K11" s="6" t="n"/>
      <c r="X11" s="6" t="n">
        <v>10000</v>
      </c>
    </row>
    <row r="12">
      <c r="B12" s="7" t="inlineStr">
        <is>
          <t xml:space="preserve">  ↳ TSTacticalMissile</t>
        </is>
      </c>
      <c r="C12" s="7" t="inlineStr">
        <is>
          <t>Armament@superweapon1</t>
        </is>
      </c>
      <c r="L12" s="6" t="n"/>
      <c r="M12" s="6" t="n">
        <v>50</v>
      </c>
      <c r="N12" s="6" t="n">
        <v>1</v>
      </c>
      <c r="O12" s="6" t="n"/>
      <c r="P12" s="6" t="n">
        <v>10238976</v>
      </c>
      <c r="Q12" s="6" t="n">
        <v>1</v>
      </c>
      <c r="R12">
        <f>M12+IF(N12&gt;1,N(O12)*(N12-1),0)</f>
        <v/>
      </c>
      <c r="S12">
        <f>IFERROR(L12*MAX(N12,1)/R12*IF(ISBLANK(K11),1,K11),0)</f>
        <v/>
      </c>
      <c r="AB12" s="7" t="inlineStr">
        <is>
          <t>^TSDefaultMissile</t>
        </is>
      </c>
    </row>
    <row r="13">
      <c r="B13" s="7" t="inlineStr">
        <is>
          <t xml:space="preserve">  ↳ TSTacticalChemMissile</t>
        </is>
      </c>
      <c r="C13" s="7" t="inlineStr">
        <is>
          <t>Armament@superweapon2</t>
        </is>
      </c>
      <c r="L13" s="6" t="n"/>
      <c r="M13" s="6" t="n">
        <v>50</v>
      </c>
      <c r="N13" s="6" t="n">
        <v>1</v>
      </c>
      <c r="O13" s="6" t="n"/>
      <c r="P13" s="6" t="n">
        <v>10238976</v>
      </c>
      <c r="Q13" s="6" t="n">
        <v>1</v>
      </c>
      <c r="R13">
        <f>M13+IF(N13&gt;1,N(O13)*(N13-1),0)</f>
        <v/>
      </c>
      <c r="S13">
        <f>IFERROR(L13*MAX(N13,1)/R13*IF(ISBLANK(K11),1,K11),0)</f>
        <v/>
      </c>
      <c r="AB13" s="7" t="inlineStr">
        <is>
          <t>TSTacticalMissile</t>
        </is>
      </c>
    </row>
    <row r="14">
      <c r="A14" t="inlineStr">
        <is>
          <t>tiberiansun</t>
        </is>
      </c>
      <c r="B14" t="inlineStr">
        <is>
          <t>ts_nod_silo</t>
        </is>
      </c>
      <c r="C14" t="inlineStr">
        <is>
          <t>Silo</t>
        </is>
      </c>
      <c r="D14" s="6" t="inlineStr">
        <is>
          <t>Defense</t>
        </is>
      </c>
      <c r="E14" s="6" t="n">
        <v>100000</v>
      </c>
      <c r="F14" s="6" t="n">
        <v>100</v>
      </c>
      <c r="G14" t="inlineStr">
        <is>
          <t>Wood</t>
        </is>
      </c>
      <c r="H14" s="6" t="n">
        <v>1</v>
      </c>
      <c r="I14" s="6" t="n">
        <v>1</v>
      </c>
      <c r="J14" s="6" t="n">
        <v>1</v>
      </c>
      <c r="K14" s="6" t="n"/>
      <c r="X14" s="6" t="n">
        <v>150</v>
      </c>
    </row>
    <row r="15">
      <c r="A15" t="inlineStr">
        <is>
          <t>tiberiansun</t>
        </is>
      </c>
      <c r="B15" t="inlineStr">
        <is>
          <t>ts_nod_stealthgenerator</t>
        </is>
      </c>
      <c r="C15" t="inlineStr">
        <is>
          <t>Stealth Generator</t>
        </is>
      </c>
      <c r="D15" s="6" t="inlineStr">
        <is>
          <t>Defense</t>
        </is>
      </c>
      <c r="E15" s="6" t="n">
        <v>100000</v>
      </c>
      <c r="F15" s="6" t="n">
        <v>100</v>
      </c>
      <c r="G15" t="inlineStr">
        <is>
          <t>Concrete</t>
        </is>
      </c>
      <c r="H15" s="6" t="n">
        <v>0.7604</v>
      </c>
      <c r="I15" s="6" t="n">
        <v>1</v>
      </c>
      <c r="J15" s="6" t="n">
        <v>1</v>
      </c>
      <c r="K15" s="6" t="n"/>
      <c r="X15" s="6" t="n">
        <v>2500</v>
      </c>
    </row>
    <row r="16">
      <c r="A16" t="inlineStr">
        <is>
          <t>tiberiansun</t>
        </is>
      </c>
      <c r="B16" t="inlineStr">
        <is>
          <t>forgotten_silo</t>
        </is>
      </c>
      <c r="C16" t="inlineStr">
        <is>
          <t>actor_forgotten_silo.name</t>
        </is>
      </c>
      <c r="D16" s="6" t="inlineStr">
        <is>
          <t>Defense</t>
        </is>
      </c>
      <c r="E16" s="6" t="n">
        <v>200000</v>
      </c>
      <c r="F16" s="6" t="n">
        <v>100</v>
      </c>
      <c r="G16" t="inlineStr">
        <is>
          <t>Wood</t>
        </is>
      </c>
      <c r="H16" s="6" t="n">
        <v>1</v>
      </c>
      <c r="I16" s="6" t="n">
        <v>1</v>
      </c>
      <c r="J16" s="6" t="n">
        <v>1</v>
      </c>
      <c r="K16" s="6" t="n"/>
      <c r="X16" s="6" t="n">
        <v>300</v>
      </c>
    </row>
    <row r="17">
      <c r="A17" t="inlineStr">
        <is>
          <t>tiberiansun</t>
        </is>
      </c>
      <c r="B17" t="inlineStr">
        <is>
          <t>forgotten_veinhole</t>
        </is>
      </c>
      <c r="C17" t="inlineStr">
        <is>
          <t>actor_forgotten_veinhole.name</t>
        </is>
      </c>
      <c r="D17" s="6" t="inlineStr">
        <is>
          <t>Defense</t>
        </is>
      </c>
      <c r="E17" s="6" t="n">
        <v>1000000</v>
      </c>
      <c r="F17" s="6" t="n">
        <v>100</v>
      </c>
      <c r="G17" t="inlineStr">
        <is>
          <t>Wood</t>
        </is>
      </c>
      <c r="H17" s="6" t="n">
        <v>0.8824</v>
      </c>
      <c r="I17" s="6" t="n">
        <v>1</v>
      </c>
      <c r="J17" s="6" t="n">
        <v>1</v>
      </c>
      <c r="K17" s="6" t="n"/>
      <c r="X17" s="6" t="n">
        <v>10000</v>
      </c>
    </row>
    <row r="18">
      <c r="A18" t="inlineStr">
        <is>
          <t>redalert2</t>
        </is>
      </c>
      <c r="B18" t="inlineStr">
        <is>
          <t>ra2_allies_chronosphere</t>
        </is>
      </c>
      <c r="C18" t="inlineStr">
        <is>
          <t>Chronosphere</t>
        </is>
      </c>
      <c r="D18" s="6" t="inlineStr">
        <is>
          <t>Defense</t>
        </is>
      </c>
      <c r="E18" s="6" t="n">
        <v>1000000</v>
      </c>
      <c r="F18" s="6" t="n">
        <v>100</v>
      </c>
      <c r="G18" t="inlineStr">
        <is>
          <t>Concrete</t>
        </is>
      </c>
      <c r="H18" s="6" t="n">
        <v>0.5669999999999999</v>
      </c>
      <c r="I18" s="6" t="n">
        <v>1</v>
      </c>
      <c r="J18" s="6" t="n">
        <v>1</v>
      </c>
      <c r="K18" s="6" t="n"/>
      <c r="X18" s="6" t="n">
        <v>5000</v>
      </c>
    </row>
    <row r="19">
      <c r="A19" t="inlineStr">
        <is>
          <t>redalert2</t>
        </is>
      </c>
      <c r="B19" t="inlineStr">
        <is>
          <t>ra2_allies_concretebarrier</t>
        </is>
      </c>
      <c r="C19" t="inlineStr">
        <is>
          <t>Concrete Barrier</t>
        </is>
      </c>
      <c r="D19" s="6" t="inlineStr">
        <is>
          <t>Defense</t>
        </is>
      </c>
      <c r="E19" s="6" t="n">
        <v>100000</v>
      </c>
      <c r="F19" s="6" t="n">
        <v>100</v>
      </c>
      <c r="G19" t="inlineStr">
        <is>
          <t>Concrete</t>
        </is>
      </c>
      <c r="H19" s="6" t="n">
        <v>1</v>
      </c>
      <c r="I19" s="6" t="n">
        <v>1</v>
      </c>
      <c r="J19" s="6" t="n">
        <v>1</v>
      </c>
      <c r="K19" s="6" t="n"/>
      <c r="X19" s="6" t="n">
        <v>200</v>
      </c>
    </row>
    <row r="20">
      <c r="A20" t="inlineStr">
        <is>
          <t>redalert2</t>
        </is>
      </c>
      <c r="B20" t="inlineStr">
        <is>
          <t>ra2_allies_weathercontrolcenter</t>
        </is>
      </c>
      <c r="C20" t="inlineStr">
        <is>
          <t>Weather Control Center</t>
        </is>
      </c>
      <c r="D20" s="6" t="inlineStr">
        <is>
          <t>Defense</t>
        </is>
      </c>
      <c r="E20" s="6" t="n">
        <v>1000000</v>
      </c>
      <c r="F20" s="6" t="n">
        <v>100</v>
      </c>
      <c r="G20" t="inlineStr">
        <is>
          <t>Concrete</t>
        </is>
      </c>
      <c r="H20" s="6" t="n">
        <v>0.5669999999999999</v>
      </c>
      <c r="I20" s="6" t="n">
        <v>1</v>
      </c>
      <c r="J20" s="6" t="n">
        <v>1</v>
      </c>
      <c r="K20" s="6" t="n"/>
      <c r="X20" s="6" t="n">
        <v>10000</v>
      </c>
    </row>
    <row r="21">
      <c r="A21" t="inlineStr">
        <is>
          <t>redalert2</t>
        </is>
      </c>
      <c r="B21" t="inlineStr">
        <is>
          <t>ra2_soviets_concretebarrier</t>
        </is>
      </c>
      <c r="C21" t="inlineStr">
        <is>
          <t>Concrete Barrier</t>
        </is>
      </c>
      <c r="D21" s="6" t="inlineStr">
        <is>
          <t>Defense</t>
        </is>
      </c>
      <c r="E21" s="6" t="n">
        <v>100000</v>
      </c>
      <c r="F21" s="6" t="n">
        <v>100</v>
      </c>
      <c r="G21" t="inlineStr">
        <is>
          <t>Concrete</t>
        </is>
      </c>
      <c r="H21" s="6" t="n">
        <v>1</v>
      </c>
      <c r="I21" s="6" t="n">
        <v>1</v>
      </c>
      <c r="J21" s="6" t="n">
        <v>1</v>
      </c>
      <c r="K21" s="6" t="n"/>
      <c r="X21" s="6" t="n">
        <v>200</v>
      </c>
    </row>
    <row r="22">
      <c r="A22" t="inlineStr">
        <is>
          <t>redalert2</t>
        </is>
      </c>
      <c r="B22" t="inlineStr">
        <is>
          <t>ra2_soviets_ironcurtain</t>
        </is>
      </c>
      <c r="C22" t="inlineStr">
        <is>
          <t>Iron Curtain</t>
        </is>
      </c>
      <c r="D22" s="6" t="inlineStr">
        <is>
          <t>Defense</t>
        </is>
      </c>
      <c r="E22" s="6" t="n">
        <v>1000000</v>
      </c>
      <c r="F22" s="6" t="n">
        <v>100</v>
      </c>
      <c r="G22" t="inlineStr">
        <is>
          <t>Concrete</t>
        </is>
      </c>
      <c r="H22" s="6" t="n">
        <v>0.5957</v>
      </c>
      <c r="I22" s="6" t="n">
        <v>1</v>
      </c>
      <c r="J22" s="6" t="n">
        <v>1</v>
      </c>
      <c r="K22" s="6" t="n"/>
      <c r="X22" s="6" t="n">
        <v>5000</v>
      </c>
    </row>
    <row r="23">
      <c r="A23" t="inlineStr">
        <is>
          <t>redalert2</t>
        </is>
      </c>
      <c r="B23" t="inlineStr">
        <is>
          <t>ra2_soviets_nuclearmissilesilo</t>
        </is>
      </c>
      <c r="C23" t="inlineStr">
        <is>
          <t>Nuclear Missile Silo</t>
        </is>
      </c>
      <c r="D23" s="6" t="inlineStr">
        <is>
          <t>Defense</t>
        </is>
      </c>
      <c r="E23" s="6" t="n">
        <v>1000000</v>
      </c>
      <c r="F23" s="6" t="n">
        <v>100</v>
      </c>
      <c r="G23" t="inlineStr">
        <is>
          <t>Concrete</t>
        </is>
      </c>
      <c r="H23" s="6" t="n">
        <v>0.5957</v>
      </c>
      <c r="I23" s="6" t="n">
        <v>1</v>
      </c>
      <c r="J23" s="6" t="n">
        <v>1</v>
      </c>
      <c r="K23" s="6" t="n"/>
      <c r="X23" s="6" t="n">
        <v>10000</v>
      </c>
    </row>
    <row r="24">
      <c r="A24" t="inlineStr">
        <is>
          <t>redalert2</t>
        </is>
      </c>
      <c r="B24" t="inlineStr">
        <is>
          <t>yuri_concretebarrier</t>
        </is>
      </c>
      <c r="C24" t="inlineStr">
        <is>
          <t>Concrete Barrier</t>
        </is>
      </c>
      <c r="D24" s="6" t="inlineStr">
        <is>
          <t>Defense</t>
        </is>
      </c>
      <c r="E24" s="6" t="n">
        <v>100000</v>
      </c>
      <c r="F24" s="6" t="n">
        <v>100</v>
      </c>
      <c r="G24" t="inlineStr">
        <is>
          <t>Concrete</t>
        </is>
      </c>
      <c r="H24" s="6" t="n">
        <v>1</v>
      </c>
      <c r="I24" s="6" t="n">
        <v>1</v>
      </c>
      <c r="J24" s="6" t="n">
        <v>1</v>
      </c>
      <c r="K24" s="6" t="n"/>
      <c r="X24" s="6" t="n">
        <v>200</v>
      </c>
    </row>
    <row r="25">
      <c r="A25" t="inlineStr">
        <is>
          <t>redalert2</t>
        </is>
      </c>
      <c r="B25" t="inlineStr">
        <is>
          <t>yuri_geneticmutator</t>
        </is>
      </c>
      <c r="C25" t="inlineStr">
        <is>
          <t>Genetic Mutator</t>
        </is>
      </c>
      <c r="D25" s="6" t="inlineStr">
        <is>
          <t>Defense</t>
        </is>
      </c>
      <c r="E25" s="6" t="n">
        <v>1000000</v>
      </c>
      <c r="F25" s="6" t="n">
        <v>100</v>
      </c>
      <c r="G25" t="inlineStr">
        <is>
          <t>Concrete</t>
        </is>
      </c>
      <c r="H25" s="6" t="n">
        <v>0.5749</v>
      </c>
      <c r="I25" s="6" t="n">
        <v>1</v>
      </c>
      <c r="J25" s="6" t="n">
        <v>1</v>
      </c>
      <c r="K25" s="6" t="n"/>
      <c r="X25" s="6" t="n">
        <v>5000</v>
      </c>
    </row>
    <row r="26">
      <c r="A26" t="inlineStr">
        <is>
          <t>redalert2</t>
        </is>
      </c>
      <c r="B26" t="inlineStr">
        <is>
          <t>yuri_psychicdominator</t>
        </is>
      </c>
      <c r="C26" t="inlineStr">
        <is>
          <t>Psychic Dominator</t>
        </is>
      </c>
      <c r="D26" s="6" t="inlineStr">
        <is>
          <t>Defense</t>
        </is>
      </c>
      <c r="E26" s="6" t="n">
        <v>1000000</v>
      </c>
      <c r="F26" s="6" t="n">
        <v>100</v>
      </c>
      <c r="G26" t="inlineStr">
        <is>
          <t>Concrete</t>
        </is>
      </c>
      <c r="H26" s="6" t="n">
        <v>0.5749</v>
      </c>
      <c r="I26" s="6" t="n">
        <v>1</v>
      </c>
      <c r="J26" s="6" t="n">
        <v>1</v>
      </c>
      <c r="K26" s="6" t="n"/>
      <c r="X26" s="6" t="n">
        <v>10000</v>
      </c>
    </row>
    <row r="27">
      <c r="A27" t="inlineStr">
        <is>
          <t>starcraft</t>
        </is>
      </c>
      <c r="B27" t="inlineStr">
        <is>
          <t>terran_missilesilo</t>
        </is>
      </c>
      <c r="C27" t="inlineStr">
        <is>
          <t>Terran Missile Silo</t>
        </is>
      </c>
      <c r="D27" s="6" t="inlineStr">
        <is>
          <t>Defense</t>
        </is>
      </c>
      <c r="E27" s="6" t="n">
        <v>1000000</v>
      </c>
      <c r="F27" s="6" t="n">
        <v>100</v>
      </c>
      <c r="G27" t="inlineStr">
        <is>
          <t>Concrete</t>
        </is>
      </c>
      <c r="H27" s="6" t="n">
        <v>0.6226</v>
      </c>
      <c r="I27" s="6" t="n">
        <v>1</v>
      </c>
      <c r="J27" s="6" t="n">
        <v>1</v>
      </c>
      <c r="K27" s="6" t="n"/>
      <c r="X27" s="6" t="n">
        <v>10000</v>
      </c>
    </row>
    <row r="28">
      <c r="A28" t="inlineStr">
        <is>
          <t>warcraft2</t>
        </is>
      </c>
      <c r="B28" t="inlineStr">
        <is>
          <t>wc2_orcs_wall</t>
        </is>
      </c>
      <c r="C28" t="inlineStr">
        <is>
          <t>Wall</t>
        </is>
      </c>
      <c r="D28" s="6" t="inlineStr">
        <is>
          <t>Defense</t>
        </is>
      </c>
      <c r="E28" s="6" t="n">
        <v>25000</v>
      </c>
      <c r="F28" s="6" t="n">
        <v>100</v>
      </c>
      <c r="G28" t="inlineStr">
        <is>
          <t>Heavy</t>
        </is>
      </c>
      <c r="H28" s="6" t="n">
        <v>1</v>
      </c>
      <c r="I28" s="6" t="n">
        <v>1</v>
      </c>
      <c r="J28" s="6" t="n">
        <v>1</v>
      </c>
      <c r="K28" s="6" t="n"/>
      <c r="X28" s="6" t="n">
        <v>300</v>
      </c>
    </row>
    <row r="29">
      <c r="A29" t="inlineStr">
        <is>
          <t>warcraft2</t>
        </is>
      </c>
      <c r="B29" t="inlineStr">
        <is>
          <t>wc2_humans_wall</t>
        </is>
      </c>
      <c r="C29" t="inlineStr">
        <is>
          <t>Wall</t>
        </is>
      </c>
      <c r="D29" s="6" t="inlineStr">
        <is>
          <t>Defense</t>
        </is>
      </c>
      <c r="E29" s="6" t="n">
        <v>25000</v>
      </c>
      <c r="F29" s="6" t="n">
        <v>100</v>
      </c>
      <c r="G29" t="inlineStr">
        <is>
          <t>Heavy</t>
        </is>
      </c>
      <c r="H29" s="6" t="n">
        <v>1</v>
      </c>
      <c r="I29" s="6" t="n">
        <v>1</v>
      </c>
      <c r="J29" s="6" t="n">
        <v>1</v>
      </c>
      <c r="K29" s="6" t="n"/>
      <c r="X29" s="6" t="n">
        <v>300</v>
      </c>
    </row>
    <row r="30">
      <c r="A30" s="4" t="inlineStr">
        <is>
          <t>BasicDefense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</row>
    <row r="31">
      <c r="A31" t="inlineStr">
        <is>
          <t>tiberiandawn</t>
        </is>
      </c>
      <c r="B31" t="inlineStr">
        <is>
          <t>td_gdi_guardtower</t>
        </is>
      </c>
      <c r="C31" t="inlineStr">
        <is>
          <t>GDI Guard Tower</t>
        </is>
      </c>
      <c r="D31" s="6" t="inlineStr">
        <is>
          <t>BasicDefense</t>
        </is>
      </c>
      <c r="E31" s="6" t="n">
        <v>60000</v>
      </c>
      <c r="F31" s="6" t="n"/>
      <c r="G31" t="inlineStr">
        <is>
          <t>Concrete</t>
        </is>
      </c>
      <c r="H31" s="6" t="n">
        <v>1</v>
      </c>
      <c r="I31" s="6" t="n">
        <v>1</v>
      </c>
      <c r="J31" s="6" t="n">
        <v>1</v>
      </c>
      <c r="K31" s="6" t="n"/>
      <c r="X31" s="6" t="n">
        <v>500</v>
      </c>
    </row>
    <row r="32">
      <c r="B32" s="7" t="inlineStr">
        <is>
          <t xml:space="preserve">  ↳ HighV</t>
        </is>
      </c>
      <c r="C32" s="7" t="inlineStr">
        <is>
          <t>Armament</t>
        </is>
      </c>
      <c r="L32" s="6" t="n">
        <v>2000</v>
      </c>
      <c r="M32" s="6" t="n">
        <v>22</v>
      </c>
      <c r="N32" s="6" t="n">
        <v>4</v>
      </c>
      <c r="O32" s="6" t="n">
        <v>2</v>
      </c>
      <c r="P32" s="6" t="n">
        <v>6720</v>
      </c>
      <c r="Q32" s="6" t="n">
        <v>1</v>
      </c>
      <c r="R32">
        <f>M32+IF(N32&gt;1,N(O32)*(N32-1),0)</f>
        <v/>
      </c>
      <c r="S32">
        <f>IFERROR(L32*MAX(N32,1)/R32*IF(ISBLANK(K31),1,K31),0)</f>
        <v/>
      </c>
      <c r="AB32" s="7" t="inlineStr">
        <is>
          <t>^Warhead_Bullet_Medium</t>
        </is>
      </c>
    </row>
    <row r="33">
      <c r="B33" s="7" t="inlineStr">
        <is>
          <t xml:space="preserve">  ↳ HighVAP</t>
        </is>
      </c>
      <c r="C33" s="7" t="inlineStr">
        <is>
          <t>Armament@Upgrade</t>
        </is>
      </c>
      <c r="L33" s="6" t="n">
        <v>4000</v>
      </c>
      <c r="M33" s="6" t="n">
        <v>22</v>
      </c>
      <c r="N33" s="6" t="n">
        <v>4</v>
      </c>
      <c r="O33" s="6" t="n">
        <v>2</v>
      </c>
      <c r="P33" s="6" t="n">
        <v>6720</v>
      </c>
      <c r="Q33" s="6" t="n">
        <v>1</v>
      </c>
      <c r="R33">
        <f>M33+IF(N33&gt;1,N(O33)*(N33-1),0)</f>
        <v/>
      </c>
      <c r="S33">
        <f>IFERROR(L33*MAX(N33,1)/R33*IF(ISBLANK(K31),1,K31),0)</f>
        <v/>
      </c>
      <c r="AB33" s="7" t="inlineStr">
        <is>
          <t>^Warhead_Bullet_Medium</t>
        </is>
      </c>
    </row>
    <row r="34">
      <c r="A34" t="inlineStr">
        <is>
          <t>tiberiandawn</t>
        </is>
      </c>
      <c r="B34" t="inlineStr">
        <is>
          <t>td_nod_gunturret</t>
        </is>
      </c>
      <c r="C34" t="inlineStr">
        <is>
          <t>Nod Gun Turret</t>
        </is>
      </c>
      <c r="D34" s="6" t="inlineStr">
        <is>
          <t>BasicDefense</t>
        </is>
      </c>
      <c r="E34" s="6" t="n">
        <v>150000</v>
      </c>
      <c r="F34" s="6" t="n"/>
      <c r="G34" t="inlineStr">
        <is>
          <t>Concrete</t>
        </is>
      </c>
      <c r="H34" s="6" t="n">
        <v>1</v>
      </c>
      <c r="I34" s="6" t="n">
        <v>0.35</v>
      </c>
      <c r="J34" s="6" t="n">
        <v>1</v>
      </c>
      <c r="K34" s="6" t="n"/>
      <c r="X34" s="6" t="n">
        <v>700</v>
      </c>
    </row>
    <row r="35">
      <c r="B35" s="7" t="inlineStr">
        <is>
          <t xml:space="preserve">  ↳ TurretGun</t>
        </is>
      </c>
      <c r="C35" s="7" t="inlineStr">
        <is>
          <t>Armament</t>
        </is>
      </c>
      <c r="L35" s="6" t="n">
        <v>19000</v>
      </c>
      <c r="M35" s="6" t="n">
        <v>61</v>
      </c>
      <c r="N35" s="6" t="n">
        <v>1</v>
      </c>
      <c r="O35" s="6" t="n"/>
      <c r="P35" s="6" t="n">
        <v>7711</v>
      </c>
      <c r="Q35" s="6" t="n">
        <v>1</v>
      </c>
      <c r="R35">
        <f>M35+IF(N35&gt;1,N(O35)*(N35-1),0)</f>
        <v/>
      </c>
      <c r="S35">
        <f>IFERROR(L35*MAX(N35,1)/R35*IF(ISBLANK(K34),1,K34),0)</f>
        <v/>
      </c>
      <c r="AB35" s="7" t="inlineStr">
        <is>
          <t>^ShrapnelWeapon, ^Grenade, ^MediumCannon, ^TankDestroyerCannon</t>
        </is>
      </c>
    </row>
    <row r="36">
      <c r="B36" s="7" t="inlineStr">
        <is>
          <t xml:space="preserve">  ↳ TurretGunBlackMarket</t>
        </is>
      </c>
      <c r="C36" s="7" t="inlineStr">
        <is>
          <t>Armament@Upgrade</t>
        </is>
      </c>
      <c r="L36" s="6" t="n">
        <v>31000</v>
      </c>
      <c r="M36" s="6" t="n">
        <v>61</v>
      </c>
      <c r="N36" s="6" t="n">
        <v>1</v>
      </c>
      <c r="O36" s="6" t="n"/>
      <c r="P36" s="6" t="n">
        <v>7711</v>
      </c>
      <c r="Q36" s="6" t="n">
        <v>1</v>
      </c>
      <c r="R36">
        <f>M36+IF(N36&gt;1,N(O36)*(N36-1),0)</f>
        <v/>
      </c>
      <c r="S36">
        <f>IFERROR(L36*MAX(N36,1)/R36*IF(ISBLANK(K34),1,K34),0)</f>
        <v/>
      </c>
      <c r="AB36" s="7" t="inlineStr">
        <is>
          <t>^HeavyBomb, ^HeavyCannon, TurretGun</t>
        </is>
      </c>
    </row>
    <row r="37">
      <c r="A37" t="inlineStr">
        <is>
          <t>tiberiandawn</t>
        </is>
      </c>
      <c r="B37" t="inlineStr">
        <is>
          <t>td_nod_laserturret</t>
        </is>
      </c>
      <c r="C37" t="inlineStr">
        <is>
          <t>Nod Laser Turret</t>
        </is>
      </c>
      <c r="D37" s="6" t="inlineStr">
        <is>
          <t>BasicDefense</t>
        </is>
      </c>
      <c r="E37" s="6" t="n">
        <v>72500</v>
      </c>
      <c r="F37" s="6" t="n"/>
      <c r="G37" t="inlineStr">
        <is>
          <t>Concrete</t>
        </is>
      </c>
      <c r="H37" s="6" t="n">
        <v>1</v>
      </c>
      <c r="I37" s="6" t="n">
        <v>0.35</v>
      </c>
      <c r="J37" s="6" t="n">
        <v>1</v>
      </c>
      <c r="K37" s="6" t="n"/>
      <c r="X37" s="6" t="n">
        <v>1000</v>
      </c>
    </row>
    <row r="38">
      <c r="B38" s="7" t="inlineStr">
        <is>
          <t xml:space="preserve">  ↳ NodTurretLaser</t>
        </is>
      </c>
      <c r="C38" s="7" t="inlineStr">
        <is>
          <t>Armament@Base</t>
        </is>
      </c>
      <c r="L38" s="6" t="n">
        <v>12000</v>
      </c>
      <c r="M38" s="6" t="n">
        <v>20</v>
      </c>
      <c r="N38" s="6" t="n">
        <v>2</v>
      </c>
      <c r="O38" s="6" t="n">
        <v>4</v>
      </c>
      <c r="P38" s="6" t="n">
        <v>6800</v>
      </c>
      <c r="Q38" s="6" t="n">
        <v>1</v>
      </c>
      <c r="R38">
        <f>M38+IF(N38&gt;1,N(O38)*(N38-1),0)</f>
        <v/>
      </c>
      <c r="S38">
        <f>IFERROR(L38*MAX(N38,1)/R38*IF(ISBLANK(K37),1,K37),0)</f>
        <v/>
      </c>
      <c r="AB38" s="7" t="inlineStr">
        <is>
          <t>^Warhead_Laser_Medium</t>
        </is>
      </c>
    </row>
    <row r="39">
      <c r="B39" s="7" t="inlineStr">
        <is>
          <t xml:space="preserve">  ↳ NodTurretLaserInferno</t>
        </is>
      </c>
      <c r="C39" s="7" t="inlineStr">
        <is>
          <t>Armament@Elite</t>
        </is>
      </c>
      <c r="L39" s="6" t="n">
        <v>12000</v>
      </c>
      <c r="M39" s="6" t="n">
        <v>20</v>
      </c>
      <c r="N39" s="6" t="n">
        <v>2</v>
      </c>
      <c r="O39" s="6" t="n">
        <v>4</v>
      </c>
      <c r="P39" s="6" t="n">
        <v>6800</v>
      </c>
      <c r="Q39" s="6" t="n">
        <v>1</v>
      </c>
      <c r="R39">
        <f>M39+IF(N39&gt;1,N(O39)*(N39-1),0)</f>
        <v/>
      </c>
      <c r="S39">
        <f>IFERROR(L39*MAX(N39,1)/R39*IF(ISBLANK(K37),1,K37),0)</f>
        <v/>
      </c>
      <c r="AB39" s="7" t="inlineStr">
        <is>
          <t>^Warhead_Inferno_Medium</t>
        </is>
      </c>
    </row>
    <row r="40">
      <c r="B40" s="7" t="inlineStr">
        <is>
          <t xml:space="preserve">  ↳ NodTurretLaserBurning</t>
        </is>
      </c>
      <c r="C40" s="7" t="inlineStr">
        <is>
          <t>Armament@Burning</t>
        </is>
      </c>
      <c r="L40" s="6" t="n">
        <v>12000</v>
      </c>
      <c r="M40" s="6" t="n">
        <v>20</v>
      </c>
      <c r="N40" s="6" t="n">
        <v>10</v>
      </c>
      <c r="O40" s="6" t="n">
        <v>1</v>
      </c>
      <c r="P40" s="6" t="n">
        <v>6800</v>
      </c>
      <c r="Q40" s="6" t="n">
        <v>1</v>
      </c>
      <c r="R40">
        <f>M40+IF(N40&gt;1,N(O40)*(N40-1),0)</f>
        <v/>
      </c>
      <c r="S40">
        <f>IFERROR(L40*MAX(N40,1)/R40*IF(ISBLANK(K37),1,K37),0)</f>
        <v/>
      </c>
      <c r="AB40" s="7" t="inlineStr">
        <is>
          <t>^Warhead_Inferno_Medium</t>
        </is>
      </c>
    </row>
    <row r="41">
      <c r="A41" t="inlineStr">
        <is>
          <t>redalert</t>
        </is>
      </c>
      <c r="B41" t="inlineStr">
        <is>
          <t>japan_japanesemgnest</t>
        </is>
      </c>
      <c r="C41" t="inlineStr">
        <is>
          <t>Japanese MG Nest</t>
        </is>
      </c>
      <c r="D41" s="6" t="inlineStr">
        <is>
          <t>BasicDefense</t>
        </is>
      </c>
      <c r="E41" s="6" t="n">
        <v>110000</v>
      </c>
      <c r="F41" s="6" t="n">
        <v>100</v>
      </c>
      <c r="G41" t="inlineStr">
        <is>
          <t>Concrete</t>
        </is>
      </c>
      <c r="H41" s="6" t="n">
        <v>1</v>
      </c>
      <c r="I41" s="6" t="n">
        <v>1</v>
      </c>
      <c r="J41" s="6" t="n">
        <v>1</v>
      </c>
      <c r="K41" s="6" t="n"/>
      <c r="P41">
        <f>MAX(P42,P43)</f>
        <v/>
      </c>
      <c r="S41">
        <f>S42+S43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1000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JHighV</t>
        </is>
      </c>
      <c r="C42" s="7" t="inlineStr">
        <is>
          <t>Armament</t>
        </is>
      </c>
      <c r="L42" s="6" t="n">
        <v>8000</v>
      </c>
      <c r="M42" s="6" t="n">
        <v>25</v>
      </c>
      <c r="N42" s="6" t="n">
        <v>5</v>
      </c>
      <c r="O42" s="6" t="n">
        <v>5</v>
      </c>
      <c r="P42" s="6" t="n">
        <v>6696</v>
      </c>
      <c r="Q42" s="6" t="n">
        <v>0.875</v>
      </c>
      <c r="R42">
        <f>M42+IF(N42&gt;1,N(O42)*(N42-1),0)</f>
        <v/>
      </c>
      <c r="S42">
        <f>IFERROR(L42*MAX(N42,1)/R42*IF(ISBLANK(K41),1,K41),0)</f>
        <v/>
      </c>
      <c r="AB42" s="7" t="inlineStr">
        <is>
          <t>^Warhead_Bullet_Light, ^Warhead_Bullet_Medium</t>
        </is>
      </c>
    </row>
    <row r="43">
      <c r="B43" s="7" t="inlineStr">
        <is>
          <t xml:space="preserve">  ↳ JHighVWaveforce</t>
        </is>
      </c>
      <c r="C43" s="7" t="inlineStr">
        <is>
          <t>Armament@Upgrade</t>
        </is>
      </c>
      <c r="L43" s="6" t="n">
        <v>12000</v>
      </c>
      <c r="M43" s="6" t="n">
        <v>25</v>
      </c>
      <c r="N43" s="6" t="n">
        <v>5</v>
      </c>
      <c r="O43" s="6" t="n">
        <v>5</v>
      </c>
      <c r="P43" s="6" t="n">
        <v>6696</v>
      </c>
      <c r="Q43" s="6" t="n">
        <v>1</v>
      </c>
      <c r="R43">
        <f>M43+IF(N43&gt;1,N(O43)*(N43-1),0)</f>
        <v/>
      </c>
      <c r="S43">
        <f>IFERROR(L43*MAX(N43,1)/R43*IF(ISBLANK(K41),1,K41),0)</f>
        <v/>
      </c>
      <c r="AB43" s="7" t="inlineStr">
        <is>
          <t>^Warhead_Railgun_Heavy, ^Warhead_Bullet_Light, ^Warhead_Bullet_Medium</t>
        </is>
      </c>
    </row>
    <row r="44">
      <c r="A44" t="inlineStr">
        <is>
          <t>redalert</t>
        </is>
      </c>
      <c r="B44" t="inlineStr">
        <is>
          <t>ra1_soviets_flametower</t>
        </is>
      </c>
      <c r="C44" t="inlineStr">
        <is>
          <t>Flame Tower</t>
        </is>
      </c>
      <c r="D44" s="6" t="inlineStr">
        <is>
          <t>BasicDefense</t>
        </is>
      </c>
      <c r="E44" s="6" t="n">
        <v>64000</v>
      </c>
      <c r="F44" s="6" t="n">
        <v>100</v>
      </c>
      <c r="G44" t="inlineStr">
        <is>
          <t>Concrete</t>
        </is>
      </c>
      <c r="H44" s="6" t="n">
        <v>1</v>
      </c>
      <c r="I44" s="6" t="n">
        <v>0.35</v>
      </c>
      <c r="J44" s="6" t="n">
        <v>1</v>
      </c>
      <c r="K44" s="6" t="n"/>
      <c r="P44">
        <f>MAX(P45,P46)</f>
        <v/>
      </c>
      <c r="S44">
        <f>S45+S46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600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FireballLauncher</t>
        </is>
      </c>
      <c r="C45" s="7" t="inlineStr">
        <is>
          <t>Armament</t>
        </is>
      </c>
      <c r="L45" s="6" t="n">
        <v>18000</v>
      </c>
      <c r="M45" s="6" t="n">
        <v>30</v>
      </c>
      <c r="N45" s="6" t="n">
        <v>1</v>
      </c>
      <c r="O45" s="6" t="n"/>
      <c r="P45" s="6" t="n">
        <v>6742</v>
      </c>
      <c r="Q45" s="6" t="n">
        <v>1</v>
      </c>
      <c r="R45">
        <f>M45+IF(N45&gt;1,N(O45)*(N45-1),0)</f>
        <v/>
      </c>
      <c r="S45">
        <f>IFERROR(L45*MAX(N45,1)/R45*IF(ISBLANK(K44),1,K44),0)</f>
        <v/>
      </c>
      <c r="AB45" s="7" t="inlineStr">
        <is>
          <t>^Warhead_Flame_Medium</t>
        </is>
      </c>
    </row>
    <row r="46">
      <c r="B46" s="7" t="inlineStr">
        <is>
          <t xml:space="preserve">  ↳ FireballLauncherThermobaric</t>
        </is>
      </c>
      <c r="C46" s="7" t="inlineStr">
        <is>
          <t>Armament@Upgrade</t>
        </is>
      </c>
      <c r="L46" s="6" t="n">
        <v>20000</v>
      </c>
      <c r="M46" s="6" t="n">
        <v>30</v>
      </c>
      <c r="N46" s="6" t="n">
        <v>1</v>
      </c>
      <c r="O46" s="6" t="n"/>
      <c r="P46" s="6" t="n">
        <v>6742</v>
      </c>
      <c r="Q46" s="6" t="n">
        <v>1</v>
      </c>
      <c r="R46">
        <f>M46+IF(N46&gt;1,N(O46)*(N46-1),0)</f>
        <v/>
      </c>
      <c r="S46">
        <f>IFERROR(L46*MAX(N46,1)/R46*IF(ISBLANK(K44),1,K44),0)</f>
        <v/>
      </c>
      <c r="AB46" s="7" t="inlineStr">
        <is>
          <t>^Warhead_Flame_Medium</t>
        </is>
      </c>
    </row>
    <row r="47">
      <c r="A47" t="inlineStr">
        <is>
          <t>redalert</t>
        </is>
      </c>
      <c r="B47" t="inlineStr">
        <is>
          <t>ra1_allies_alliedgunturret</t>
        </is>
      </c>
      <c r="C47" t="inlineStr">
        <is>
          <t>Allied Gun Turret</t>
        </is>
      </c>
      <c r="D47" s="6" t="inlineStr">
        <is>
          <t>BasicDefense</t>
        </is>
      </c>
      <c r="E47" s="6" t="n">
        <v>100000</v>
      </c>
      <c r="F47" s="6" t="n">
        <v>100</v>
      </c>
      <c r="G47" t="inlineStr">
        <is>
          <t>Concrete</t>
        </is>
      </c>
      <c r="H47" s="6" t="n">
        <v>1</v>
      </c>
      <c r="I47" s="6" t="n">
        <v>0.35</v>
      </c>
      <c r="J47" s="6" t="n">
        <v>1</v>
      </c>
      <c r="K47" s="6" t="n"/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800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RATurretGun</t>
        </is>
      </c>
      <c r="C48" s="7" t="inlineStr">
        <is>
          <t>Armament</t>
        </is>
      </c>
      <c r="L48" s="6" t="n">
        <v>20000</v>
      </c>
      <c r="M48" s="6" t="n">
        <v>40</v>
      </c>
      <c r="N48" s="6" t="n">
        <v>1</v>
      </c>
      <c r="O48" s="6" t="n"/>
      <c r="P48" s="6" t="n">
        <v>7685</v>
      </c>
      <c r="Q48" s="6" t="n">
        <v>1.125</v>
      </c>
      <c r="R48">
        <f>M48+IF(N48&gt;1,N(O48)*(N48-1),0)</f>
        <v/>
      </c>
      <c r="S48">
        <f>IFERROR(L48*MAX(N48,1)/R48*IF(ISBLANK(K47),1,K47),0)</f>
        <v/>
      </c>
      <c r="AB48" s="7" t="inlineStr">
        <is>
          <t>^Warhead_Concussion_Medium, ^Warhead_CannonHE_Heavy</t>
        </is>
      </c>
    </row>
    <row r="49">
      <c r="A49" t="inlineStr">
        <is>
          <t>redalert</t>
        </is>
      </c>
      <c r="B49" t="inlineStr">
        <is>
          <t>ra1_allies_camopillbox</t>
        </is>
      </c>
      <c r="C49" t="inlineStr">
        <is>
          <t>Camo Pillbox</t>
        </is>
      </c>
      <c r="D49" s="6" t="inlineStr">
        <is>
          <t>BasicDefense</t>
        </is>
      </c>
      <c r="E49" s="6" t="n">
        <v>122500</v>
      </c>
      <c r="F49" s="6" t="n">
        <v>100</v>
      </c>
      <c r="G49" t="inlineStr">
        <is>
          <t>Concrete</t>
        </is>
      </c>
      <c r="H49" s="6" t="n">
        <v>1</v>
      </c>
      <c r="I49" s="6" t="n">
        <v>0.35</v>
      </c>
      <c r="J49" s="6" t="n">
        <v>1.25</v>
      </c>
      <c r="K49" s="6" t="n"/>
      <c r="X49" s="6" t="n">
        <v>1300</v>
      </c>
    </row>
    <row r="50">
      <c r="A50" t="inlineStr">
        <is>
          <t>redalert</t>
        </is>
      </c>
      <c r="B50" t="inlineStr">
        <is>
          <t>ra1_allies_pillbox</t>
        </is>
      </c>
      <c r="C50" t="inlineStr">
        <is>
          <t>Pillbox</t>
        </is>
      </c>
      <c r="D50" s="6" t="inlineStr">
        <is>
          <t>BasicDefense</t>
        </is>
      </c>
      <c r="E50" s="6" t="n">
        <v>90000</v>
      </c>
      <c r="F50" s="6" t="n">
        <v>100</v>
      </c>
      <c r="G50" t="inlineStr">
        <is>
          <t>Concrete</t>
        </is>
      </c>
      <c r="H50" s="6" t="n">
        <v>1</v>
      </c>
      <c r="I50" s="6" t="n">
        <v>1</v>
      </c>
      <c r="J50" s="6" t="n">
        <v>1</v>
      </c>
      <c r="K50" s="6" t="n"/>
      <c r="X50" s="6" t="n">
        <v>400</v>
      </c>
    </row>
    <row r="51">
      <c r="A51" t="inlineStr">
        <is>
          <t>tiberiansun</t>
        </is>
      </c>
      <c r="B51" t="inlineStr">
        <is>
          <t>cabal_pillbox</t>
        </is>
      </c>
      <c r="C51" t="inlineStr">
        <is>
          <t>Pillbox</t>
        </is>
      </c>
      <c r="D51" s="6" t="inlineStr">
        <is>
          <t>BasicDefense</t>
        </is>
      </c>
      <c r="E51" s="6" t="n">
        <v>85000</v>
      </c>
      <c r="F51" s="6" t="n">
        <v>100</v>
      </c>
      <c r="G51" t="inlineStr">
        <is>
          <t>Concrete</t>
        </is>
      </c>
      <c r="H51" s="6" t="n">
        <v>1</v>
      </c>
      <c r="I51" s="6" t="n">
        <v>1</v>
      </c>
      <c r="J51" s="6" t="n">
        <v>1</v>
      </c>
      <c r="K51" s="6" t="n"/>
      <c r="X51" s="6" t="n">
        <v>800</v>
      </c>
    </row>
    <row r="52">
      <c r="A52" t="inlineStr">
        <is>
          <t>tiberiansun</t>
        </is>
      </c>
      <c r="B52" t="inlineStr">
        <is>
          <t>cabal_plasmaturret</t>
        </is>
      </c>
      <c r="C52" t="inlineStr">
        <is>
          <t>Plasma Turret</t>
        </is>
      </c>
      <c r="D52" s="6" t="inlineStr">
        <is>
          <t>BasicDefense</t>
        </is>
      </c>
      <c r="E52" s="6" t="n">
        <v>60000</v>
      </c>
      <c r="F52" s="6" t="n">
        <v>100</v>
      </c>
      <c r="G52" t="inlineStr">
        <is>
          <t>Concrete</t>
        </is>
      </c>
      <c r="H52" s="6" t="n">
        <v>1</v>
      </c>
      <c r="I52" s="6" t="n">
        <v>1</v>
      </c>
      <c r="J52" s="6" t="n">
        <v>1</v>
      </c>
      <c r="K52" s="6" t="n"/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800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TSCABALPlasmaFire</t>
        </is>
      </c>
      <c r="C53" s="7" t="inlineStr">
        <is>
          <t>Armament@PRIMARY</t>
        </is>
      </c>
      <c r="L53" s="6" t="n">
        <v>20000</v>
      </c>
      <c r="M53" s="6" t="n">
        <v>25</v>
      </c>
      <c r="N53" s="6" t="n">
        <v>1</v>
      </c>
      <c r="O53" s="6" t="n"/>
      <c r="P53" s="6" t="n">
        <v>6487</v>
      </c>
      <c r="Q53" s="6" t="n">
        <v>1.125</v>
      </c>
      <c r="R53">
        <f>M53+IF(N53&gt;1,N(O53)*(N53-1),0)</f>
        <v/>
      </c>
      <c r="S53">
        <f>IFERROR(L53*MAX(N53,1)/R53*IF(ISBLANK(K52),1,K52),0)</f>
        <v/>
      </c>
      <c r="AB53" s="7" t="inlineStr">
        <is>
          <t>^Warhead_Bullet_Medium, ^Warhead_Laser_Heavy</t>
        </is>
      </c>
    </row>
    <row r="54">
      <c r="A54" t="inlineStr">
        <is>
          <t>tiberiansun</t>
        </is>
      </c>
      <c r="B54" t="inlineStr">
        <is>
          <t>ts_nod_laserturret</t>
        </is>
      </c>
      <c r="C54" t="inlineStr">
        <is>
          <t>Laser Turret</t>
        </is>
      </c>
      <c r="D54" s="6" t="inlineStr">
        <is>
          <t>BasicDefense</t>
        </is>
      </c>
      <c r="E54" s="6" t="n">
        <v>60000</v>
      </c>
      <c r="F54" s="6" t="n">
        <v>100</v>
      </c>
      <c r="G54" t="inlineStr">
        <is>
          <t>Concrete</t>
        </is>
      </c>
      <c r="H54" s="6" t="n">
        <v>1</v>
      </c>
      <c r="I54" s="6" t="n">
        <v>1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800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TSTurretLaser</t>
        </is>
      </c>
      <c r="C55" s="7" t="inlineStr">
        <is>
          <t>Armament@PRIMARY</t>
        </is>
      </c>
      <c r="L55" s="6" t="n">
        <v>20000</v>
      </c>
      <c r="M55" s="6" t="n">
        <v>25</v>
      </c>
      <c r="N55" s="6" t="n">
        <v>1</v>
      </c>
      <c r="O55" s="6" t="n"/>
      <c r="P55" s="6" t="n">
        <v>6487</v>
      </c>
      <c r="Q55" s="6" t="n">
        <v>1.125</v>
      </c>
      <c r="R55">
        <f>M55+IF(N55&gt;1,N(O55)*(N55-1),0)</f>
        <v/>
      </c>
      <c r="S55">
        <f>IFERROR(L55*MAX(N55,1)/R55*IF(ISBLANK(K54),1,K54),0)</f>
        <v/>
      </c>
      <c r="AB55" s="7" t="inlineStr">
        <is>
          <t>^Warhead_Bullet_Medium, ^Warhead_Laser_Heavy</t>
        </is>
      </c>
    </row>
    <row r="56">
      <c r="B56" s="7" t="inlineStr">
        <is>
          <t xml:space="preserve">  ↳ TSLaserTurretLaser</t>
        </is>
      </c>
      <c r="C56" s="7" t="inlineStr">
        <is>
          <t>Armament@UPGRADE</t>
        </is>
      </c>
      <c r="L56" s="6" t="n">
        <v>32000</v>
      </c>
      <c r="M56" s="6" t="n">
        <v>20</v>
      </c>
      <c r="N56" s="6" t="n">
        <v>1</v>
      </c>
      <c r="O56" s="6" t="n"/>
      <c r="P56" s="6" t="n">
        <v>6992</v>
      </c>
      <c r="Q56" s="6" t="n">
        <v>1.125</v>
      </c>
      <c r="R56">
        <f>M56+IF(N56&gt;1,N(O56)*(N56-1),0)</f>
        <v/>
      </c>
      <c r="S56">
        <f>IFERROR(L56*MAX(N56,1)/R56*IF(ISBLANK(K54),1,K54),0)</f>
        <v/>
      </c>
      <c r="AB56" s="7" t="inlineStr">
        <is>
          <t>^Warhead_Bullet_Medium, ^Warhead_Laser_Heavy</t>
        </is>
      </c>
    </row>
    <row r="57">
      <c r="A57" t="inlineStr">
        <is>
          <t>tiberiansun</t>
        </is>
      </c>
      <c r="B57" t="inlineStr">
        <is>
          <t>ts_gdi_vulcantower</t>
        </is>
      </c>
      <c r="C57" t="inlineStr">
        <is>
          <t>Vulcan Tower</t>
        </is>
      </c>
      <c r="D57" s="6" t="inlineStr">
        <is>
          <t>BasicDefense</t>
        </is>
      </c>
      <c r="E57" s="6" t="n">
        <v>80000</v>
      </c>
      <c r="F57" s="6" t="n">
        <v>100</v>
      </c>
      <c r="G57" t="inlineStr">
        <is>
          <t>Concrete</t>
        </is>
      </c>
      <c r="H57" s="6" t="n">
        <v>1</v>
      </c>
      <c r="I57" s="6" t="n">
        <v>1</v>
      </c>
      <c r="J57" s="6" t="n">
        <v>1</v>
      </c>
      <c r="K57" s="6" t="n"/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600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TSVulcanGun</t>
        </is>
      </c>
      <c r="C58" s="7" t="inlineStr">
        <is>
          <t>Armament@PRIMARY</t>
        </is>
      </c>
      <c r="L58" s="6" t="n">
        <v>8000</v>
      </c>
      <c r="M58" s="6" t="n">
        <v>48</v>
      </c>
      <c r="N58" s="6" t="n">
        <v>4</v>
      </c>
      <c r="O58" s="6" t="n">
        <v>2</v>
      </c>
      <c r="P58" s="6" t="n">
        <v>6809</v>
      </c>
      <c r="Q58" s="6" t="n">
        <v>0.875</v>
      </c>
      <c r="R58">
        <f>M58+IF(N58&gt;1,N(O58)*(N58-1),0)</f>
        <v/>
      </c>
      <c r="S58">
        <f>IFERROR(L58*MAX(N58,1)/R58*IF(ISBLANK(K57),1,K57),0)</f>
        <v/>
      </c>
      <c r="AB58" s="7" t="inlineStr">
        <is>
          <t>^Warhead_Bullet_Light, ^Warhead_Bullet_Medium</t>
        </is>
      </c>
    </row>
    <row r="59">
      <c r="B59" s="7" t="inlineStr">
        <is>
          <t xml:space="preserve">  ↳ TSVulcanGunSonic</t>
        </is>
      </c>
      <c r="C59" s="7" t="inlineStr">
        <is>
          <t>Armament@Upgrade</t>
        </is>
      </c>
      <c r="L59" s="6" t="n">
        <v>16000</v>
      </c>
      <c r="M59" s="6" t="n">
        <v>66</v>
      </c>
      <c r="N59" s="6" t="n">
        <v>4</v>
      </c>
      <c r="O59" s="6" t="n">
        <v>2</v>
      </c>
      <c r="P59" s="6" t="n">
        <v>6809</v>
      </c>
      <c r="Q59" s="6" t="n">
        <v>1</v>
      </c>
      <c r="R59">
        <f>M59+IF(N59&gt;1,N(O59)*(N59-1),0)</f>
        <v/>
      </c>
      <c r="S59">
        <f>IFERROR(L59*MAX(N59,1)/R59*IF(ISBLANK(K57),1,K57),0)</f>
        <v/>
      </c>
      <c r="AB59" s="7" t="inlineStr">
        <is>
          <t>^Warhead_Bullet_Medium, ^Warhead_Sonic_Medium</t>
        </is>
      </c>
    </row>
    <row r="60">
      <c r="A60" t="inlineStr">
        <is>
          <t>tiberiansun</t>
        </is>
      </c>
      <c r="B60" t="inlineStr">
        <is>
          <t>forgotten_brokenrattytankturret</t>
        </is>
      </c>
      <c r="C60" t="inlineStr">
        <is>
          <t>actor_forgotten_brokenrattytankturret.name</t>
        </is>
      </c>
      <c r="D60" s="6" t="inlineStr">
        <is>
          <t>BasicDefense</t>
        </is>
      </c>
      <c r="E60" s="6" t="n">
        <v>90000</v>
      </c>
      <c r="F60" s="6" t="n">
        <v>100</v>
      </c>
      <c r="G60" t="inlineStr">
        <is>
          <t>Concrete</t>
        </is>
      </c>
      <c r="H60" s="6" t="n">
        <v>1</v>
      </c>
      <c r="I60" s="6" t="n">
        <v>1</v>
      </c>
      <c r="J60" s="6" t="n">
        <v>1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800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TS70mmTur</t>
        </is>
      </c>
      <c r="C61" s="7" t="inlineStr">
        <is>
          <t>Armament@PRIMARY</t>
        </is>
      </c>
      <c r="L61" s="6" t="n">
        <v>8000</v>
      </c>
      <c r="M61" s="6" t="n">
        <v>10</v>
      </c>
      <c r="N61" s="6" t="n">
        <v>1</v>
      </c>
      <c r="O61" s="6" t="n"/>
      <c r="P61" s="6" t="n">
        <v>6574</v>
      </c>
      <c r="Q61" s="6" t="n">
        <v>0.875</v>
      </c>
      <c r="R61">
        <f>M61+IF(N61&gt;1,N(O61)*(N61-1),0)</f>
        <v/>
      </c>
      <c r="S61">
        <f>IFERROR(L61*MAX(N61,1)/R61*IF(ISBLANK(K60),1,K60),0)</f>
        <v/>
      </c>
      <c r="AB61" s="7" t="inlineStr">
        <is>
          <t>^Warhead_CannonHE_Medium, ^Warhead_CannonAP_Light</t>
        </is>
      </c>
    </row>
    <row r="62">
      <c r="B62" s="7" t="inlineStr">
        <is>
          <t xml:space="preserve">  ↳ TS70mmTurChem</t>
        </is>
      </c>
      <c r="C62" s="7" t="inlineStr">
        <is>
          <t>Armament@UPGRADE</t>
        </is>
      </c>
      <c r="L62" s="6" t="n">
        <v>12000</v>
      </c>
      <c r="M62" s="6" t="n">
        <v>10</v>
      </c>
      <c r="N62" s="6" t="n">
        <v>1</v>
      </c>
      <c r="O62" s="6" t="n"/>
      <c r="P62" s="6" t="n">
        <v>6574</v>
      </c>
      <c r="Q62" s="6" t="n">
        <v>1</v>
      </c>
      <c r="R62">
        <f>M62+IF(N62&gt;1,N(O62)*(N62-1),0)</f>
        <v/>
      </c>
      <c r="S62">
        <f>IFERROR(L62*MAX(N62,1)/R62*IF(ISBLANK(K60),1,K60),0)</f>
        <v/>
      </c>
      <c r="AB62" s="7" t="inlineStr">
        <is>
          <t>^Warhead_CannonHE_Medium</t>
        </is>
      </c>
    </row>
    <row r="63">
      <c r="A63" t="inlineStr">
        <is>
          <t>tiberiansun</t>
        </is>
      </c>
      <c r="B63" t="inlineStr">
        <is>
          <t>forgotten_machineguntower</t>
        </is>
      </c>
      <c r="C63" t="inlineStr">
        <is>
          <t>actor_forgotten_machineguntower.name</t>
        </is>
      </c>
      <c r="D63" s="6" t="inlineStr">
        <is>
          <t>BasicDefense</t>
        </is>
      </c>
      <c r="E63" s="6" t="n">
        <v>80000</v>
      </c>
      <c r="F63" s="6" t="n">
        <v>100</v>
      </c>
      <c r="G63" t="inlineStr">
        <is>
          <t>Concrete</t>
        </is>
      </c>
      <c r="H63" s="6" t="n">
        <v>1</v>
      </c>
      <c r="I63" s="6" t="n">
        <v>1</v>
      </c>
      <c r="J63" s="6" t="n">
        <v>1</v>
      </c>
      <c r="K63" s="6" t="n"/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600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TSMutVulcanTurret</t>
        </is>
      </c>
      <c r="C64" s="7" t="inlineStr">
        <is>
          <t>Armament@PRIMARY</t>
        </is>
      </c>
      <c r="L64" s="6" t="n">
        <v>4000</v>
      </c>
      <c r="M64" s="6" t="n">
        <v>6</v>
      </c>
      <c r="N64" s="6" t="n">
        <v>1</v>
      </c>
      <c r="O64" s="6" t="n"/>
      <c r="P64" s="6" t="n">
        <v>6272</v>
      </c>
      <c r="Q64" s="6" t="n">
        <v>0.875</v>
      </c>
      <c r="R64">
        <f>M64+IF(N64&gt;1,N(O64)*(N64-1),0)</f>
        <v/>
      </c>
      <c r="S64">
        <f>IFERROR(L64*MAX(N64,1)/R64*IF(ISBLANK(K63),1,K63),0)</f>
        <v/>
      </c>
      <c r="AB64" s="7" t="inlineStr">
        <is>
          <t>^Warhead_Bullet_Light, ^Warhead_Bullet_Medium</t>
        </is>
      </c>
    </row>
    <row r="65">
      <c r="A65" t="inlineStr">
        <is>
          <t>redalert2</t>
        </is>
      </c>
      <c r="B65" t="inlineStr">
        <is>
          <t>ra2_allies_pillbox</t>
        </is>
      </c>
      <c r="C65" t="inlineStr">
        <is>
          <t>Pillbox</t>
        </is>
      </c>
      <c r="D65" s="6" t="inlineStr">
        <is>
          <t>BasicDefense</t>
        </is>
      </c>
      <c r="E65" s="6" t="n">
        <v>100000</v>
      </c>
      <c r="F65" s="6" t="n">
        <v>100</v>
      </c>
      <c r="G65" t="inlineStr">
        <is>
          <t>Concrete</t>
        </is>
      </c>
      <c r="H65" s="6" t="n">
        <v>1</v>
      </c>
      <c r="I65" s="6" t="n">
        <v>1</v>
      </c>
      <c r="J65" s="6" t="n">
        <v>1</v>
      </c>
      <c r="K65" s="6" t="n"/>
      <c r="X65" s="6" t="n">
        <v>500</v>
      </c>
    </row>
    <row r="66">
      <c r="A66" t="inlineStr">
        <is>
          <t>redalert2</t>
        </is>
      </c>
      <c r="B66" t="inlineStr">
        <is>
          <t>ra2_soviets_sentrygun</t>
        </is>
      </c>
      <c r="C66" t="inlineStr">
        <is>
          <t>Sentry Gun</t>
        </is>
      </c>
      <c r="D66" s="6" t="inlineStr">
        <is>
          <t>BasicDefense</t>
        </is>
      </c>
      <c r="E66" s="6" t="n">
        <v>57000</v>
      </c>
      <c r="F66" s="6" t="n">
        <v>100</v>
      </c>
      <c r="G66" t="inlineStr">
        <is>
          <t>Concrete</t>
        </is>
      </c>
      <c r="H66" s="6" t="n">
        <v>1</v>
      </c>
      <c r="I66" s="6" t="n">
        <v>0.35</v>
      </c>
      <c r="J66" s="6" t="n">
        <v>1</v>
      </c>
      <c r="K66" s="6" t="n"/>
      <c r="P66">
        <f>MAX(P67)</f>
        <v/>
      </c>
      <c r="S66">
        <f>S67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(T66+U66+V66)/3</f>
        <v/>
      </c>
      <c r="X66" s="6" t="n">
        <v>500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RA2vulcan</t>
        </is>
      </c>
      <c r="C67" s="7" t="inlineStr">
        <is>
          <t>Armament</t>
        </is>
      </c>
      <c r="L67" s="6" t="n">
        <v>4000</v>
      </c>
      <c r="M67" s="6" t="n">
        <v>18</v>
      </c>
      <c r="N67" s="6" t="n">
        <v>4</v>
      </c>
      <c r="O67" s="6" t="n">
        <v>3</v>
      </c>
      <c r="P67" s="6" t="n">
        <v>6577</v>
      </c>
      <c r="Q67" s="6" t="n">
        <v>0.875</v>
      </c>
      <c r="R67">
        <f>M67+IF(N67&gt;1,N(O67)*(N67-1),0)</f>
        <v/>
      </c>
      <c r="S67">
        <f>IFERROR(L67*MAX(N67,1)/R67*IF(ISBLANK(K66),1,K66),0)</f>
        <v/>
      </c>
      <c r="AB67" s="7" t="inlineStr">
        <is>
          <t>^Warhead_Bullet_Light, ^Warhead_Bullet_Medium</t>
        </is>
      </c>
    </row>
    <row r="68">
      <c r="A68" t="inlineStr">
        <is>
          <t>redalert2</t>
        </is>
      </c>
      <c r="B68" t="inlineStr">
        <is>
          <t>yuri_gatlingcannon</t>
        </is>
      </c>
      <c r="C68" t="inlineStr">
        <is>
          <t>Gatling Cannon</t>
        </is>
      </c>
      <c r="D68" s="6" t="inlineStr">
        <is>
          <t>BasicDefense</t>
        </is>
      </c>
      <c r="E68" s="6" t="n">
        <v>140000</v>
      </c>
      <c r="F68" s="6" t="n">
        <v>100</v>
      </c>
      <c r="G68" t="inlineStr">
        <is>
          <t>Concrete</t>
        </is>
      </c>
      <c r="H68" s="6" t="n">
        <v>1</v>
      </c>
      <c r="I68" s="6" t="n">
        <v>0.35</v>
      </c>
      <c r="J68" s="6" t="n">
        <v>1</v>
      </c>
      <c r="K68" s="6" t="n"/>
      <c r="P68">
        <f>MAX(P69,P70,P71,P72,P73,P74)</f>
        <v/>
      </c>
      <c r="S68">
        <f>S69+S70+S71+S72+S73+S74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1000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YuriGatlingCannonMG1</t>
        </is>
      </c>
      <c r="C69" s="7" t="inlineStr">
        <is>
          <t>Armament@1</t>
        </is>
      </c>
      <c r="L69" s="6" t="n">
        <v>4000</v>
      </c>
      <c r="M69" s="6" t="n">
        <v>6</v>
      </c>
      <c r="N69" s="6" t="n">
        <v>1</v>
      </c>
      <c r="O69" s="6" t="n"/>
      <c r="P69" s="6" t="n">
        <v>5000</v>
      </c>
      <c r="Q69" s="6" t="n">
        <v>0.875</v>
      </c>
      <c r="R69">
        <f>M69+IF(N69&gt;1,N(O69)*(N69-1),0)</f>
        <v/>
      </c>
      <c r="S69">
        <f>IFERROR(L69*MAX(N69,1)/R69*IF(ISBLANK(K68),1,K68),0)</f>
        <v/>
      </c>
      <c r="AB69" s="7" t="inlineStr">
        <is>
          <t>^Warhead_Bullet_Light, ^Warhead_Bullet_Medium</t>
        </is>
      </c>
    </row>
    <row r="70">
      <c r="B70" s="7" t="inlineStr">
        <is>
          <t xml:space="preserve">  ↳ YuriGatlingCannonMG2</t>
        </is>
      </c>
      <c r="C70" s="7" t="inlineStr">
        <is>
          <t>Armament@2</t>
        </is>
      </c>
      <c r="L70" s="6" t="n">
        <v>4000</v>
      </c>
      <c r="M70" s="6" t="n">
        <v>4</v>
      </c>
      <c r="N70" s="6" t="n">
        <v>1</v>
      </c>
      <c r="O70" s="6" t="n"/>
      <c r="P70" s="6" t="n">
        <v>5250</v>
      </c>
      <c r="Q70" s="6" t="n">
        <v>0.875</v>
      </c>
      <c r="R70">
        <f>M70+IF(N70&gt;1,N(O70)*(N70-1),0)</f>
        <v/>
      </c>
      <c r="S70">
        <f>IFERROR(L70*MAX(N70,1)/R70*IF(ISBLANK(K68),1,K68),0)</f>
        <v/>
      </c>
      <c r="AB70" s="7" t="inlineStr">
        <is>
          <t>^Warhead_Bullet_Light, ^Warhead_Bullet_Medium</t>
        </is>
      </c>
    </row>
    <row r="71">
      <c r="B71" s="7" t="inlineStr">
        <is>
          <t xml:space="preserve">  ↳ YuriGatlingCannonMG3</t>
        </is>
      </c>
      <c r="C71" s="7" t="inlineStr">
        <is>
          <t>Armament@3</t>
        </is>
      </c>
      <c r="L71" s="6" t="n">
        <v>4000</v>
      </c>
      <c r="M71" s="6" t="n">
        <v>2</v>
      </c>
      <c r="N71" s="6" t="n">
        <v>1</v>
      </c>
      <c r="O71" s="6" t="n"/>
      <c r="P71" s="6" t="n">
        <v>5500</v>
      </c>
      <c r="Q71" s="6" t="n">
        <v>0.875</v>
      </c>
      <c r="R71">
        <f>M71+IF(N71&gt;1,N(O71)*(N71-1),0)</f>
        <v/>
      </c>
      <c r="S71">
        <f>IFERROR(L71*MAX(N71,1)/R71*IF(ISBLANK(K68),1,K68),0)</f>
        <v/>
      </c>
      <c r="AB71" s="7" t="inlineStr">
        <is>
          <t>^Warhead_Bullet_Light, ^Warhead_Bullet_Medium</t>
        </is>
      </c>
    </row>
    <row r="72">
      <c r="B72" s="7" t="inlineStr">
        <is>
          <t xml:space="preserve">  ↳ YuriGatlingCannonMG1_AA</t>
        </is>
      </c>
      <c r="C72" s="7" t="inlineStr">
        <is>
          <t>Armament@1AA</t>
        </is>
      </c>
      <c r="L72" s="6" t="n">
        <v>8000</v>
      </c>
      <c r="M72" s="6" t="n">
        <v>6</v>
      </c>
      <c r="N72" s="6" t="n">
        <v>1</v>
      </c>
      <c r="O72" s="6" t="n"/>
      <c r="P72" s="6" t="n">
        <v>6750</v>
      </c>
      <c r="Q72" s="6" t="n">
        <v>0.875</v>
      </c>
      <c r="R72">
        <f>M72+IF(N72&gt;1,N(O72)*(N72-1),0)</f>
        <v/>
      </c>
      <c r="S72">
        <f>IFERROR(L72*MAX(N72,1)/R72*IF(ISBLANK(K68),1,K68),0)</f>
        <v/>
      </c>
      <c r="AB72" s="7" t="inlineStr">
        <is>
          <t>^Warhead_Bullet_Light, ^Warhead_Bullet_Medium</t>
        </is>
      </c>
    </row>
    <row r="73">
      <c r="B73" s="7" t="inlineStr">
        <is>
          <t xml:space="preserve">  ↳ YuriGatlingCannonMG2_AA</t>
        </is>
      </c>
      <c r="C73" s="7" t="inlineStr">
        <is>
          <t>Armament@2AA</t>
        </is>
      </c>
      <c r="L73" s="6" t="n">
        <v>8000</v>
      </c>
      <c r="M73" s="6" t="n">
        <v>4</v>
      </c>
      <c r="N73" s="6" t="n">
        <v>1</v>
      </c>
      <c r="O73" s="6" t="n"/>
      <c r="P73" s="6" t="n">
        <v>7500</v>
      </c>
      <c r="Q73" s="6" t="n">
        <v>0.875</v>
      </c>
      <c r="R73">
        <f>M73+IF(N73&gt;1,N(O73)*(N73-1),0)</f>
        <v/>
      </c>
      <c r="S73">
        <f>IFERROR(L73*MAX(N73,1)/R73*IF(ISBLANK(K68),1,K68),0)</f>
        <v/>
      </c>
      <c r="AB73" s="7" t="inlineStr">
        <is>
          <t>^Warhead_Bullet_Light, ^Warhead_Bullet_Medium</t>
        </is>
      </c>
    </row>
    <row r="74">
      <c r="B74" s="7" t="inlineStr">
        <is>
          <t xml:space="preserve">  ↳ YuriGatlingCannonMG3_AA</t>
        </is>
      </c>
      <c r="C74" s="7" t="inlineStr">
        <is>
          <t>Armament@3AA</t>
        </is>
      </c>
      <c r="L74" s="6" t="n">
        <v>8000</v>
      </c>
      <c r="M74" s="6" t="n">
        <v>2</v>
      </c>
      <c r="N74" s="6" t="n">
        <v>1</v>
      </c>
      <c r="O74" s="6" t="n"/>
      <c r="P74" s="6" t="n">
        <v>8250</v>
      </c>
      <c r="Q74" s="6" t="n">
        <v>0.875</v>
      </c>
      <c r="R74">
        <f>M74+IF(N74&gt;1,N(O74)*(N74-1),0)</f>
        <v/>
      </c>
      <c r="S74">
        <f>IFERROR(L74*MAX(N74,1)/R74*IF(ISBLANK(K68),1,K68),0)</f>
        <v/>
      </c>
      <c r="AB74" s="7" t="inlineStr">
        <is>
          <t>^Warhead_Bullet_Light, ^Warhead_Bullet_Medium</t>
        </is>
      </c>
    </row>
    <row r="75">
      <c r="A75" t="inlineStr">
        <is>
          <t>redalert2</t>
        </is>
      </c>
      <c r="B75" t="inlineStr">
        <is>
          <t>yuri_slaveminer_deployed</t>
        </is>
      </c>
      <c r="C75" t="inlineStr">
        <is>
          <t>Slave Miner</t>
        </is>
      </c>
      <c r="D75" s="6" t="inlineStr">
        <is>
          <t>BasicDefense</t>
        </is>
      </c>
      <c r="E75" s="6" t="n">
        <v>200000</v>
      </c>
      <c r="F75" s="6" t="n">
        <v>100</v>
      </c>
      <c r="G75" t="inlineStr">
        <is>
          <t>Heavy</t>
        </is>
      </c>
      <c r="H75" s="6" t="n">
        <v>1</v>
      </c>
      <c r="I75" s="6" t="n">
        <v>1</v>
      </c>
      <c r="J75" s="6" t="n">
        <v>1</v>
      </c>
      <c r="K75" s="6" t="n"/>
      <c r="P75">
        <f>MAX(P76)</f>
        <v/>
      </c>
      <c r="S75">
        <f>S76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2500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RA220mmrapid</t>
        </is>
      </c>
      <c r="C76" s="7" t="inlineStr">
        <is>
          <t>Armament</t>
        </is>
      </c>
      <c r="L76" s="6" t="n">
        <v>8000</v>
      </c>
      <c r="M76" s="6" t="n">
        <v>15</v>
      </c>
      <c r="N76" s="6" t="n">
        <v>1</v>
      </c>
      <c r="O76" s="6" t="n"/>
      <c r="P76" s="6" t="n">
        <v>5000</v>
      </c>
      <c r="Q76" s="6" t="n">
        <v>0.875</v>
      </c>
      <c r="R76">
        <f>M76+IF(N76&gt;1,N(O76)*(N76-1),0)</f>
        <v/>
      </c>
      <c r="S76">
        <f>IFERROR(L76*MAX(N76,1)/R76*IF(ISBLANK(K75),1,K75),0)</f>
        <v/>
      </c>
      <c r="AB76" s="7" t="inlineStr">
        <is>
          <t>^Warhead_Bullet_Light, ^Warhead_Bullet_Medium</t>
        </is>
      </c>
    </row>
    <row r="77">
      <c r="A77" t="inlineStr">
        <is>
          <t>redalert2mod</t>
        </is>
      </c>
      <c r="B77" t="inlineStr">
        <is>
          <t>asianalliance_asiansentryflamer</t>
        </is>
      </c>
      <c r="C77" t="inlineStr">
        <is>
          <t>Asian Sentry Flamer</t>
        </is>
      </c>
      <c r="D77" s="6" t="inlineStr">
        <is>
          <t>BasicDefense</t>
        </is>
      </c>
      <c r="E77" s="6" t="n">
        <v>71000</v>
      </c>
      <c r="F77" s="6" t="n"/>
      <c r="G77" t="inlineStr">
        <is>
          <t>Concrete</t>
        </is>
      </c>
      <c r="H77" s="6" t="n">
        <v>1</v>
      </c>
      <c r="I77" s="6" t="n">
        <v>1</v>
      </c>
      <c r="J77" s="6" t="n">
        <v>1</v>
      </c>
      <c r="K77" s="6" t="n"/>
      <c r="X77" s="6" t="n">
        <v>800</v>
      </c>
    </row>
    <row r="78">
      <c r="B78" s="7" t="inlineStr">
        <is>
          <t xml:space="preserve">  ↳ AsianFlamerTurret</t>
        </is>
      </c>
      <c r="C78" s="7" t="inlineStr">
        <is>
          <t>Armament</t>
        </is>
      </c>
      <c r="L78" s="6" t="n">
        <v>4000</v>
      </c>
      <c r="M78" s="6" t="n">
        <v>30</v>
      </c>
      <c r="N78" s="6" t="n">
        <v>6</v>
      </c>
      <c r="O78" s="6" t="n">
        <v>3</v>
      </c>
      <c r="P78" s="6" t="n">
        <v>6666</v>
      </c>
      <c r="Q78" s="6" t="n">
        <v>0.75</v>
      </c>
      <c r="R78">
        <f>M78+IF(N78&gt;1,N(O78)*(N78-1),0)</f>
        <v/>
      </c>
      <c r="S78">
        <f>IFERROR(L78*MAX(N78,1)/R78*IF(ISBLANK(K77),1,K77),0)</f>
        <v/>
      </c>
      <c r="AB78" s="7" t="inlineStr">
        <is>
          <t>^Warhead_Flame_Light</t>
        </is>
      </c>
    </row>
    <row r="79">
      <c r="A79" t="inlineStr">
        <is>
          <t>redalert2mod</t>
        </is>
      </c>
      <c r="B79" t="inlineStr">
        <is>
          <t>cgpnch.asian</t>
        </is>
      </c>
      <c r="C79" t="inlineStr">
        <is>
          <t>Punisher</t>
        </is>
      </c>
      <c r="D79" s="6" t="inlineStr">
        <is>
          <t>BasicDefense</t>
        </is>
      </c>
      <c r="E79" s="6" t="n">
        <v>140000</v>
      </c>
      <c r="F79" s="6" t="n"/>
      <c r="G79" t="inlineStr">
        <is>
          <t>Concrete</t>
        </is>
      </c>
      <c r="H79" s="6" t="n">
        <v>0.7857</v>
      </c>
      <c r="I79" s="6" t="n">
        <v>1</v>
      </c>
      <c r="J79" s="6" t="n">
        <v>1</v>
      </c>
      <c r="K79" s="6" t="n"/>
      <c r="X79" s="6" t="n">
        <v>1200</v>
      </c>
    </row>
    <row r="80">
      <c r="B80" s="7" t="inlineStr">
        <is>
          <t xml:space="preserve">  ↳ AsianPunisherAG</t>
        </is>
      </c>
      <c r="C80" s="7" t="inlineStr">
        <is>
          <t>Armament</t>
        </is>
      </c>
      <c r="L80" s="6" t="n">
        <v>8000</v>
      </c>
      <c r="M80" s="6" t="n">
        <v>12</v>
      </c>
      <c r="N80" s="6" t="n">
        <v>1</v>
      </c>
      <c r="O80" s="6" t="n"/>
      <c r="P80" s="6" t="n">
        <v>12000</v>
      </c>
      <c r="Q80" s="6" t="n">
        <v>1</v>
      </c>
      <c r="R80">
        <f>M80+IF(N80&gt;1,N(O80)*(N80-1),0)</f>
        <v/>
      </c>
      <c r="S80">
        <f>IFERROR(L80*MAX(N80,1)/R80*IF(ISBLANK(K79),1,K79),0)</f>
        <v/>
      </c>
      <c r="AB80" s="7" t="inlineStr">
        <is>
          <t>AsianPhotonCannon</t>
        </is>
      </c>
    </row>
    <row r="81">
      <c r="B81" s="7" t="inlineStr">
        <is>
          <t xml:space="preserve">  ↳ AsianPunisherAG_EMP</t>
        </is>
      </c>
      <c r="C81" s="7" t="inlineStr">
        <is>
          <t>Armament@Upgrade</t>
        </is>
      </c>
      <c r="L81" s="6" t="n">
        <v>8000</v>
      </c>
      <c r="M81" s="6" t="n">
        <v>12</v>
      </c>
      <c r="N81" s="6" t="n">
        <v>1</v>
      </c>
      <c r="O81" s="6" t="n"/>
      <c r="P81" s="6" t="n">
        <v>12000</v>
      </c>
      <c r="Q81" s="6" t="n">
        <v>1</v>
      </c>
      <c r="R81">
        <f>M81+IF(N81&gt;1,N(O81)*(N81-1),0)</f>
        <v/>
      </c>
      <c r="S81">
        <f>IFERROR(L81*MAX(N81,1)/R81*IF(ISBLANK(K79),1,K79),0)</f>
        <v/>
      </c>
      <c r="AB81" s="7" t="inlineStr">
        <is>
          <t>AsianPunisherAG</t>
        </is>
      </c>
    </row>
    <row r="82">
      <c r="A82" t="inlineStr">
        <is>
          <t>redalert2mod</t>
        </is>
      </c>
      <c r="B82" t="inlineStr">
        <is>
          <t>steelconsortium_consortiumsentryturret</t>
        </is>
      </c>
      <c r="C82" t="inlineStr">
        <is>
          <t>Consortium Sentry Turret</t>
        </is>
      </c>
      <c r="D82" s="6" t="inlineStr">
        <is>
          <t>BasicDefense</t>
        </is>
      </c>
      <c r="E82" s="6" t="n">
        <v>88000</v>
      </c>
      <c r="F82" s="6" t="n"/>
      <c r="G82" t="inlineStr">
        <is>
          <t>Concrete</t>
        </is>
      </c>
      <c r="H82" s="6" t="n">
        <v>1</v>
      </c>
      <c r="I82" s="6" t="n">
        <v>0.35</v>
      </c>
      <c r="J82" s="6" t="n">
        <v>1</v>
      </c>
      <c r="K82" s="6" t="n"/>
      <c r="X82" s="6" t="n">
        <v>700</v>
      </c>
    </row>
    <row r="83">
      <c r="B83" s="7" t="inlineStr">
        <is>
          <t xml:space="preserve">  ↳ GLStingerTargeting</t>
        </is>
      </c>
      <c r="C83" s="7" t="inlineStr">
        <is>
          <t>Armament@DroneTargeting</t>
        </is>
      </c>
      <c r="L83" s="6" t="n"/>
      <c r="M83" s="6" t="n">
        <v>25</v>
      </c>
      <c r="N83" s="6" t="n">
        <v>1</v>
      </c>
      <c r="O83" s="6" t="n"/>
      <c r="P83" s="6" t="n">
        <v>15000</v>
      </c>
      <c r="Q83" s="6" t="n">
        <v>1</v>
      </c>
      <c r="R83">
        <f>M83+IF(N83&gt;1,N(O83)*(N83-1),0)</f>
        <v/>
      </c>
      <c r="S83">
        <f>IFERROR(L83*MAX(N83,1)/R83*IF(ISBLANK(K82),1,K82),0)</f>
        <v/>
      </c>
      <c r="AB83" s="7" t="inlineStr"/>
    </row>
    <row r="84">
      <c r="B84" s="7" t="inlineStr">
        <is>
          <t xml:space="preserve">  ↳ SteelVulcan</t>
        </is>
      </c>
      <c r="C84" s="7" t="inlineStr">
        <is>
          <t>Armament</t>
        </is>
      </c>
      <c r="L84" s="6" t="n">
        <v>6000</v>
      </c>
      <c r="M84" s="6" t="n">
        <v>10</v>
      </c>
      <c r="N84" s="6" t="n">
        <v>1</v>
      </c>
      <c r="O84" s="6" t="n"/>
      <c r="P84" s="6" t="n">
        <v>6666</v>
      </c>
      <c r="Q84" s="6" t="n">
        <v>1</v>
      </c>
      <c r="R84">
        <f>M84+IF(N84&gt;1,N(O84)*(N84-1),0)</f>
        <v/>
      </c>
      <c r="S84">
        <f>IFERROR(L84*MAX(N84,1)/R84*IF(ISBLANK(K82),1,K82),0)</f>
        <v/>
      </c>
      <c r="AB84" s="7" t="inlineStr">
        <is>
          <t>^Warhead_CannonHE_Heavy, ^Warhead_Bullet_Light, ^Warhead_Bullet_Medium</t>
        </is>
      </c>
    </row>
    <row r="85">
      <c r="B85" s="7" t="inlineStr">
        <is>
          <t xml:space="preserve">  ↳ SteelVulcanResonance</t>
        </is>
      </c>
      <c r="C85" s="7" t="inlineStr">
        <is>
          <t>Armament@Upgrade</t>
        </is>
      </c>
      <c r="L85" s="6" t="n">
        <v>6000</v>
      </c>
      <c r="M85" s="6" t="n">
        <v>10</v>
      </c>
      <c r="N85" s="6" t="n">
        <v>1</v>
      </c>
      <c r="O85" s="6" t="n"/>
      <c r="P85" s="6" t="n">
        <v>6666</v>
      </c>
      <c r="Q85" s="6" t="n">
        <v>1</v>
      </c>
      <c r="R85">
        <f>M85+IF(N85&gt;1,N(O85)*(N85-1),0)</f>
        <v/>
      </c>
      <c r="S85">
        <f>IFERROR(L85*MAX(N85,1)/R85*IF(ISBLANK(K82),1,K82),0)</f>
        <v/>
      </c>
      <c r="AB85" s="7" t="inlineStr">
        <is>
          <t>^Warhead_CannonHE_Heavy, ^Warhead_Bullet_Light, ^Warhead_Bullet_Medium</t>
        </is>
      </c>
    </row>
    <row r="86">
      <c r="A86" t="inlineStr">
        <is>
          <t>redalert2mod</t>
        </is>
      </c>
      <c r="B86" t="inlineStr">
        <is>
          <t>latinsyndicate_combatbarracks</t>
        </is>
      </c>
      <c r="C86" t="inlineStr">
        <is>
          <t>Combat Barracks</t>
        </is>
      </c>
      <c r="D86" s="6" t="inlineStr">
        <is>
          <t>BasicDefense</t>
        </is>
      </c>
      <c r="E86" s="6" t="n">
        <v>200000</v>
      </c>
      <c r="F86" s="6" t="n"/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X86" s="6" t="n">
        <v>1000</v>
      </c>
    </row>
    <row r="87">
      <c r="A87" t="inlineStr">
        <is>
          <t>redalert2mod</t>
        </is>
      </c>
      <c r="B87" t="inlineStr">
        <is>
          <t>latinsyndicate_defensebureau</t>
        </is>
      </c>
      <c r="C87" t="inlineStr">
        <is>
          <t>Defense Bureau</t>
        </is>
      </c>
      <c r="D87" s="6" t="inlineStr">
        <is>
          <t>BasicDefense</t>
        </is>
      </c>
      <c r="E87" s="6" t="n">
        <v>500000</v>
      </c>
      <c r="F87" s="6" t="n"/>
      <c r="G87" t="inlineStr">
        <is>
          <t>Concrete</t>
        </is>
      </c>
      <c r="H87" s="6" t="n">
        <v>0.541</v>
      </c>
      <c r="I87" s="6" t="n">
        <v>1</v>
      </c>
      <c r="J87" s="6" t="n">
        <v>1</v>
      </c>
      <c r="K87" s="6" t="n"/>
      <c r="X87" s="6" t="n">
        <v>5000</v>
      </c>
    </row>
    <row r="88">
      <c r="A88" t="inlineStr">
        <is>
          <t>redalert2mod</t>
        </is>
      </c>
      <c r="B88" t="inlineStr">
        <is>
          <t>latinsyndicate_latinsentrygun</t>
        </is>
      </c>
      <c r="C88" t="inlineStr">
        <is>
          <t>Latin Sentry Gun</t>
        </is>
      </c>
      <c r="D88" s="6" t="inlineStr">
        <is>
          <t>BasicDefense</t>
        </is>
      </c>
      <c r="E88" s="6" t="n">
        <v>113500</v>
      </c>
      <c r="F88" s="6" t="n"/>
      <c r="G88" t="inlineStr">
        <is>
          <t>Concrete</t>
        </is>
      </c>
      <c r="H88" s="6" t="n">
        <v>1</v>
      </c>
      <c r="I88" s="6" t="n">
        <v>0.35</v>
      </c>
      <c r="J88" s="6" t="n">
        <v>1</v>
      </c>
      <c r="K88" s="6" t="n"/>
      <c r="X88" s="6" t="n">
        <v>700</v>
      </c>
    </row>
    <row r="89">
      <c r="B89" s="7" t="inlineStr">
        <is>
          <t xml:space="preserve">  ↳ LatinSentryMG</t>
        </is>
      </c>
      <c r="C89" s="7" t="inlineStr">
        <is>
          <t>Armament@PRIMARY</t>
        </is>
      </c>
      <c r="L89" s="6" t="n">
        <v>6000</v>
      </c>
      <c r="M89" s="6" t="n">
        <v>30</v>
      </c>
      <c r="N89" s="6" t="n">
        <v>3</v>
      </c>
      <c r="O89" s="6" t="n">
        <v>3</v>
      </c>
      <c r="P89" s="6" t="n">
        <v>6666</v>
      </c>
      <c r="Q89" s="6" t="n">
        <v>1</v>
      </c>
      <c r="R89">
        <f>M89+IF(N89&gt;1,N(O89)*(N89-1),0)</f>
        <v/>
      </c>
      <c r="S89">
        <f>IFERROR(L89*MAX(N89,1)/R89*IF(ISBLANK(K88),1,K88),0)</f>
        <v/>
      </c>
      <c r="AB89" s="7" t="inlineStr">
        <is>
          <t>^Warhead_CannonHE_Heavy, ^Warhead_Bullet_Light, ^Warhead_Bullet_Medium</t>
        </is>
      </c>
    </row>
    <row r="90">
      <c r="B90" s="7" t="inlineStr">
        <is>
          <t xml:space="preserve">  ↳ LatinSentryMG_elite</t>
        </is>
      </c>
      <c r="C90" s="7" t="inlineStr">
        <is>
          <t>Armament@ELITE</t>
        </is>
      </c>
      <c r="L90" s="6" t="n">
        <v>6000</v>
      </c>
      <c r="M90" s="6" t="n">
        <v>30</v>
      </c>
      <c r="N90" s="6" t="n">
        <v>3</v>
      </c>
      <c r="O90" s="6" t="n">
        <v>3</v>
      </c>
      <c r="P90" s="6" t="n">
        <v>7777</v>
      </c>
      <c r="Q90" s="6" t="n">
        <v>1</v>
      </c>
      <c r="R90">
        <f>M90+IF(N90&gt;1,N(O90)*(N90-1),0)</f>
        <v/>
      </c>
      <c r="S90">
        <f>IFERROR(L90*MAX(N90,1)/R90*IF(ISBLANK(K88),1,K88),0)</f>
        <v/>
      </c>
      <c r="AB90" s="7" t="inlineStr">
        <is>
          <t>^Warhead_CannonHE_Heavy, ^Warhead_Bullet_Light, ^Warhead_Bullet_Medium</t>
        </is>
      </c>
    </row>
    <row r="91">
      <c r="A91" t="inlineStr">
        <is>
          <t>redalert2mod</t>
        </is>
      </c>
      <c r="B91" t="inlineStr">
        <is>
          <t>naxis_airfield</t>
        </is>
      </c>
      <c r="C91" t="inlineStr">
        <is>
          <t>Naxis Airfield</t>
        </is>
      </c>
      <c r="D91" s="6" t="inlineStr">
        <is>
          <t>BasicDefense</t>
        </is>
      </c>
      <c r="E91" s="6" t="n">
        <v>600000</v>
      </c>
      <c r="F91" s="6" t="n"/>
      <c r="G91" t="inlineStr">
        <is>
          <t>Concrete</t>
        </is>
      </c>
      <c r="H91" s="6" t="n">
        <v>0.8209</v>
      </c>
      <c r="I91" s="6" t="n">
        <v>1</v>
      </c>
      <c r="J91" s="6" t="n">
        <v>1</v>
      </c>
      <c r="K91" s="6" t="n"/>
      <c r="X91" s="6" t="n">
        <v>3000</v>
      </c>
    </row>
    <row r="92">
      <c r="B92" s="7" t="inlineStr">
        <is>
          <t xml:space="preserve">  ↳ NaxDefensivePlaneTarget</t>
        </is>
      </c>
      <c r="C92" s="7" t="inlineStr">
        <is>
          <t>Armament@PRIMARY</t>
        </is>
      </c>
      <c r="L92" s="6" t="n"/>
      <c r="M92" s="6" t="n">
        <v>30</v>
      </c>
      <c r="N92" s="6" t="n">
        <v>1</v>
      </c>
      <c r="O92" s="6" t="n"/>
      <c r="P92" s="6" t="n">
        <v>30000</v>
      </c>
      <c r="Q92" s="6" t="n">
        <v>1</v>
      </c>
      <c r="R92">
        <f>M92+IF(N92&gt;1,N(O92)*(N92-1),0)</f>
        <v/>
      </c>
      <c r="S92">
        <f>IFERROR(L92*MAX(N92,1)/R92*IF(ISBLANK(K91),1,K91),0)</f>
        <v/>
      </c>
      <c r="AB92" s="7" t="inlineStr"/>
    </row>
    <row r="93">
      <c r="A93" t="inlineStr">
        <is>
          <t>redalert2mod</t>
        </is>
      </c>
      <c r="B93" t="inlineStr">
        <is>
          <t>naxis_flak88</t>
        </is>
      </c>
      <c r="C93" t="inlineStr">
        <is>
          <t>Flak 88</t>
        </is>
      </c>
      <c r="D93" s="6" t="inlineStr">
        <is>
          <t>BasicDefense</t>
        </is>
      </c>
      <c r="E93" s="6" t="n">
        <v>160000</v>
      </c>
      <c r="F93" s="6" t="n"/>
      <c r="G93" t="inlineStr">
        <is>
          <t>Concrete</t>
        </is>
      </c>
      <c r="H93" s="6" t="n">
        <v>1</v>
      </c>
      <c r="I93" s="6" t="n">
        <v>0.5</v>
      </c>
      <c r="J93" s="6" t="n">
        <v>1</v>
      </c>
      <c r="K93" s="6" t="n"/>
      <c r="X93" s="6" t="n">
        <v>1200</v>
      </c>
    </row>
    <row r="94">
      <c r="B94" s="7" t="inlineStr">
        <is>
          <t xml:space="preserve">  ↳ NaxFlakAA</t>
        </is>
      </c>
      <c r="C94" s="7" t="inlineStr">
        <is>
          <t>Armament@PRIMARY</t>
        </is>
      </c>
      <c r="L94" s="6" t="n">
        <v>7000</v>
      </c>
      <c r="M94" s="6" t="n">
        <v>88</v>
      </c>
      <c r="N94" s="6" t="n">
        <v>8</v>
      </c>
      <c r="O94" s="6" t="n">
        <v>0</v>
      </c>
      <c r="P94" s="6" t="n">
        <v>13200</v>
      </c>
      <c r="Q94" s="6" t="n">
        <v>1</v>
      </c>
      <c r="R94">
        <f>M94+IF(N94&gt;1,N(O94)*(N94-1),0)</f>
        <v/>
      </c>
      <c r="S94">
        <f>IFERROR(L94*MAX(N94,1)/R94*IF(ISBLANK(K93),1,K93),0)</f>
        <v/>
      </c>
      <c r="AB94" s="7" t="inlineStr">
        <is>
          <t>^Warhead_Flak_Medium</t>
        </is>
      </c>
    </row>
    <row r="95">
      <c r="B95" s="7" t="inlineStr">
        <is>
          <t xml:space="preserve">  ↳ NaxFlakAG</t>
        </is>
      </c>
      <c r="C95" s="7" t="inlineStr">
        <is>
          <t>Armament@AA</t>
        </is>
      </c>
      <c r="L95" s="6" t="n">
        <v>7000</v>
      </c>
      <c r="M95" s="6" t="n">
        <v>88</v>
      </c>
      <c r="N95" s="6" t="n">
        <v>8</v>
      </c>
      <c r="O95" s="6" t="n">
        <v>0</v>
      </c>
      <c r="P95" s="6" t="n">
        <v>8800</v>
      </c>
      <c r="Q95" s="6" t="n">
        <v>1</v>
      </c>
      <c r="R95">
        <f>M95+IF(N95&gt;1,N(O95)*(N95-1),0)</f>
        <v/>
      </c>
      <c r="S95">
        <f>IFERROR(L95*MAX(N95,1)/R95*IF(ISBLANK(K93),1,K93),0)</f>
        <v/>
      </c>
      <c r="AB95" s="7" t="inlineStr">
        <is>
          <t>^Warhead_Flak_Medium</t>
        </is>
      </c>
    </row>
    <row r="96">
      <c r="A96" t="inlineStr">
        <is>
          <t>redalert2mod</t>
        </is>
      </c>
      <c r="B96" t="inlineStr">
        <is>
          <t>naxis_rifletower</t>
        </is>
      </c>
      <c r="C96" t="inlineStr">
        <is>
          <t>Rifle Tower</t>
        </is>
      </c>
      <c r="D96" s="6" t="inlineStr">
        <is>
          <t>BasicDefense</t>
        </is>
      </c>
      <c r="E96" s="6" t="n">
        <v>78000</v>
      </c>
      <c r="F96" s="6" t="n"/>
      <c r="G96" t="inlineStr">
        <is>
          <t>Concrete</t>
        </is>
      </c>
      <c r="H96" s="6" t="n">
        <v>1</v>
      </c>
      <c r="I96" s="6" t="n">
        <v>1</v>
      </c>
      <c r="J96" s="6" t="n">
        <v>1</v>
      </c>
      <c r="K96" s="6" t="n"/>
      <c r="X96" s="6" t="n">
        <v>650</v>
      </c>
    </row>
    <row r="97">
      <c r="B97" s="7" t="inlineStr">
        <is>
          <t xml:space="preserve">  ↳ NaxiRifleT</t>
        </is>
      </c>
      <c r="C97" s="7" t="inlineStr">
        <is>
          <t>Armament</t>
        </is>
      </c>
      <c r="L97" s="6" t="n">
        <v>32000</v>
      </c>
      <c r="M97" s="6" t="n">
        <v>50</v>
      </c>
      <c r="N97" s="6" t="n">
        <v>2</v>
      </c>
      <c r="O97" s="6" t="n">
        <v>5</v>
      </c>
      <c r="P97" s="6" t="n">
        <v>8100</v>
      </c>
      <c r="Q97" s="6" t="n">
        <v>0.75</v>
      </c>
      <c r="R97">
        <f>M97+IF(N97&gt;1,N(O97)*(N97-1),0)</f>
        <v/>
      </c>
      <c r="S97">
        <f>IFERROR(L97*MAX(N97,1)/R97*IF(ISBLANK(K96),1,K96),0)</f>
        <v/>
      </c>
      <c r="AB97" s="7" t="inlineStr">
        <is>
          <t>^Warhead_Bullet_Light</t>
        </is>
      </c>
    </row>
    <row r="98">
      <c r="A98" t="inlineStr">
        <is>
          <t>redalert2mod</t>
        </is>
      </c>
      <c r="B98" t="inlineStr">
        <is>
          <t>schwarzermond_airfield</t>
        </is>
      </c>
      <c r="C98" t="inlineStr">
        <is>
          <t>Schwarzer Mond Airfield</t>
        </is>
      </c>
      <c r="D98" s="6" t="inlineStr">
        <is>
          <t>BasicDefense</t>
        </is>
      </c>
      <c r="E98" s="6" t="n">
        <v>600000</v>
      </c>
      <c r="F98" s="6" t="n"/>
      <c r="G98" t="inlineStr">
        <is>
          <t>Concrete</t>
        </is>
      </c>
      <c r="H98" s="6" t="n">
        <v>0.8209</v>
      </c>
      <c r="I98" s="6" t="n">
        <v>1</v>
      </c>
      <c r="J98" s="6" t="n">
        <v>1</v>
      </c>
      <c r="K98" s="6" t="n"/>
      <c r="X98" s="6" t="n">
        <v>3000</v>
      </c>
    </row>
    <row r="99">
      <c r="B99" s="7" t="inlineStr">
        <is>
          <t xml:space="preserve">  ↳ NaxDefensivePlaneTarget</t>
        </is>
      </c>
      <c r="C99" s="7" t="inlineStr">
        <is>
          <t>Armament@PRIMARY</t>
        </is>
      </c>
      <c r="L99" s="6" t="n"/>
      <c r="M99" s="6" t="n">
        <v>30</v>
      </c>
      <c r="N99" s="6" t="n">
        <v>1</v>
      </c>
      <c r="O99" s="6" t="n"/>
      <c r="P99" s="6" t="n">
        <v>30000</v>
      </c>
      <c r="Q99" s="6" t="n">
        <v>1</v>
      </c>
      <c r="R99">
        <f>M99+IF(N99&gt;1,N(O99)*(N99-1),0)</f>
        <v/>
      </c>
      <c r="S99">
        <f>IFERROR(L99*MAX(N99,1)/R99*IF(ISBLANK(K98),1,K98),0)</f>
        <v/>
      </c>
      <c r="AB99" s="7" t="inlineStr"/>
    </row>
    <row r="100">
      <c r="A100" t="inlineStr">
        <is>
          <t>redalert2mod</t>
        </is>
      </c>
      <c r="B100" t="inlineStr">
        <is>
          <t>schwarzermond_sturmcannon</t>
        </is>
      </c>
      <c r="C100" t="inlineStr">
        <is>
          <t>Sturm Cannon</t>
        </is>
      </c>
      <c r="D100" s="6" t="inlineStr">
        <is>
          <t>BasicDefense</t>
        </is>
      </c>
      <c r="E100" s="6" t="n">
        <v>160000</v>
      </c>
      <c r="F100" s="6" t="n"/>
      <c r="G100" t="inlineStr">
        <is>
          <t>Concrete</t>
        </is>
      </c>
      <c r="H100" s="6" t="n">
        <v>0.8639</v>
      </c>
      <c r="I100" s="6" t="n">
        <v>1</v>
      </c>
      <c r="J100" s="6" t="n">
        <v>1</v>
      </c>
      <c r="K100" s="6" t="n"/>
      <c r="X100" s="6" t="n">
        <v>1200</v>
      </c>
    </row>
    <row r="101">
      <c r="B101" s="7" t="inlineStr">
        <is>
          <t xml:space="preserve">  ↳ NaxSturmArty</t>
        </is>
      </c>
      <c r="C101" s="7" t="inlineStr">
        <is>
          <t>Armament@PRIMARY</t>
        </is>
      </c>
      <c r="L101" s="6" t="n">
        <v>80000</v>
      </c>
      <c r="M101" s="6" t="n">
        <v>140</v>
      </c>
      <c r="N101" s="6" t="n">
        <v>1</v>
      </c>
      <c r="O101" s="6" t="n"/>
      <c r="P101" s="6" t="n">
        <v>14000</v>
      </c>
      <c r="Q101" s="6" t="n">
        <v>1</v>
      </c>
      <c r="R101">
        <f>M101+IF(N101&gt;1,N(O101)*(N101-1),0)</f>
        <v/>
      </c>
      <c r="S101">
        <f>IFERROR(L101*MAX(N101,1)/R101*IF(ISBLANK(K100),1,K100),0)</f>
        <v/>
      </c>
      <c r="AB101" s="7" t="inlineStr">
        <is>
          <t>^Warhead_Demolition_Heavy, ^Warhead_CannonHE_Medium, ^Warhead_Demolition_Light</t>
        </is>
      </c>
    </row>
    <row r="102">
      <c r="B102" s="7" t="inlineStr">
        <is>
          <t xml:space="preserve">  ↳ Lunar_GreenSturmArty</t>
        </is>
      </c>
      <c r="C102" s="7" t="inlineStr">
        <is>
          <t>Armament@PRIMARY_UP</t>
        </is>
      </c>
      <c r="L102" s="6" t="n">
        <v>82000</v>
      </c>
      <c r="M102" s="6" t="n">
        <v>140</v>
      </c>
      <c r="N102" s="6" t="n">
        <v>1</v>
      </c>
      <c r="O102" s="6" t="n"/>
      <c r="P102" s="6" t="n">
        <v>14000</v>
      </c>
      <c r="Q102" s="6" t="n">
        <v>1</v>
      </c>
      <c r="R102">
        <f>M102+IF(N102&gt;1,N(O102)*(N102-1),0)</f>
        <v/>
      </c>
      <c r="S102">
        <f>IFERROR(L102*MAX(N102,1)/R102*IF(ISBLANK(K100),1,K100),0)</f>
        <v/>
      </c>
      <c r="AB102" s="7" t="inlineStr">
        <is>
          <t>^Warhead_Tesla_Heavy, ^Warhead_Demolition_Heavy, ^Warhead_CannonHE_Medium, ^Warhead_Demolition_Light</t>
        </is>
      </c>
    </row>
    <row r="103">
      <c r="A103" t="inlineStr">
        <is>
          <t>redalert2mod</t>
        </is>
      </c>
      <c r="B103" t="inlineStr">
        <is>
          <t>futuretech_multiturretsystem</t>
        </is>
      </c>
      <c r="C103" t="inlineStr">
        <is>
          <t>Multi Turret System</t>
        </is>
      </c>
      <c r="D103" s="6" t="inlineStr">
        <is>
          <t>BasicDefense</t>
        </is>
      </c>
      <c r="E103" s="6" t="n">
        <v>105000</v>
      </c>
      <c r="F103" s="6" t="n"/>
      <c r="G103" t="inlineStr">
        <is>
          <t>Concrete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800</v>
      </c>
    </row>
    <row r="104">
      <c r="B104" s="7" t="inlineStr">
        <is>
          <t xml:space="preserve">  ↳ Future_MultiMissile</t>
        </is>
      </c>
      <c r="C104" s="7" t="inlineStr">
        <is>
          <t>Armament@primary</t>
        </is>
      </c>
      <c r="L104" s="6" t="n">
        <v>8000</v>
      </c>
      <c r="M104" s="6" t="n">
        <v>24</v>
      </c>
      <c r="N104" s="6" t="n">
        <v>3</v>
      </c>
      <c r="O104" s="6" t="n">
        <v>4</v>
      </c>
      <c r="P104" s="6" t="n">
        <v>7410</v>
      </c>
      <c r="Q104" s="6" t="n">
        <v>0.75</v>
      </c>
      <c r="R104">
        <f>M104+IF(N104&gt;1,N(O104)*(N104-1),0)</f>
        <v/>
      </c>
      <c r="S104">
        <f>IFERROR(L104*MAX(N104,1)/R104*IF(ISBLANK(K103),1,K103),0)</f>
        <v/>
      </c>
      <c r="AB104" s="7" t="inlineStr">
        <is>
          <t>^Warhead_Arrow_Light, ^Warhead_MissileAP_Light</t>
        </is>
      </c>
    </row>
    <row r="105">
      <c r="B105" s="7" t="inlineStr">
        <is>
          <t xml:space="preserve">  ↳ Future_MultiMissile_Javelin</t>
        </is>
      </c>
      <c r="C105" s="7" t="inlineStr">
        <is>
          <t>Armament@MISS</t>
        </is>
      </c>
      <c r="L105" s="6" t="n">
        <v>10000</v>
      </c>
      <c r="M105" s="6" t="n">
        <v>32</v>
      </c>
      <c r="N105" s="6" t="n">
        <v>3</v>
      </c>
      <c r="O105" s="6" t="n">
        <v>4</v>
      </c>
      <c r="P105" s="6" t="n">
        <v>9000</v>
      </c>
      <c r="Q105" s="6" t="n">
        <v>1.25</v>
      </c>
      <c r="R105">
        <f>M105+IF(N105&gt;1,N(O105)*(N105-1),0)</f>
        <v/>
      </c>
      <c r="S105">
        <f>IFERROR(L105*MAX(N105,1)/R105*IF(ISBLANK(K103),1,K103),0)</f>
        <v/>
      </c>
      <c r="AB105" s="7" t="inlineStr">
        <is>
          <t>^Warhead_MissileAP_Heavy</t>
        </is>
      </c>
    </row>
    <row r="106">
      <c r="B106" s="7" t="inlineStr">
        <is>
          <t xml:space="preserve">  ↳ Future_MultiMissile_Frag</t>
        </is>
      </c>
      <c r="C106" s="7" t="inlineStr">
        <is>
          <t>Armament@FRAG</t>
        </is>
      </c>
      <c r="L106" s="6" t="n">
        <v>16000</v>
      </c>
      <c r="M106" s="6" t="n">
        <v>56</v>
      </c>
      <c r="N106" s="6" t="n">
        <v>3</v>
      </c>
      <c r="O106" s="6" t="n">
        <v>4</v>
      </c>
      <c r="P106" s="6" t="n">
        <v>8300</v>
      </c>
      <c r="Q106" s="6" t="n">
        <v>1</v>
      </c>
      <c r="R106">
        <f>M106+IF(N106&gt;1,N(O106)*(N106-1),0)</f>
        <v/>
      </c>
      <c r="S106">
        <f>IFERROR(L106*MAX(N106,1)/R106*IF(ISBLANK(K103),1,K103),0)</f>
        <v/>
      </c>
      <c r="AB106" s="7" t="inlineStr">
        <is>
          <t>^ShrapnelWeapon, ^MediumFlameWeapon, ^LightChemicalWeapon, ^LightMissile, ^Effect_Explosion_Large_RA2</t>
        </is>
      </c>
    </row>
    <row r="107">
      <c r="B107" s="7" t="inlineStr">
        <is>
          <t xml:space="preserve">  ↳ Future_MultiMissile_Sigma</t>
        </is>
      </c>
      <c r="C107" s="7" t="inlineStr">
        <is>
          <t>Armament@Sigma</t>
        </is>
      </c>
      <c r="L107" s="6" t="n">
        <v>50000</v>
      </c>
      <c r="M107" s="6" t="n">
        <v>50</v>
      </c>
      <c r="N107" s="6" t="n">
        <v>3</v>
      </c>
      <c r="O107" s="6" t="n">
        <v>6</v>
      </c>
      <c r="P107" s="6" t="n">
        <v>9000</v>
      </c>
      <c r="Q107" s="6" t="n">
        <v>1</v>
      </c>
      <c r="R107">
        <f>M107+IF(N107&gt;1,N(O107)*(N107-1),0)</f>
        <v/>
      </c>
      <c r="S107">
        <f>IFERROR(L107*MAX(N107,1)/R107*IF(ISBLANK(K103),1,K103),0)</f>
        <v/>
      </c>
      <c r="AB107" s="7" t="inlineStr">
        <is>
          <t>^TeslaChargedWeapon, ^MagicWeapon, ^FlakWeapon, ^ShrapnelWeapon, ^MediumMissile</t>
        </is>
      </c>
    </row>
    <row r="108">
      <c r="A108" t="inlineStr">
        <is>
          <t>redalert2mod</t>
        </is>
      </c>
      <c r="B108" t="inlineStr">
        <is>
          <t>tkm_tankturretbunker</t>
        </is>
      </c>
      <c r="C108" t="inlineStr">
        <is>
          <t>TKM Tank Turret Bunker</t>
        </is>
      </c>
      <c r="D108" s="6" t="inlineStr">
        <is>
          <t>BasicDefense</t>
        </is>
      </c>
      <c r="E108" s="6" t="n">
        <v>100000</v>
      </c>
      <c r="F108" s="6" t="n">
        <v>100</v>
      </c>
      <c r="G108" t="inlineStr">
        <is>
          <t>Concrete</t>
        </is>
      </c>
      <c r="H108" s="6" t="n">
        <v>1</v>
      </c>
      <c r="I108" s="6" t="n">
        <v>1</v>
      </c>
      <c r="J108" s="6" t="n">
        <v>1</v>
      </c>
      <c r="K108" s="6" t="n"/>
      <c r="P108">
        <f>MAX(P109)</f>
        <v/>
      </c>
      <c r="S108">
        <f>S109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800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tkmturretcannon</t>
        </is>
      </c>
      <c r="C109" s="7" t="inlineStr">
        <is>
          <t>Armament</t>
        </is>
      </c>
      <c r="L109" s="6" t="n">
        <v>16000</v>
      </c>
      <c r="M109" s="6" t="n">
        <v>28</v>
      </c>
      <c r="N109" s="6" t="n">
        <v>1</v>
      </c>
      <c r="O109" s="6" t="n"/>
      <c r="P109" s="6" t="n">
        <v>8683</v>
      </c>
      <c r="Q109" s="6" t="n">
        <v>0.875</v>
      </c>
      <c r="R109">
        <f>M109+IF(N109&gt;1,N(O109)*(N109-1),0)</f>
        <v/>
      </c>
      <c r="S109">
        <f>IFERROR(L109*MAX(N109,1)/R109*IF(ISBLANK(K108),1,K108),0)</f>
        <v/>
      </c>
      <c r="AB109" s="7" t="inlineStr">
        <is>
          <t>^Warhead_CannonAP_Light, ^Warhead_CannonHE_Medium</t>
        </is>
      </c>
    </row>
    <row r="110">
      <c r="A110" t="inlineStr">
        <is>
          <t>redalert2mod</t>
        </is>
      </c>
      <c r="B110" t="inlineStr">
        <is>
          <t>tkmratflakdeployed</t>
        </is>
      </c>
      <c r="C110" t="inlineStr">
        <is>
          <t>Flak Bus (Deployed)</t>
        </is>
      </c>
      <c r="D110" s="6" t="inlineStr">
        <is>
          <t>BasicDefense</t>
        </is>
      </c>
      <c r="E110" s="6" t="n">
        <v>120000</v>
      </c>
      <c r="F110" s="6" t="n">
        <v>100</v>
      </c>
      <c r="G110" t="inlineStr">
        <is>
          <t>Heavy</t>
        </is>
      </c>
      <c r="H110" s="6" t="n">
        <v>1</v>
      </c>
      <c r="I110" s="6" t="n">
        <v>1</v>
      </c>
      <c r="J110" s="6" t="n">
        <v>1</v>
      </c>
      <c r="K110" s="6" t="n"/>
      <c r="P110">
        <f>MAX(P111)</f>
        <v/>
      </c>
      <c r="S110">
        <f>S111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1600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FlakbusAA</t>
        </is>
      </c>
      <c r="C111" s="7" t="inlineStr">
        <is>
          <t>Armament</t>
        </is>
      </c>
      <c r="L111" s="6" t="n">
        <v>32000</v>
      </c>
      <c r="M111" s="6" t="n">
        <v>32</v>
      </c>
      <c r="N111" s="6" t="n">
        <v>1</v>
      </c>
      <c r="O111" s="6" t="n"/>
      <c r="P111" s="6" t="n">
        <v>10929</v>
      </c>
      <c r="Q111" s="6" t="n">
        <v>1</v>
      </c>
      <c r="R111">
        <f>M111+IF(N111&gt;1,N(O111)*(N111-1),0)</f>
        <v/>
      </c>
      <c r="S111">
        <f>IFERROR(L111*MAX(N111,1)/R111*IF(ISBLANK(K110),1,K110),0)</f>
        <v/>
      </c>
      <c r="AB111" s="7" t="inlineStr">
        <is>
          <t>^Warhead_MissileHE_Medium, ^Warhead_Flak_Medium</t>
        </is>
      </c>
    </row>
    <row r="112">
      <c r="A112" t="inlineStr">
        <is>
          <t>redalert2mod</t>
        </is>
      </c>
      <c r="B112" t="inlineStr">
        <is>
          <t>tkmtrenchtankdeployed</t>
        </is>
      </c>
      <c r="C112" t="inlineStr">
        <is>
          <t>TKM Trench Tank (Deployed)</t>
        </is>
      </c>
      <c r="D112" s="6" t="inlineStr">
        <is>
          <t>BasicDefense</t>
        </is>
      </c>
      <c r="E112" s="6" t="n">
        <v>200000</v>
      </c>
      <c r="F112" s="6" t="n">
        <v>100</v>
      </c>
      <c r="G112" t="inlineStr">
        <is>
          <t>Heavy</t>
        </is>
      </c>
      <c r="H112" s="6" t="n">
        <v>1</v>
      </c>
      <c r="I112" s="6" t="n">
        <v>1</v>
      </c>
      <c r="J112" s="6" t="n">
        <v>1</v>
      </c>
      <c r="K112" s="6" t="n"/>
      <c r="P112">
        <f>MAX(P113)</f>
        <v/>
      </c>
      <c r="S112">
        <f>S113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2500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tkmtrenchdepcannon</t>
        </is>
      </c>
      <c r="C113" s="7" t="inlineStr">
        <is>
          <t>Armament</t>
        </is>
      </c>
      <c r="L113" s="6" t="n">
        <v>40000</v>
      </c>
      <c r="M113" s="6" t="n">
        <v>36</v>
      </c>
      <c r="N113" s="6" t="n">
        <v>1</v>
      </c>
      <c r="O113" s="6" t="n"/>
      <c r="P113" s="6" t="n">
        <v>11071</v>
      </c>
      <c r="Q113" s="6" t="n">
        <v>1.125</v>
      </c>
      <c r="R113">
        <f>M113+IF(N113&gt;1,N(O113)*(N113-1),0)</f>
        <v/>
      </c>
      <c r="S113">
        <f>IFERROR(L113*MAX(N113,1)/R113*IF(ISBLANK(K112),1,K112),0)</f>
        <v/>
      </c>
      <c r="AB113" s="7" t="inlineStr">
        <is>
          <t>^Warhead_Concussion_Medium, ^Warhead_CannonHE_Heavy</t>
        </is>
      </c>
    </row>
    <row r="114">
      <c r="A114" t="inlineStr">
        <is>
          <t>d2k</t>
        </is>
      </c>
      <c r="B114" t="inlineStr">
        <is>
          <t>ixian_gunturret</t>
        </is>
      </c>
      <c r="C114" t="inlineStr">
        <is>
          <t>Gun Turret</t>
        </is>
      </c>
      <c r="D114" s="6" t="inlineStr">
        <is>
          <t>BasicDefense</t>
        </is>
      </c>
      <c r="E114" s="6" t="n">
        <v>125000</v>
      </c>
      <c r="F114" s="6" t="n"/>
      <c r="G114" t="inlineStr">
        <is>
          <t>Concrete</t>
        </is>
      </c>
      <c r="H114" s="6" t="n">
        <v>1</v>
      </c>
      <c r="I114" s="6" t="n">
        <v>1</v>
      </c>
      <c r="J114" s="6" t="n">
        <v>1</v>
      </c>
      <c r="K114" s="6" t="n"/>
      <c r="X114" s="6" t="n">
        <v>1000</v>
      </c>
    </row>
    <row r="115">
      <c r="B115" s="7" t="inlineStr">
        <is>
          <t xml:space="preserve">  ↳ 110mm_Gun</t>
        </is>
      </c>
      <c r="C115" s="7" t="inlineStr">
        <is>
          <t>Armament</t>
        </is>
      </c>
      <c r="L115" s="6" t="n">
        <v>30000</v>
      </c>
      <c r="M115" s="6" t="n">
        <v>50</v>
      </c>
      <c r="N115" s="6" t="n">
        <v>1</v>
      </c>
      <c r="O115" s="6" t="n"/>
      <c r="P115" s="6" t="n">
        <v>7979</v>
      </c>
      <c r="Q115" s="6" t="n">
        <v>1</v>
      </c>
      <c r="R115">
        <f>M115+IF(N115&gt;1,N(O115)*(N115-1),0)</f>
        <v/>
      </c>
      <c r="S115">
        <f>IFERROR(L115*MAX(N115,1)/R115*IF(ISBLANK(K114),1,K114),0)</f>
        <v/>
      </c>
      <c r="AB115" s="7" t="inlineStr">
        <is>
          <t>^Warhead_CannonHE_Heavy, ^Warhead_CannonAP_Light, ^Warhead_CannonHE_Medium</t>
        </is>
      </c>
    </row>
    <row r="116">
      <c r="A116" t="inlineStr">
        <is>
          <t>d2k</t>
        </is>
      </c>
      <c r="B116" t="inlineStr">
        <is>
          <t>ixian_machinegunturret</t>
        </is>
      </c>
      <c r="C116" t="inlineStr">
        <is>
          <t>Machine Gun Turret</t>
        </is>
      </c>
      <c r="D116" s="6" t="inlineStr">
        <is>
          <t>BasicDefense</t>
        </is>
      </c>
      <c r="E116" s="6" t="n">
        <v>75000</v>
      </c>
      <c r="F116" s="6" t="n"/>
      <c r="G116" t="inlineStr">
        <is>
          <t>Concrete</t>
        </is>
      </c>
      <c r="H116" s="6" t="n">
        <v>1</v>
      </c>
      <c r="I116" s="6" t="n">
        <v>1</v>
      </c>
      <c r="J116" s="6" t="n">
        <v>1</v>
      </c>
      <c r="K116" s="6" t="n"/>
      <c r="X116" s="6" t="n">
        <v>600</v>
      </c>
    </row>
    <row r="117">
      <c r="B117" s="7" t="inlineStr">
        <is>
          <t xml:space="preserve">  ↳ HMG_turret</t>
        </is>
      </c>
      <c r="C117" s="7" t="inlineStr">
        <is>
          <t>Armament</t>
        </is>
      </c>
      <c r="L117" s="6" t="n">
        <v>4000</v>
      </c>
      <c r="M117" s="6" t="n">
        <v>22</v>
      </c>
      <c r="N117" s="6" t="n">
        <v>4</v>
      </c>
      <c r="O117" s="6" t="n">
        <v>2</v>
      </c>
      <c r="P117" s="6" t="n">
        <v>7394</v>
      </c>
      <c r="Q117" s="6" t="n">
        <v>0.875</v>
      </c>
      <c r="R117">
        <f>M117+IF(N117&gt;1,N(O117)*(N117-1),0)</f>
        <v/>
      </c>
      <c r="S117">
        <f>IFERROR(L117*MAX(N117,1)/R117*IF(ISBLANK(K116),1,K116),0)</f>
        <v/>
      </c>
      <c r="AB117" s="7" t="inlineStr">
        <is>
          <t>^Warhead_Bullet_Light, ^Warhead_Bullet_Medium</t>
        </is>
      </c>
    </row>
    <row r="118">
      <c r="B118" s="7" t="inlineStr">
        <is>
          <t xml:space="preserve">  ↳ HMG_turret_upgrade</t>
        </is>
      </c>
      <c r="C118" s="7" t="inlineStr">
        <is>
          <t>Armament@Upgrade</t>
        </is>
      </c>
      <c r="L118" s="6" t="n">
        <v>6000</v>
      </c>
      <c r="M118" s="6" t="n">
        <v>33</v>
      </c>
      <c r="N118" s="6" t="n">
        <v>4</v>
      </c>
      <c r="O118" s="6" t="n">
        <v>3</v>
      </c>
      <c r="P118" s="6" t="n">
        <v>7394</v>
      </c>
      <c r="Q118" s="6" t="n">
        <v>1</v>
      </c>
      <c r="R118">
        <f>M118+IF(N118&gt;1,N(O118)*(N118-1),0)</f>
        <v/>
      </c>
      <c r="S118">
        <f>IFERROR(L118*MAX(N118,1)/R118*IF(ISBLANK(K116),1,K116),0)</f>
        <v/>
      </c>
      <c r="AB118" s="7" t="inlineStr">
        <is>
          <t>^Warhead_CannonHE_Heavy, ^Warhead_Bullet_Light, ^Warhead_Bullet_Medium</t>
        </is>
      </c>
    </row>
    <row r="119">
      <c r="A119" t="inlineStr">
        <is>
          <t>d2k</t>
        </is>
      </c>
      <c r="B119" t="inlineStr">
        <is>
          <t>harkonnen_flameturret</t>
        </is>
      </c>
      <c r="C119" t="inlineStr">
        <is>
          <t>Harkonnen Flame Turret</t>
        </is>
      </c>
      <c r="D119" s="6" t="inlineStr">
        <is>
          <t>BasicDefense</t>
        </is>
      </c>
      <c r="E119" s="6" t="n">
        <v>125000</v>
      </c>
      <c r="F119" s="6" t="n"/>
      <c r="G119" t="inlineStr">
        <is>
          <t>Concrete</t>
        </is>
      </c>
      <c r="H119" s="6" t="n">
        <v>1</v>
      </c>
      <c r="I119" s="6" t="n">
        <v>1</v>
      </c>
      <c r="J119" s="6" t="n">
        <v>1</v>
      </c>
      <c r="K119" s="6" t="n"/>
      <c r="X119" s="6" t="n">
        <v>1200</v>
      </c>
    </row>
    <row r="120">
      <c r="B120" s="7" t="inlineStr">
        <is>
          <t xml:space="preserve">  ↳ HarkonnenFlameTurret</t>
        </is>
      </c>
      <c r="C120" s="7" t="inlineStr">
        <is>
          <t>Armament</t>
        </is>
      </c>
      <c r="L120" s="6" t="n">
        <v>25135</v>
      </c>
      <c r="M120" s="6" t="n">
        <v>50</v>
      </c>
      <c r="N120" s="6" t="n">
        <v>5</v>
      </c>
      <c r="O120" s="6" t="n">
        <v>3</v>
      </c>
      <c r="P120" s="6" t="n">
        <v>6742</v>
      </c>
      <c r="Q120" s="6" t="n">
        <v>1</v>
      </c>
      <c r="R120">
        <f>M120+IF(N120&gt;1,N(O120)*(N120-1),0)</f>
        <v/>
      </c>
      <c r="S120">
        <f>IFERROR(L120*MAX(N120,1)/R120*IF(ISBLANK(K119),1,K119),0)</f>
        <v/>
      </c>
      <c r="AB120" s="7" t="inlineStr">
        <is>
          <t>^Warhead_Flame_Medium</t>
        </is>
      </c>
    </row>
    <row r="121">
      <c r="A121" t="inlineStr">
        <is>
          <t>starcraft</t>
        </is>
      </c>
      <c r="B121" t="inlineStr">
        <is>
          <t>zerg_creepcolony</t>
        </is>
      </c>
      <c r="C121" t="inlineStr">
        <is>
          <t>Creep Colony</t>
        </is>
      </c>
      <c r="D121" s="6" t="inlineStr">
        <is>
          <t>BasicDefense</t>
        </is>
      </c>
      <c r="E121" s="6" t="n">
        <v>80000</v>
      </c>
      <c r="F121" s="6" t="n">
        <v>100</v>
      </c>
      <c r="G121" t="inlineStr">
        <is>
          <t>Wood</t>
        </is>
      </c>
      <c r="H121" s="6" t="n">
        <v>1</v>
      </c>
      <c r="I121" s="6" t="n">
        <v>1</v>
      </c>
      <c r="J121" s="6" t="n">
        <v>1</v>
      </c>
      <c r="K121" s="6" t="n"/>
      <c r="P121">
        <f>MAX(P122,P123)</f>
        <v/>
      </c>
      <c r="S121">
        <f>S122+S123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1000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Tentacle</t>
        </is>
      </c>
      <c r="C122" s="7" t="inlineStr">
        <is>
          <t>Armament@sunken</t>
        </is>
      </c>
      <c r="L122" s="6" t="n">
        <v>24000</v>
      </c>
      <c r="M122" s="6" t="n">
        <v>32</v>
      </c>
      <c r="N122" s="6" t="n">
        <v>1</v>
      </c>
      <c r="O122" s="6" t="n"/>
      <c r="P122" s="6" t="n">
        <v>7680</v>
      </c>
      <c r="Q122" s="6" t="n">
        <v>1.25</v>
      </c>
      <c r="R122">
        <f>M122+IF(N122&gt;1,N(O122)*(N122-1),0)</f>
        <v/>
      </c>
      <c r="S122">
        <f>IFERROR(L122*MAX(N122,1)/R122*IF(ISBLANK(K121),1,K121),0)</f>
        <v/>
      </c>
      <c r="AB122" s="7" t="inlineStr">
        <is>
          <t>^Warhead_CannonHE_Heavy</t>
        </is>
      </c>
    </row>
    <row r="123">
      <c r="B123" s="7" t="inlineStr">
        <is>
          <t xml:space="preserve">  ↳ Spore_AA</t>
        </is>
      </c>
      <c r="C123" s="7" t="inlineStr">
        <is>
          <t>Armament@spore</t>
        </is>
      </c>
      <c r="L123" s="6" t="n">
        <v>36000</v>
      </c>
      <c r="M123" s="6" t="n">
        <v>34</v>
      </c>
      <c r="N123" s="6" t="n">
        <v>1</v>
      </c>
      <c r="O123" s="6" t="n"/>
      <c r="P123" s="6" t="n">
        <v>10160</v>
      </c>
      <c r="Q123" s="6" t="n">
        <v>1</v>
      </c>
      <c r="R123">
        <f>M123+IF(N123&gt;1,N(O123)*(N123-1),0)</f>
        <v/>
      </c>
      <c r="S123">
        <f>IFERROR(L123*MAX(N123,1)/R123*IF(ISBLANK(K121),1,K121),0)</f>
        <v/>
      </c>
      <c r="AB123" s="7" t="inlineStr">
        <is>
          <t>^MediumMissile, ^Chaingun, ^FlakWeapon</t>
        </is>
      </c>
    </row>
    <row r="124">
      <c r="A124" t="inlineStr">
        <is>
          <t>starcraft</t>
        </is>
      </c>
      <c r="B124" t="inlineStr">
        <is>
          <t>zerg_creepcolony_defense</t>
        </is>
      </c>
      <c r="C124" t="inlineStr">
        <is>
          <t>Creep Colony</t>
        </is>
      </c>
      <c r="D124" s="6" t="inlineStr">
        <is>
          <t>BasicDefense</t>
        </is>
      </c>
      <c r="E124" s="6" t="n">
        <v>80000</v>
      </c>
      <c r="F124" s="6" t="n">
        <v>100</v>
      </c>
      <c r="G124" t="inlineStr">
        <is>
          <t>Wood</t>
        </is>
      </c>
      <c r="H124" s="6" t="n">
        <v>1</v>
      </c>
      <c r="I124" s="6" t="n">
        <v>1</v>
      </c>
      <c r="J124" s="6" t="n">
        <v>1</v>
      </c>
      <c r="K124" s="6" t="n"/>
      <c r="P124">
        <f>MAX(P125,P126)</f>
        <v/>
      </c>
      <c r="S124">
        <f>S125+S126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1000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Tentacle</t>
        </is>
      </c>
      <c r="C125" s="7" t="inlineStr">
        <is>
          <t>Armament@sunken</t>
        </is>
      </c>
      <c r="L125" s="6" t="n">
        <v>24000</v>
      </c>
      <c r="M125" s="6" t="n">
        <v>32</v>
      </c>
      <c r="N125" s="6" t="n">
        <v>1</v>
      </c>
      <c r="O125" s="6" t="n"/>
      <c r="P125" s="6" t="n">
        <v>7680</v>
      </c>
      <c r="Q125" s="6" t="n">
        <v>1.25</v>
      </c>
      <c r="R125">
        <f>M125+IF(N125&gt;1,N(O125)*(N125-1),0)</f>
        <v/>
      </c>
      <c r="S125">
        <f>IFERROR(L125*MAX(N125,1)/R125*IF(ISBLANK(K124),1,K124),0)</f>
        <v/>
      </c>
      <c r="AB125" s="7" t="inlineStr">
        <is>
          <t>^Warhead_CannonHE_Heavy</t>
        </is>
      </c>
    </row>
    <row r="126">
      <c r="B126" s="7" t="inlineStr">
        <is>
          <t xml:space="preserve">  ↳ Spore_AA</t>
        </is>
      </c>
      <c r="C126" s="7" t="inlineStr">
        <is>
          <t>Armament@spore</t>
        </is>
      </c>
      <c r="L126" s="6" t="n">
        <v>36000</v>
      </c>
      <c r="M126" s="6" t="n">
        <v>34</v>
      </c>
      <c r="N126" s="6" t="n">
        <v>1</v>
      </c>
      <c r="O126" s="6" t="n"/>
      <c r="P126" s="6" t="n">
        <v>10160</v>
      </c>
      <c r="Q126" s="6" t="n">
        <v>1</v>
      </c>
      <c r="R126">
        <f>M126+IF(N126&gt;1,N(O126)*(N126-1),0)</f>
        <v/>
      </c>
      <c r="S126">
        <f>IFERROR(L126*MAX(N126,1)/R126*IF(ISBLANK(K124),1,K124),0)</f>
        <v/>
      </c>
      <c r="AB126" s="7" t="inlineStr">
        <is>
          <t>^MediumMissile, ^Chaingun, ^FlakWeapon</t>
        </is>
      </c>
    </row>
    <row r="127">
      <c r="A127" t="inlineStr">
        <is>
          <t>starcraft</t>
        </is>
      </c>
      <c r="B127" t="inlineStr">
        <is>
          <t>zerg_sporecolony</t>
        </is>
      </c>
      <c r="C127" t="inlineStr">
        <is>
          <t>Spore Colony</t>
        </is>
      </c>
      <c r="D127" s="6" t="inlineStr">
        <is>
          <t>BasicDefense</t>
        </is>
      </c>
      <c r="E127" s="6" t="n">
        <v>80000</v>
      </c>
      <c r="F127" s="6" t="n">
        <v>100</v>
      </c>
      <c r="G127" t="inlineStr">
        <is>
          <t>Wood</t>
        </is>
      </c>
      <c r="H127" s="6" t="n">
        <v>1</v>
      </c>
      <c r="I127" s="6" t="n">
        <v>1</v>
      </c>
      <c r="J127" s="6" t="n">
        <v>1</v>
      </c>
      <c r="K127" s="6" t="n"/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1250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Tentacle</t>
        </is>
      </c>
      <c r="C128" s="7" t="inlineStr">
        <is>
          <t>Armament@sunken</t>
        </is>
      </c>
      <c r="L128" s="6" t="n">
        <v>24000</v>
      </c>
      <c r="M128" s="6" t="n">
        <v>32</v>
      </c>
      <c r="N128" s="6" t="n">
        <v>1</v>
      </c>
      <c r="O128" s="6" t="n"/>
      <c r="P128" s="6" t="n">
        <v>7680</v>
      </c>
      <c r="Q128" s="6" t="n">
        <v>1.25</v>
      </c>
      <c r="R128">
        <f>M128+IF(N128&gt;1,N(O128)*(N128-1),0)</f>
        <v/>
      </c>
      <c r="S128">
        <f>IFERROR(L128*MAX(N128,1)/R128*IF(ISBLANK(K127),1,K127),0)</f>
        <v/>
      </c>
      <c r="AB128" s="7" t="inlineStr">
        <is>
          <t>^Warhead_CannonHE_Heavy</t>
        </is>
      </c>
    </row>
    <row r="129">
      <c r="B129" s="7" t="inlineStr">
        <is>
          <t xml:space="preserve">  ↳ Spore_AA</t>
        </is>
      </c>
      <c r="C129" s="7" t="inlineStr">
        <is>
          <t>Armament@spore</t>
        </is>
      </c>
      <c r="L129" s="6" t="n">
        <v>36000</v>
      </c>
      <c r="M129" s="6" t="n">
        <v>34</v>
      </c>
      <c r="N129" s="6" t="n">
        <v>1</v>
      </c>
      <c r="O129" s="6" t="n"/>
      <c r="P129" s="6" t="n">
        <v>10160</v>
      </c>
      <c r="Q129" s="6" t="n">
        <v>1</v>
      </c>
      <c r="R129">
        <f>M129+IF(N129&gt;1,N(O129)*(N129-1),0)</f>
        <v/>
      </c>
      <c r="S129">
        <f>IFERROR(L129*MAX(N129,1)/R129*IF(ISBLANK(K127),1,K127),0)</f>
        <v/>
      </c>
      <c r="AB129" s="7" t="inlineStr">
        <is>
          <t>^MediumMissile, ^Chaingun, ^FlakWeapon</t>
        </is>
      </c>
    </row>
    <row r="130">
      <c r="A130" t="inlineStr">
        <is>
          <t>starcraft</t>
        </is>
      </c>
      <c r="B130" t="inlineStr">
        <is>
          <t>zerg_sunkencolony_defense</t>
        </is>
      </c>
      <c r="C130" t="inlineStr">
        <is>
          <t>Sunken Colony</t>
        </is>
      </c>
      <c r="D130" s="6" t="inlineStr">
        <is>
          <t>BasicDefense</t>
        </is>
      </c>
      <c r="E130" s="6" t="n">
        <v>80000</v>
      </c>
      <c r="F130" s="6" t="n">
        <v>100</v>
      </c>
      <c r="G130" t="inlineStr">
        <is>
          <t>Wood</t>
        </is>
      </c>
      <c r="H130" s="6" t="n">
        <v>1</v>
      </c>
      <c r="I130" s="6" t="n">
        <v>1</v>
      </c>
      <c r="J130" s="6" t="n">
        <v>1</v>
      </c>
      <c r="K130" s="6" t="n"/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1250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Tentacle</t>
        </is>
      </c>
      <c r="C131" s="7" t="inlineStr">
        <is>
          <t>Armament@sunken</t>
        </is>
      </c>
      <c r="L131" s="6" t="n">
        <v>24000</v>
      </c>
      <c r="M131" s="6" t="n">
        <v>32</v>
      </c>
      <c r="N131" s="6" t="n">
        <v>1</v>
      </c>
      <c r="O131" s="6" t="n"/>
      <c r="P131" s="6" t="n">
        <v>7680</v>
      </c>
      <c r="Q131" s="6" t="n">
        <v>1.25</v>
      </c>
      <c r="R131">
        <f>M131+IF(N131&gt;1,N(O131)*(N131-1),0)</f>
        <v/>
      </c>
      <c r="S131">
        <f>IFERROR(L131*MAX(N131,1)/R131*IF(ISBLANK(K130),1,K130),0)</f>
        <v/>
      </c>
      <c r="AB131" s="7" t="inlineStr">
        <is>
          <t>^Warhead_CannonHE_Heavy</t>
        </is>
      </c>
    </row>
    <row r="132">
      <c r="B132" s="7" t="inlineStr">
        <is>
          <t xml:space="preserve">  ↳ Spore_AA</t>
        </is>
      </c>
      <c r="C132" s="7" t="inlineStr">
        <is>
          <t>Armament@spore</t>
        </is>
      </c>
      <c r="L132" s="6" t="n">
        <v>36000</v>
      </c>
      <c r="M132" s="6" t="n">
        <v>34</v>
      </c>
      <c r="N132" s="6" t="n">
        <v>1</v>
      </c>
      <c r="O132" s="6" t="n"/>
      <c r="P132" s="6" t="n">
        <v>10160</v>
      </c>
      <c r="Q132" s="6" t="n">
        <v>1</v>
      </c>
      <c r="R132">
        <f>M132+IF(N132&gt;1,N(O132)*(N132-1),0)</f>
        <v/>
      </c>
      <c r="S132">
        <f>IFERROR(L132*MAX(N132,1)/R132*IF(ISBLANK(K130),1,K130),0)</f>
        <v/>
      </c>
      <c r="AB132" s="7" t="inlineStr">
        <is>
          <t>^MediumMissile, ^Chaingun, ^FlakWeapon</t>
        </is>
      </c>
    </row>
    <row r="133">
      <c r="A133" t="inlineStr">
        <is>
          <t>warcraft2</t>
        </is>
      </c>
      <c r="B133" t="inlineStr">
        <is>
          <t>wc2_orcs_cannontower</t>
        </is>
      </c>
      <c r="C133" t="inlineStr">
        <is>
          <t>Cannon Tower</t>
        </is>
      </c>
      <c r="D133" s="6" t="inlineStr">
        <is>
          <t>BasicDefense</t>
        </is>
      </c>
      <c r="E133" s="6" t="n">
        <v>100000</v>
      </c>
      <c r="F133" s="6" t="n">
        <v>100</v>
      </c>
      <c r="G133" t="inlineStr">
        <is>
          <t>Wood</t>
        </is>
      </c>
      <c r="H133" s="6" t="n">
        <v>1</v>
      </c>
      <c r="I133" s="6" t="n">
        <v>1</v>
      </c>
      <c r="J133" s="6" t="n">
        <v>1</v>
      </c>
      <c r="K133" s="6" t="n"/>
      <c r="P133">
        <f>MAX(P134,P135)</f>
        <v/>
      </c>
      <c r="S133">
        <f>S134+S135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1600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wc2_tower_arrow</t>
        </is>
      </c>
      <c r="C134" s="7" t="inlineStr">
        <is>
          <t>Armament@guard</t>
        </is>
      </c>
      <c r="L134" s="6" t="n">
        <v>18000</v>
      </c>
      <c r="M134" s="6" t="n">
        <v>34</v>
      </c>
      <c r="N134" s="6" t="n">
        <v>1</v>
      </c>
      <c r="O134" s="6" t="n"/>
      <c r="P134" s="6" t="n">
        <v>8750</v>
      </c>
      <c r="Q134" s="6" t="n">
        <v>1</v>
      </c>
      <c r="R134">
        <f>M134+IF(N134&gt;1,N(O134)*(N134-1),0)</f>
        <v/>
      </c>
      <c r="S134">
        <f>IFERROR(L134*MAX(N134,1)/R134*IF(ISBLANK(K133),1,K133),0)</f>
        <v/>
      </c>
      <c r="AB134" s="7" t="inlineStr">
        <is>
          <t>^RailgunWeapon, ^Chaingun, ^ArrowWeapon</t>
        </is>
      </c>
    </row>
    <row r="135">
      <c r="B135" s="7" t="inlineStr">
        <is>
          <t xml:space="preserve">  ↳ wc2cannontowerFire</t>
        </is>
      </c>
      <c r="C135" s="7" t="inlineStr">
        <is>
          <t>Armament@cannon</t>
        </is>
      </c>
      <c r="L135" s="6" t="n">
        <v>60000</v>
      </c>
      <c r="M135" s="6" t="n">
        <v>90</v>
      </c>
      <c r="N135" s="6" t="n">
        <v>1</v>
      </c>
      <c r="O135" s="6" t="n"/>
      <c r="P135" s="6" t="n">
        <v>10500</v>
      </c>
      <c r="Q135" s="6" t="n">
        <v>1</v>
      </c>
      <c r="R135">
        <f>M135+IF(N135&gt;1,N(O135)*(N135-1),0)</f>
        <v/>
      </c>
      <c r="S135">
        <f>IFERROR(L135*MAX(N135,1)/R135*IF(ISBLANK(K133),1,K133),0)</f>
        <v/>
      </c>
      <c r="AB135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36">
      <c r="A136" t="inlineStr">
        <is>
          <t>warcraft2</t>
        </is>
      </c>
      <c r="B136" t="inlineStr">
        <is>
          <t>wc2_orcs_guardtower</t>
        </is>
      </c>
      <c r="C136" t="inlineStr">
        <is>
          <t>Guard Tower</t>
        </is>
      </c>
      <c r="D136" s="6" t="inlineStr">
        <is>
          <t>BasicDefense</t>
        </is>
      </c>
      <c r="E136" s="6" t="n">
        <v>100000</v>
      </c>
      <c r="F136" s="6" t="n">
        <v>100</v>
      </c>
      <c r="G136" t="inlineStr">
        <is>
          <t>Wood</t>
        </is>
      </c>
      <c r="H136" s="6" t="n">
        <v>1</v>
      </c>
      <c r="I136" s="6" t="n">
        <v>1</v>
      </c>
      <c r="J136" s="6" t="n">
        <v>1</v>
      </c>
      <c r="K136" s="6" t="n"/>
      <c r="P136">
        <f>MAX(P137,P138)</f>
        <v/>
      </c>
      <c r="S136">
        <f>S137+S138</f>
        <v/>
      </c>
      <c r="T136">
        <f>(E136/100000+F136/100+(P136/1000)*J136/5+S136/200)*200*I136*H136</f>
        <v/>
      </c>
      <c r="U136">
        <f>((E136*F136/25000)+((P136/1000)*J136*S136/2.5))*I136*H136</f>
        <v/>
      </c>
      <c r="V136">
        <f>(E136*F136*(P136/1000)*J136*S136*I136*H136)/12500000</f>
        <v/>
      </c>
      <c r="W136">
        <f>(T136+U136+V136)/3</f>
        <v/>
      </c>
      <c r="X136" s="6" t="n">
        <v>1600</v>
      </c>
      <c r="Y136">
        <f>IFERROR(W136-X136,"")</f>
        <v/>
      </c>
      <c r="Z136">
        <f>IFERROR(ABS(Y136)/MAX(X136,1),"")</f>
        <v/>
      </c>
      <c r="AA136">
        <f>IFERROR((X136-(((E136/100000+F136/100+S136/200)*200*I136*H136)+((E136*F136/25000)*I136*H136))/3)/(((J136/5)*200*I136*H136)+((J136*S136/2.5)*I136*H136)+((E136*F136*J136*S136*I136*H136)/12500000))/3*1000,"")</f>
        <v/>
      </c>
    </row>
    <row r="137">
      <c r="B137" s="7" t="inlineStr">
        <is>
          <t xml:space="preserve">  ↳ wc2_tower_arrow</t>
        </is>
      </c>
      <c r="C137" s="7" t="inlineStr">
        <is>
          <t>Armament@guard</t>
        </is>
      </c>
      <c r="L137" s="6" t="n">
        <v>18000</v>
      </c>
      <c r="M137" s="6" t="n">
        <v>34</v>
      </c>
      <c r="N137" s="6" t="n">
        <v>1</v>
      </c>
      <c r="O137" s="6" t="n"/>
      <c r="P137" s="6" t="n">
        <v>8750</v>
      </c>
      <c r="Q137" s="6" t="n">
        <v>1</v>
      </c>
      <c r="R137">
        <f>M137+IF(N137&gt;1,N(O137)*(N137-1),0)</f>
        <v/>
      </c>
      <c r="S137">
        <f>IFERROR(L137*MAX(N137,1)/R137*IF(ISBLANK(K136),1,K136),0)</f>
        <v/>
      </c>
      <c r="AB137" s="7" t="inlineStr">
        <is>
          <t>^RailgunWeapon, ^Chaingun, ^ArrowWeapon</t>
        </is>
      </c>
    </row>
    <row r="138">
      <c r="B138" s="7" t="inlineStr">
        <is>
          <t xml:space="preserve">  ↳ wc2cannontowerFire</t>
        </is>
      </c>
      <c r="C138" s="7" t="inlineStr">
        <is>
          <t>Armament@cannon</t>
        </is>
      </c>
      <c r="L138" s="6" t="n">
        <v>60000</v>
      </c>
      <c r="M138" s="6" t="n">
        <v>90</v>
      </c>
      <c r="N138" s="6" t="n">
        <v>1</v>
      </c>
      <c r="O138" s="6" t="n"/>
      <c r="P138" s="6" t="n">
        <v>10500</v>
      </c>
      <c r="Q138" s="6" t="n">
        <v>1</v>
      </c>
      <c r="R138">
        <f>M138+IF(N138&gt;1,N(O138)*(N138-1),0)</f>
        <v/>
      </c>
      <c r="S138">
        <f>IFERROR(L138*MAX(N138,1)/R138*IF(ISBLANK(K136),1,K136),0)</f>
        <v/>
      </c>
      <c r="AB138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39">
      <c r="A139" t="inlineStr">
        <is>
          <t>warcraft2</t>
        </is>
      </c>
      <c r="B139" t="inlineStr">
        <is>
          <t>wc2_orcs_orcwatchtower</t>
        </is>
      </c>
      <c r="C139" t="inlineStr">
        <is>
          <t>Orc Watch Tower</t>
        </is>
      </c>
      <c r="D139" s="6" t="inlineStr">
        <is>
          <t>BasicDefense</t>
        </is>
      </c>
      <c r="E139" s="6" t="n">
        <v>100000</v>
      </c>
      <c r="F139" s="6" t="n">
        <v>100</v>
      </c>
      <c r="G139" t="inlineStr">
        <is>
          <t>Wood</t>
        </is>
      </c>
      <c r="H139" s="6" t="n">
        <v>1</v>
      </c>
      <c r="I139" s="6" t="n">
        <v>1</v>
      </c>
      <c r="J139" s="6" t="n">
        <v>1</v>
      </c>
      <c r="K139" s="6" t="n"/>
      <c r="P139">
        <f>MAX(P140,P141)</f>
        <v/>
      </c>
      <c r="S139">
        <f>S140+S141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1200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wc2_tower_arrow</t>
        </is>
      </c>
      <c r="C140" s="7" t="inlineStr">
        <is>
          <t>Armament@guard</t>
        </is>
      </c>
      <c r="L140" s="6" t="n">
        <v>18000</v>
      </c>
      <c r="M140" s="6" t="n">
        <v>34</v>
      </c>
      <c r="N140" s="6" t="n">
        <v>1</v>
      </c>
      <c r="O140" s="6" t="n"/>
      <c r="P140" s="6" t="n">
        <v>8750</v>
      </c>
      <c r="Q140" s="6" t="n">
        <v>1</v>
      </c>
      <c r="R140">
        <f>M140+IF(N140&gt;1,N(O140)*(N140-1),0)</f>
        <v/>
      </c>
      <c r="S140">
        <f>IFERROR(L140*MAX(N140,1)/R140*IF(ISBLANK(K139),1,K139),0)</f>
        <v/>
      </c>
      <c r="AB140" s="7" t="inlineStr">
        <is>
          <t>^RailgunWeapon, ^Chaingun, ^ArrowWeapon</t>
        </is>
      </c>
    </row>
    <row r="141">
      <c r="B141" s="7" t="inlineStr">
        <is>
          <t xml:space="preserve">  ↳ wc2cannontowerFire</t>
        </is>
      </c>
      <c r="C141" s="7" t="inlineStr">
        <is>
          <t>Armament@cannon</t>
        </is>
      </c>
      <c r="L141" s="6" t="n">
        <v>60000</v>
      </c>
      <c r="M141" s="6" t="n">
        <v>90</v>
      </c>
      <c r="N141" s="6" t="n">
        <v>1</v>
      </c>
      <c r="O141" s="6" t="n"/>
      <c r="P141" s="6" t="n">
        <v>10500</v>
      </c>
      <c r="Q141" s="6" t="n">
        <v>1</v>
      </c>
      <c r="R141">
        <f>M141+IF(N141&gt;1,N(O141)*(N141-1),0)</f>
        <v/>
      </c>
      <c r="S141">
        <f>IFERROR(L141*MAX(N141,1)/R141*IF(ISBLANK(K139),1,K139),0)</f>
        <v/>
      </c>
      <c r="AB141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2">
      <c r="A142" t="inlineStr">
        <is>
          <t>warcraft2</t>
        </is>
      </c>
      <c r="B142" t="inlineStr">
        <is>
          <t>wc2_humans_cannontower</t>
        </is>
      </c>
      <c r="C142" t="inlineStr">
        <is>
          <t>Cannon Tower</t>
        </is>
      </c>
      <c r="D142" s="6" t="inlineStr">
        <is>
          <t>BasicDefense</t>
        </is>
      </c>
      <c r="E142" s="6" t="n">
        <v>100000</v>
      </c>
      <c r="F142" s="6" t="n">
        <v>100</v>
      </c>
      <c r="G142" t="inlineStr">
        <is>
          <t>Wood</t>
        </is>
      </c>
      <c r="H142" s="6" t="n">
        <v>0.9762999999999999</v>
      </c>
      <c r="I142" s="6" t="n">
        <v>1</v>
      </c>
      <c r="J142" s="6" t="n">
        <v>1</v>
      </c>
      <c r="K142" s="6" t="n"/>
      <c r="P142">
        <f>MAX(P143,P144)</f>
        <v/>
      </c>
      <c r="S142">
        <f>S143+S144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1500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wc2_tower_arrow</t>
        </is>
      </c>
      <c r="C143" s="7" t="inlineStr">
        <is>
          <t>Armament@guard</t>
        </is>
      </c>
      <c r="L143" s="6" t="n">
        <v>18000</v>
      </c>
      <c r="M143" s="6" t="n">
        <v>34</v>
      </c>
      <c r="N143" s="6" t="n">
        <v>1</v>
      </c>
      <c r="O143" s="6" t="n"/>
      <c r="P143" s="6" t="n">
        <v>8750</v>
      </c>
      <c r="Q143" s="6" t="n">
        <v>1</v>
      </c>
      <c r="R143">
        <f>M143+IF(N143&gt;1,N(O143)*(N143-1),0)</f>
        <v/>
      </c>
      <c r="S143">
        <f>IFERROR(L143*MAX(N143,1)/R143*IF(ISBLANK(K142),1,K142),0)</f>
        <v/>
      </c>
      <c r="AB143" s="7" t="inlineStr">
        <is>
          <t>^RailgunWeapon, ^Chaingun, ^ArrowWeapon</t>
        </is>
      </c>
    </row>
    <row r="144">
      <c r="B144" s="7" t="inlineStr">
        <is>
          <t xml:space="preserve">  ↳ wc2cannontowerFire</t>
        </is>
      </c>
      <c r="C144" s="7" t="inlineStr">
        <is>
          <t>Armament@cannon</t>
        </is>
      </c>
      <c r="L144" s="6" t="n">
        <v>60000</v>
      </c>
      <c r="M144" s="6" t="n">
        <v>90</v>
      </c>
      <c r="N144" s="6" t="n">
        <v>1</v>
      </c>
      <c r="O144" s="6" t="n"/>
      <c r="P144" s="6" t="n">
        <v>10500</v>
      </c>
      <c r="Q144" s="6" t="n">
        <v>1</v>
      </c>
      <c r="R144">
        <f>M144+IF(N144&gt;1,N(O144)*(N144-1),0)</f>
        <v/>
      </c>
      <c r="S144">
        <f>IFERROR(L144*MAX(N144,1)/R144*IF(ISBLANK(K142),1,K142),0)</f>
        <v/>
      </c>
      <c r="AB144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5">
      <c r="A145" t="inlineStr">
        <is>
          <t>warcraft2</t>
        </is>
      </c>
      <c r="B145" t="inlineStr">
        <is>
          <t>wc2_humans_guardtower</t>
        </is>
      </c>
      <c r="C145" t="inlineStr">
        <is>
          <t>Guard Tower</t>
        </is>
      </c>
      <c r="D145" s="6" t="inlineStr">
        <is>
          <t>BasicDefense</t>
        </is>
      </c>
      <c r="E145" s="6" t="n">
        <v>100000</v>
      </c>
      <c r="F145" s="6" t="n">
        <v>100</v>
      </c>
      <c r="G145" t="inlineStr">
        <is>
          <t>Wood</t>
        </is>
      </c>
      <c r="H145" s="6" t="n">
        <v>1</v>
      </c>
      <c r="I145" s="6" t="n">
        <v>1</v>
      </c>
      <c r="J145" s="6" t="n">
        <v>1</v>
      </c>
      <c r="K145" s="6" t="n"/>
      <c r="P145">
        <f>MAX(P146,P147)</f>
        <v/>
      </c>
      <c r="S145">
        <f>S146+S147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1500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wc2_tower_arrow</t>
        </is>
      </c>
      <c r="C146" s="7" t="inlineStr">
        <is>
          <t>Armament@guard</t>
        </is>
      </c>
      <c r="L146" s="6" t="n">
        <v>18000</v>
      </c>
      <c r="M146" s="6" t="n">
        <v>34</v>
      </c>
      <c r="N146" s="6" t="n">
        <v>1</v>
      </c>
      <c r="O146" s="6" t="n"/>
      <c r="P146" s="6" t="n">
        <v>8750</v>
      </c>
      <c r="Q146" s="6" t="n">
        <v>1</v>
      </c>
      <c r="R146">
        <f>M146+IF(N146&gt;1,N(O146)*(N146-1),0)</f>
        <v/>
      </c>
      <c r="S146">
        <f>IFERROR(L146*MAX(N146,1)/R146*IF(ISBLANK(K145),1,K145),0)</f>
        <v/>
      </c>
      <c r="AB146" s="7" t="inlineStr">
        <is>
          <t>^RailgunWeapon, ^Chaingun, ^ArrowWeapon</t>
        </is>
      </c>
    </row>
    <row r="147">
      <c r="B147" s="7" t="inlineStr">
        <is>
          <t xml:space="preserve">  ↳ wc2cannontowerFire</t>
        </is>
      </c>
      <c r="C147" s="7" t="inlineStr">
        <is>
          <t>Armament@cannon</t>
        </is>
      </c>
      <c r="L147" s="6" t="n">
        <v>60000</v>
      </c>
      <c r="M147" s="6" t="n">
        <v>90</v>
      </c>
      <c r="N147" s="6" t="n">
        <v>1</v>
      </c>
      <c r="O147" s="6" t="n"/>
      <c r="P147" s="6" t="n">
        <v>10500</v>
      </c>
      <c r="Q147" s="6" t="n">
        <v>1</v>
      </c>
      <c r="R147">
        <f>M147+IF(N147&gt;1,N(O147)*(N147-1),0)</f>
        <v/>
      </c>
      <c r="S147">
        <f>IFERROR(L147*MAX(N147,1)/R147*IF(ISBLANK(K145),1,K145),0)</f>
        <v/>
      </c>
      <c r="AB147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8">
      <c r="A148" t="inlineStr">
        <is>
          <t>warcraft2</t>
        </is>
      </c>
      <c r="B148" t="inlineStr">
        <is>
          <t>wc2_humans_humanscouttower</t>
        </is>
      </c>
      <c r="C148" t="inlineStr">
        <is>
          <t>Human Scout Tower</t>
        </is>
      </c>
      <c r="D148" s="6" t="inlineStr">
        <is>
          <t>BasicDefense</t>
        </is>
      </c>
      <c r="E148" s="6" t="n">
        <v>100000</v>
      </c>
      <c r="F148" s="6" t="n">
        <v>100</v>
      </c>
      <c r="G148" t="inlineStr">
        <is>
          <t>Wood</t>
        </is>
      </c>
      <c r="H148" s="6" t="n">
        <v>1</v>
      </c>
      <c r="I148" s="6" t="n">
        <v>1</v>
      </c>
      <c r="J148" s="6" t="n">
        <v>1</v>
      </c>
      <c r="K148" s="6" t="n"/>
      <c r="P148">
        <f>MAX(P149,P150)</f>
        <v/>
      </c>
      <c r="S148">
        <f>S149+S150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1200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wc2_tower_arrow</t>
        </is>
      </c>
      <c r="C149" s="7" t="inlineStr">
        <is>
          <t>Armament@guard</t>
        </is>
      </c>
      <c r="L149" s="6" t="n">
        <v>18000</v>
      </c>
      <c r="M149" s="6" t="n">
        <v>34</v>
      </c>
      <c r="N149" s="6" t="n">
        <v>1</v>
      </c>
      <c r="O149" s="6" t="n"/>
      <c r="P149" s="6" t="n">
        <v>8750</v>
      </c>
      <c r="Q149" s="6" t="n">
        <v>1</v>
      </c>
      <c r="R149">
        <f>M149+IF(N149&gt;1,N(O149)*(N149-1),0)</f>
        <v/>
      </c>
      <c r="S149">
        <f>IFERROR(L149*MAX(N149,1)/R149*IF(ISBLANK(K148),1,K148),0)</f>
        <v/>
      </c>
      <c r="AB149" s="7" t="inlineStr">
        <is>
          <t>^RailgunWeapon, ^Chaingun, ^ArrowWeapon</t>
        </is>
      </c>
    </row>
    <row r="150">
      <c r="B150" s="7" t="inlineStr">
        <is>
          <t xml:space="preserve">  ↳ wc2cannontowerFire</t>
        </is>
      </c>
      <c r="C150" s="7" t="inlineStr">
        <is>
          <t>Armament@cannon</t>
        </is>
      </c>
      <c r="L150" s="6" t="n">
        <v>60000</v>
      </c>
      <c r="M150" s="6" t="n">
        <v>90</v>
      </c>
      <c r="N150" s="6" t="n">
        <v>1</v>
      </c>
      <c r="O150" s="6" t="n"/>
      <c r="P150" s="6" t="n">
        <v>10500</v>
      </c>
      <c r="Q150" s="6" t="n">
        <v>1</v>
      </c>
      <c r="R150">
        <f>M150+IF(N150&gt;1,N(O150)*(N150-1),0)</f>
        <v/>
      </c>
      <c r="S150">
        <f>IFERROR(L150*MAX(N150,1)/R150*IF(ISBLANK(K148),1,K148),0)</f>
        <v/>
      </c>
      <c r="AB150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51">
      <c r="A151" s="4" t="inlineStr">
        <is>
          <t>Bunker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>
      <c r="A152" t="inlineStr">
        <is>
          <t>redalert2</t>
        </is>
      </c>
      <c r="B152" t="inlineStr">
        <is>
          <t>ra2_soviets_battlebunker</t>
        </is>
      </c>
      <c r="C152" t="inlineStr">
        <is>
          <t>Battle Bunker</t>
        </is>
      </c>
      <c r="D152" s="6" t="inlineStr">
        <is>
          <t>Bunker</t>
        </is>
      </c>
      <c r="E152" s="6" t="n">
        <v>80000</v>
      </c>
      <c r="F152" s="6" t="n">
        <v>100</v>
      </c>
      <c r="G152" t="inlineStr">
        <is>
          <t>Steel</t>
        </is>
      </c>
      <c r="H152" s="6" t="n">
        <v>1</v>
      </c>
      <c r="I152" s="6" t="n">
        <v>1</v>
      </c>
      <c r="J152" s="6" t="n">
        <v>1</v>
      </c>
      <c r="K152" s="6" t="n"/>
      <c r="X152" s="6" t="n">
        <v>800</v>
      </c>
    </row>
    <row r="153">
      <c r="A153" t="inlineStr">
        <is>
          <t>redalert2</t>
        </is>
      </c>
      <c r="B153" t="inlineStr">
        <is>
          <t>yuri_tankbunker</t>
        </is>
      </c>
      <c r="C153" t="inlineStr">
        <is>
          <t>Tank Bunker</t>
        </is>
      </c>
      <c r="D153" s="6" t="inlineStr">
        <is>
          <t>Bunker</t>
        </is>
      </c>
      <c r="E153" s="6" t="n">
        <v>100000</v>
      </c>
      <c r="F153" s="6" t="n">
        <v>100</v>
      </c>
      <c r="G153" t="inlineStr">
        <is>
          <t>Steel</t>
        </is>
      </c>
      <c r="H153" s="6" t="n">
        <v>0.9322</v>
      </c>
      <c r="I153" s="6" t="n">
        <v>1</v>
      </c>
      <c r="J153" s="6" t="n">
        <v>1</v>
      </c>
      <c r="K153" s="6" t="n"/>
      <c r="X153" s="6" t="n">
        <v>1000</v>
      </c>
    </row>
    <row r="154">
      <c r="A154" t="inlineStr">
        <is>
          <t>redalert2mod</t>
        </is>
      </c>
      <c r="B154" t="inlineStr">
        <is>
          <t>latinsyndicate_bunkertower</t>
        </is>
      </c>
      <c r="C154" t="inlineStr">
        <is>
          <t>Bunker Tower</t>
        </is>
      </c>
      <c r="D154" s="6" t="inlineStr">
        <is>
          <t>Bunker</t>
        </is>
      </c>
      <c r="E154" s="6" t="n">
        <v>60000</v>
      </c>
      <c r="F154" s="6" t="n"/>
      <c r="G154" t="inlineStr">
        <is>
          <t>Steel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600</v>
      </c>
    </row>
    <row r="155">
      <c r="A155" t="inlineStr">
        <is>
          <t>redalert2mod</t>
        </is>
      </c>
      <c r="B155" t="inlineStr">
        <is>
          <t>naxis_naxibunker</t>
        </is>
      </c>
      <c r="C155" t="inlineStr">
        <is>
          <t>Naxi Bunker</t>
        </is>
      </c>
      <c r="D155" s="6" t="inlineStr">
        <is>
          <t>Bunker</t>
        </is>
      </c>
      <c r="E155" s="6" t="n">
        <v>90000</v>
      </c>
      <c r="F155" s="6" t="n"/>
      <c r="G155" t="inlineStr">
        <is>
          <t>Steel</t>
        </is>
      </c>
      <c r="H155" s="6" t="n">
        <v>1</v>
      </c>
      <c r="I155" s="6" t="n">
        <v>1</v>
      </c>
      <c r="J155" s="6" t="n">
        <v>1</v>
      </c>
      <c r="K155" s="6" t="n"/>
      <c r="X155" s="6" t="n">
        <v>1000</v>
      </c>
    </row>
    <row r="156">
      <c r="B156" s="7" t="inlineStr">
        <is>
          <t xml:space="preserve">  ↳ NaxGrilleArty</t>
        </is>
      </c>
      <c r="C156" s="7" t="inlineStr">
        <is>
          <t>Armament@mortar</t>
        </is>
      </c>
      <c r="L156" s="6" t="n">
        <v>48000</v>
      </c>
      <c r="M156" s="6" t="n">
        <v>111</v>
      </c>
      <c r="N156" s="6" t="n">
        <v>1</v>
      </c>
      <c r="O156" s="6" t="n"/>
      <c r="P156" s="6" t="n">
        <v>12345</v>
      </c>
      <c r="Q156" s="6" t="n">
        <v>1</v>
      </c>
      <c r="R156">
        <f>M156+IF(N156&gt;1,N(O156)*(N156-1),0)</f>
        <v/>
      </c>
      <c r="S156">
        <f>IFERROR(L156*MAX(N156,1)/R156*IF(ISBLANK(K155),1,K155),0)</f>
        <v/>
      </c>
      <c r="AB156" s="7" t="inlineStr">
        <is>
          <t>^Warhead_CannonHE_Heavy, ^Warhead_Concussion_Medium, ^Warhead_Demolition_Light</t>
        </is>
      </c>
    </row>
    <row r="157">
      <c r="B157" s="7" t="inlineStr">
        <is>
          <t xml:space="preserve">  ↳ NaxiWW2MachinegunTop</t>
        </is>
      </c>
      <c r="C157" s="7" t="inlineStr">
        <is>
          <t>Armament@mg</t>
        </is>
      </c>
      <c r="L157" s="6" t="n">
        <v>8000</v>
      </c>
      <c r="M157" s="6" t="n">
        <v>60</v>
      </c>
      <c r="N157" s="6" t="n">
        <v>6</v>
      </c>
      <c r="O157" s="6" t="n">
        <v>4</v>
      </c>
      <c r="P157" s="6" t="n">
        <v>7555</v>
      </c>
      <c r="Q157" s="6" t="n">
        <v>0.875</v>
      </c>
      <c r="R157">
        <f>M157+IF(N157&gt;1,N(O157)*(N157-1),0)</f>
        <v/>
      </c>
      <c r="S157">
        <f>IFERROR(L157*MAX(N157,1)/R157*IF(ISBLANK(K155),1,K155),0)</f>
        <v/>
      </c>
      <c r="AB157" s="7" t="inlineStr">
        <is>
          <t>^Warhead_Bullet_Light, ^Warhead_Bullet_Medium</t>
        </is>
      </c>
    </row>
    <row r="158">
      <c r="B158" s="7" t="inlineStr">
        <is>
          <t xml:space="preserve">  ↳ NaxQuadCannon_AA_elite</t>
        </is>
      </c>
      <c r="C158" s="7" t="inlineStr">
        <is>
          <t>Armament@aa</t>
        </is>
      </c>
      <c r="L158" s="6" t="n">
        <v>7000</v>
      </c>
      <c r="M158" s="6" t="n">
        <v>47</v>
      </c>
      <c r="N158" s="6" t="n">
        <v>8</v>
      </c>
      <c r="O158" s="6" t="n">
        <v>3</v>
      </c>
      <c r="P158" s="6" t="n">
        <v>9052</v>
      </c>
      <c r="Q158" s="6" t="n">
        <v>1</v>
      </c>
      <c r="R158">
        <f>M158+IF(N158&gt;1,N(O158)*(N158-1),0)</f>
        <v/>
      </c>
      <c r="S158">
        <f>IFERROR(L158*MAX(N158,1)/R158*IF(ISBLANK(K155),1,K155),0)</f>
        <v/>
      </c>
      <c r="AB158" s="7" t="inlineStr">
        <is>
          <t>^Warhead_Flak_Medium</t>
        </is>
      </c>
    </row>
    <row r="159">
      <c r="A159" t="inlineStr">
        <is>
          <t>redalert2mod</t>
        </is>
      </c>
      <c r="B159" t="inlineStr">
        <is>
          <t>tkm_bunker</t>
        </is>
      </c>
      <c r="C159" t="inlineStr">
        <is>
          <t>TKM Bunker</t>
        </is>
      </c>
      <c r="D159" s="6" t="inlineStr">
        <is>
          <t>Bunker</t>
        </is>
      </c>
      <c r="E159" s="6" t="n">
        <v>120000</v>
      </c>
      <c r="F159" s="6" t="n">
        <v>100</v>
      </c>
      <c r="G159" t="inlineStr">
        <is>
          <t>Steel</t>
        </is>
      </c>
      <c r="H159" s="6" t="n">
        <v>1</v>
      </c>
      <c r="I159" s="6" t="n">
        <v>1</v>
      </c>
      <c r="J159" s="6" t="n">
        <v>1</v>
      </c>
      <c r="K159" s="6" t="n"/>
      <c r="P159">
        <f>MAX(P160,P161)</f>
        <v/>
      </c>
      <c r="S159">
        <f>S160+S161</f>
        <v/>
      </c>
      <c r="T159">
        <f>(E159/100000+F159/100+(P159/1000)*J159/5+S159/200)*200*I159*H159</f>
        <v/>
      </c>
      <c r="U159">
        <f>((E159*F159/25000)+((P159/1000)*J159*S159/2.5))*I159*H159</f>
        <v/>
      </c>
      <c r="V159">
        <f>(E159*F159*(P159/1000)*J159*S159*I159*H159)/12500000</f>
        <v/>
      </c>
      <c r="W159">
        <f>(T159+U159+V159)/3</f>
        <v/>
      </c>
      <c r="X159" s="6" t="n">
        <v>600</v>
      </c>
      <c r="Y159">
        <f>IFERROR(W159-X159,"")</f>
        <v/>
      </c>
      <c r="Z159">
        <f>IFERROR(ABS(Y159)/MAX(X159,1),"")</f>
        <v/>
      </c>
      <c r="AA159">
        <f>IFERROR((X159-(((E159/100000+F159/100+S159/200)*200*I159*H159)+((E159*F159/25000)*I159*H159))/3)/(((J159/5)*200*I159*H159)+((J159*S159/2.5)*I159*H159)+((E159*F159*J159*S159*I159*H159)/12500000))/3*1000,"")</f>
        <v/>
      </c>
    </row>
    <row r="160">
      <c r="B160" s="7" t="inlineStr">
        <is>
          <t xml:space="preserve">  ↳ tkmbunkmg</t>
        </is>
      </c>
      <c r="C160" s="7" t="inlineStr">
        <is>
          <t>Armament</t>
        </is>
      </c>
      <c r="L160" s="6" t="n">
        <v>4000</v>
      </c>
      <c r="M160" s="6" t="n">
        <v>41</v>
      </c>
      <c r="N160" s="6" t="n">
        <v>4</v>
      </c>
      <c r="O160" s="6" t="n">
        <v>3</v>
      </c>
      <c r="P160" s="6" t="n">
        <v>7496</v>
      </c>
      <c r="Q160" s="6" t="n">
        <v>0.875</v>
      </c>
      <c r="R160">
        <f>M160+IF(N160&gt;1,N(O160)*(N160-1),0)</f>
        <v/>
      </c>
      <c r="S160">
        <f>IFERROR(L160*MAX(N160,1)/R160*IF(ISBLANK(K159),1,K159),0)</f>
        <v/>
      </c>
      <c r="AB160" s="7" t="inlineStr">
        <is>
          <t>^Warhead_Bullet_Light, ^Warhead_Bullet_Medium</t>
        </is>
      </c>
    </row>
    <row r="161">
      <c r="B161" s="7" t="inlineStr">
        <is>
          <t xml:space="preserve">  ↳ HighVAP</t>
        </is>
      </c>
      <c r="C161" s="7" t="inlineStr">
        <is>
          <t>Armament@Upgrade</t>
        </is>
      </c>
      <c r="L161" s="6" t="n">
        <v>4000</v>
      </c>
      <c r="M161" s="6" t="n">
        <v>22</v>
      </c>
      <c r="N161" s="6" t="n">
        <v>4</v>
      </c>
      <c r="O161" s="6" t="n">
        <v>2</v>
      </c>
      <c r="P161" s="6" t="n">
        <v>6720</v>
      </c>
      <c r="Q161" s="6" t="n">
        <v>1</v>
      </c>
      <c r="R161">
        <f>M161+IF(N161&gt;1,N(O161)*(N161-1),0)</f>
        <v/>
      </c>
      <c r="S161">
        <f>IFERROR(L161*MAX(N161,1)/R161*IF(ISBLANK(K159),1,K159),0)</f>
        <v/>
      </c>
      <c r="AB161" s="7" t="inlineStr">
        <is>
          <t>^Warhead_Bullet_Medium</t>
        </is>
      </c>
    </row>
    <row r="162">
      <c r="A162" t="inlineStr">
        <is>
          <t>starcraft</t>
        </is>
      </c>
      <c r="B162" t="inlineStr">
        <is>
          <t>terran_bunker</t>
        </is>
      </c>
      <c r="C162" t="inlineStr">
        <is>
          <t>Bunker</t>
        </is>
      </c>
      <c r="D162" s="6" t="inlineStr">
        <is>
          <t>Bunker</t>
        </is>
      </c>
      <c r="E162" s="6" t="n">
        <v>240000</v>
      </c>
      <c r="F162" s="6" t="n">
        <v>100</v>
      </c>
      <c r="G162" t="inlineStr">
        <is>
          <t>Steel</t>
        </is>
      </c>
      <c r="H162" s="6" t="n">
        <v>1</v>
      </c>
      <c r="I162" s="6" t="n">
        <v>1</v>
      </c>
      <c r="J162" s="6" t="n">
        <v>1</v>
      </c>
      <c r="K162" s="6" t="n"/>
      <c r="X162" s="6" t="n">
        <v>1200</v>
      </c>
    </row>
    <row r="163">
      <c r="A163" s="4" t="inlineStr">
        <is>
          <t>AntiAirDefense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>
      <c r="A164" t="inlineStr">
        <is>
          <t>tiberiandawn</t>
        </is>
      </c>
      <c r="B164" t="inlineStr">
        <is>
          <t>td_gdi_skyshield</t>
        </is>
      </c>
      <c r="C164" t="inlineStr">
        <is>
          <t>Skyshield</t>
        </is>
      </c>
      <c r="D164" s="6" t="inlineStr">
        <is>
          <t>AntiAirDefense</t>
        </is>
      </c>
      <c r="E164" s="6" t="n">
        <v>93000</v>
      </c>
      <c r="F164" s="6" t="n"/>
      <c r="G164" t="inlineStr">
        <is>
          <t>Concrete</t>
        </is>
      </c>
      <c r="H164" s="6" t="n">
        <v>1</v>
      </c>
      <c r="I164" s="6" t="n">
        <v>0.225</v>
      </c>
      <c r="J164" s="6" t="n">
        <v>1</v>
      </c>
      <c r="K164" s="6" t="n"/>
      <c r="X164" s="6" t="n">
        <v>900</v>
      </c>
    </row>
    <row r="165">
      <c r="B165" s="7" t="inlineStr">
        <is>
          <t xml:space="preserve">  ↳ SkyshieldCannon</t>
        </is>
      </c>
      <c r="C165" s="7" t="inlineStr">
        <is>
          <t>Armament</t>
        </is>
      </c>
      <c r="L165" s="6" t="n">
        <v>8000</v>
      </c>
      <c r="M165" s="6" t="n">
        <v>11</v>
      </c>
      <c r="N165" s="6" t="n">
        <v>1</v>
      </c>
      <c r="O165" s="6" t="n"/>
      <c r="P165" s="6" t="n">
        <v>13800</v>
      </c>
      <c r="Q165" s="6" t="n">
        <v>1</v>
      </c>
      <c r="R165">
        <f>M165+IF(N165&gt;1,N(O165)*(N165-1),0)</f>
        <v/>
      </c>
      <c r="S165">
        <f>IFERROR(L165*MAX(N165,1)/R165*IF(ISBLANK(K164),1,K164),0)</f>
        <v/>
      </c>
      <c r="AB165" s="7" t="inlineStr">
        <is>
          <t>^SmallArms, ^LightMissile, ^Chaingun, ^FlakWeapon</t>
        </is>
      </c>
    </row>
    <row r="166">
      <c r="A166" t="inlineStr">
        <is>
          <t>tiberiandawn</t>
        </is>
      </c>
      <c r="B166" t="inlineStr">
        <is>
          <t>td_nod_samsite</t>
        </is>
      </c>
      <c r="C166" t="inlineStr">
        <is>
          <t>Nod SAM Site</t>
        </is>
      </c>
      <c r="D166" s="6" t="inlineStr">
        <is>
          <t>AntiAirDefense</t>
        </is>
      </c>
      <c r="E166" s="6" t="n">
        <v>100000</v>
      </c>
      <c r="F166" s="6" t="n"/>
      <c r="G166" t="inlineStr">
        <is>
          <t>Concrete</t>
        </is>
      </c>
      <c r="H166" s="6" t="n">
        <v>1</v>
      </c>
      <c r="I166" s="6" t="n">
        <v>0.225</v>
      </c>
      <c r="J166" s="6" t="n">
        <v>1</v>
      </c>
      <c r="K166" s="6" t="n"/>
      <c r="X166" s="6" t="n">
        <v>800</v>
      </c>
    </row>
    <row r="167">
      <c r="B167" s="7" t="inlineStr">
        <is>
          <t xml:space="preserve">  ↳ Dragon</t>
        </is>
      </c>
      <c r="C167" s="7" t="inlineStr">
        <is>
          <t>Armament</t>
        </is>
      </c>
      <c r="L167" s="6" t="n">
        <v>12000</v>
      </c>
      <c r="M167" s="6" t="n">
        <v>40</v>
      </c>
      <c r="N167" s="6" t="n">
        <v>2</v>
      </c>
      <c r="O167" s="6" t="n">
        <v>10</v>
      </c>
      <c r="P167" s="6" t="n">
        <v>12193</v>
      </c>
      <c r="Q167" s="6" t="n">
        <v>1</v>
      </c>
      <c r="R167">
        <f>M167+IF(N167&gt;1,N(O167)*(N167-1),0)</f>
        <v/>
      </c>
      <c r="S167">
        <f>IFERROR(L167*MAX(N167,1)/R167*IF(ISBLANK(K166),1,K166),0)</f>
        <v/>
      </c>
      <c r="AB167" s="7" t="inlineStr">
        <is>
          <t>^HeavyAAWeapon, ^ImpactGlow, ^HeavyMissile</t>
        </is>
      </c>
    </row>
    <row r="168">
      <c r="A168" t="inlineStr">
        <is>
          <t>redalert</t>
        </is>
      </c>
      <c r="B168" t="inlineStr">
        <is>
          <t>ra1_soviets_samsite</t>
        </is>
      </c>
      <c r="C168" t="inlineStr">
        <is>
          <t>Soviet SAM Site</t>
        </is>
      </c>
      <c r="D168" s="6" t="inlineStr">
        <is>
          <t>AntiAirDefense</t>
        </is>
      </c>
      <c r="E168" s="6" t="n">
        <v>75000</v>
      </c>
      <c r="F168" s="6" t="n">
        <v>100</v>
      </c>
      <c r="G168" t="inlineStr">
        <is>
          <t>Concrete</t>
        </is>
      </c>
      <c r="H168" s="6" t="n">
        <v>1</v>
      </c>
      <c r="I168" s="6" t="n">
        <v>0.225</v>
      </c>
      <c r="J168" s="6" t="n">
        <v>1</v>
      </c>
      <c r="K168" s="6" t="n">
        <v>0.011</v>
      </c>
      <c r="P168">
        <f>MAX(P169)</f>
        <v/>
      </c>
      <c r="S168">
        <f>S169</f>
        <v/>
      </c>
      <c r="T168">
        <f>(E168/100000+F168/100+(P168/1000)*J168/5+S168/200)*200*I168*H168</f>
        <v/>
      </c>
      <c r="U168">
        <f>((E168*F168/25000)+((P168/1000)*J168*S168/2.5))*I168*H168</f>
        <v/>
      </c>
      <c r="V168">
        <f>(E168*F168*(P168/1000)*J168*S168*I168*H168)/12500000</f>
        <v/>
      </c>
      <c r="W168">
        <f>(T168+U168+V168)/3</f>
        <v/>
      </c>
      <c r="X168" s="6" t="n">
        <v>700</v>
      </c>
      <c r="Y168">
        <f>IFERROR(W168-X168,"")</f>
        <v/>
      </c>
      <c r="Z168">
        <f>IFERROR(ABS(Y168)/MAX(X168,1),"")</f>
        <v/>
      </c>
      <c r="AA168">
        <f>IFERROR((X168-(((E168/100000+F168/100+S168/200)*200*I168*H168)+((E168*F168/25000)*I168*H168))/3)/(((J168/5)*200*I168*H168)+((J168*S168/2.5)*I168*H168)+((E168*F168*J168*S168*I168*H168)/12500000))/3*1000,"")</f>
        <v/>
      </c>
    </row>
    <row r="169">
      <c r="B169" s="7" t="inlineStr">
        <is>
          <t xml:space="preserve">  ↳ Nike</t>
        </is>
      </c>
      <c r="C169" s="7" t="inlineStr">
        <is>
          <t>Armament</t>
        </is>
      </c>
      <c r="L169" s="6" t="n">
        <v>16000</v>
      </c>
      <c r="M169" s="6" t="n">
        <v>27</v>
      </c>
      <c r="N169" s="6" t="n">
        <v>1</v>
      </c>
      <c r="O169" s="6" t="n"/>
      <c r="P169" s="6" t="n">
        <v>12790</v>
      </c>
      <c r="Q169" s="6" t="n">
        <v>1</v>
      </c>
      <c r="R169">
        <f>M169+IF(N169&gt;1,N(O169)*(N169-1),0)</f>
        <v/>
      </c>
      <c r="S169">
        <f>IFERROR(L169*MAX(N169,1)/R169*IF(ISBLANK(K168),1,K168),0)</f>
        <v/>
      </c>
      <c r="AB169" s="7" t="inlineStr">
        <is>
          <t>^FlakWeapon, ^HeavyMissile, ^MediumMissile, ^LightMissile</t>
        </is>
      </c>
    </row>
    <row r="170">
      <c r="A170" t="inlineStr">
        <is>
          <t>redalert</t>
        </is>
      </c>
      <c r="B170" t="inlineStr">
        <is>
          <t>ra1_allies_alliedaagun</t>
        </is>
      </c>
      <c r="C170" t="inlineStr">
        <is>
          <t>Allied AA Gun</t>
        </is>
      </c>
      <c r="D170" s="6" t="inlineStr">
        <is>
          <t>AntiAirDefense</t>
        </is>
      </c>
      <c r="E170" s="6" t="n">
        <v>62500</v>
      </c>
      <c r="F170" s="6" t="n">
        <v>100</v>
      </c>
      <c r="G170" t="inlineStr">
        <is>
          <t>Concrete</t>
        </is>
      </c>
      <c r="H170" s="6" t="n">
        <v>0.8462</v>
      </c>
      <c r="I170" s="6" t="n">
        <v>1</v>
      </c>
      <c r="J170" s="6" t="n">
        <v>1</v>
      </c>
      <c r="K170" s="6" t="n"/>
      <c r="P170">
        <f>MAX(P171)</f>
        <v/>
      </c>
      <c r="S170">
        <f>S171</f>
        <v/>
      </c>
      <c r="T170">
        <f>(E170/100000+F170/100+(P170/1000)*J170/5+S170/200)*200*I170*H170</f>
        <v/>
      </c>
      <c r="U170">
        <f>((E170*F170/25000)+((P170/1000)*J170*S170/2.5))*I170*H170</f>
        <v/>
      </c>
      <c r="V170">
        <f>(E170*F170*(P170/1000)*J170*S170*I170*H170)/12500000</f>
        <v/>
      </c>
      <c r="W170">
        <f>(T170+U170+V170)/3</f>
        <v/>
      </c>
      <c r="X170" s="6" t="n">
        <v>500</v>
      </c>
      <c r="Y170">
        <f>IFERROR(W170-X170,"")</f>
        <v/>
      </c>
      <c r="Z170">
        <f>IFERROR(ABS(Y170)/MAX(X170,1),"")</f>
        <v/>
      </c>
      <c r="AA170">
        <f>IFERROR((X170-(((E170/100000+F170/100+S170/200)*200*I170*H170)+((E170*F170/25000)*I170*H170))/3)/(((J170/5)*200*I170*H170)+((J170*S170/2.5)*I170*H170)+((E170*F170*J170*S170*I170*H170)/12500000))/3*1000,"")</f>
        <v/>
      </c>
    </row>
    <row r="171">
      <c r="B171" s="7" t="inlineStr">
        <is>
          <t xml:space="preserve">  ↳ zsu_23</t>
        </is>
      </c>
      <c r="C171" s="7" t="inlineStr">
        <is>
          <t>Armament</t>
        </is>
      </c>
      <c r="L171" s="6" t="n">
        <v>4000</v>
      </c>
      <c r="M171" s="6" t="n">
        <v>14</v>
      </c>
      <c r="N171" s="6" t="n">
        <v>2</v>
      </c>
      <c r="O171" s="6" t="n">
        <v>2</v>
      </c>
      <c r="P171" s="6" t="n">
        <v>11412</v>
      </c>
      <c r="Q171" s="6" t="n">
        <v>1</v>
      </c>
      <c r="R171">
        <f>M171+IF(N171&gt;1,N(O171)*(N171-1),0)</f>
        <v/>
      </c>
      <c r="S171">
        <f>IFERROR(L171*MAX(N171,1)/R171*IF(ISBLANK(K170),1,K170),0)</f>
        <v/>
      </c>
      <c r="AB171" s="7" t="inlineStr">
        <is>
          <t>^Warhead_Flak_Medium</t>
        </is>
      </c>
    </row>
    <row r="172">
      <c r="A172" t="inlineStr">
        <is>
          <t>tiberiansun</t>
        </is>
      </c>
      <c r="B172" t="inlineStr">
        <is>
          <t>cabal_obeliskofdarkness</t>
        </is>
      </c>
      <c r="C172" t="inlineStr">
        <is>
          <t>Obelisk of Darkness</t>
        </is>
      </c>
      <c r="D172" s="6" t="inlineStr">
        <is>
          <t>AntiAirDefense</t>
        </is>
      </c>
      <c r="E172" s="6" t="n">
        <v>120000</v>
      </c>
      <c r="F172" s="6" t="n">
        <v>100</v>
      </c>
      <c r="G172" t="inlineStr">
        <is>
          <t>Heavy</t>
        </is>
      </c>
      <c r="H172" s="6" t="n">
        <v>1</v>
      </c>
      <c r="I172" s="6" t="n">
        <v>1</v>
      </c>
      <c r="J172" s="6" t="n">
        <v>1</v>
      </c>
      <c r="K172" s="6" t="n"/>
      <c r="P172">
        <f>MAX(P173)</f>
        <v/>
      </c>
      <c r="S172">
        <f>S173</f>
        <v/>
      </c>
      <c r="T172">
        <f>(E172/100000+F172/100+(P172/1000)*J172/5+S172/200)*200*I172*H172</f>
        <v/>
      </c>
      <c r="U172">
        <f>((E172*F172/25000)+((P172/1000)*J172*S172/2.5))*I172*H172</f>
        <v/>
      </c>
      <c r="V172">
        <f>(E172*F172*(P172/1000)*J172*S172*I172*H172)/12500000</f>
        <v/>
      </c>
      <c r="W172">
        <f>(T172+U172+V172)/3</f>
        <v/>
      </c>
      <c r="X172" s="6" t="n">
        <v>1200</v>
      </c>
      <c r="Y172">
        <f>IFERROR(W172-X172,"")</f>
        <v/>
      </c>
      <c r="Z172">
        <f>IFERROR(ABS(Y172)/MAX(X172,1),"")</f>
        <v/>
      </c>
      <c r="AA172">
        <f>IFERROR((X172-(((E172/100000+F172/100+S172/200)*200*I172*H172)+((E172*F172/25000)*I172*H172))/3)/(((J172/5)*200*I172*H172)+((J172*S172/2.5)*I172*H172)+((E172*F172*J172*S172*I172*H172)/12500000))/3*1000,"")</f>
        <v/>
      </c>
    </row>
    <row r="173">
      <c r="B173" s="7" t="inlineStr">
        <is>
          <t xml:space="preserve">  ↳ DarkObeliskLaser</t>
        </is>
      </c>
      <c r="C173" s="7" t="inlineStr">
        <is>
          <t>Armament</t>
        </is>
      </c>
      <c r="L173" s="6" t="n">
        <v>36000</v>
      </c>
      <c r="M173" s="6" t="n">
        <v>50</v>
      </c>
      <c r="N173" s="6" t="n">
        <v>1</v>
      </c>
      <c r="O173" s="6" t="n"/>
      <c r="P173" s="6" t="n">
        <v>12288</v>
      </c>
      <c r="Q173" s="6" t="n">
        <v>1.25</v>
      </c>
      <c r="R173">
        <f>M173+IF(N173&gt;1,N(O173)*(N173-1),0)</f>
        <v/>
      </c>
      <c r="S173">
        <f>IFERROR(L173*MAX(N173,1)/R173*IF(ISBLANK(K172),1,K172),0)</f>
        <v/>
      </c>
      <c r="AB173" s="7" t="inlineStr">
        <is>
          <t>^Warhead_Laser_Heavy</t>
        </is>
      </c>
    </row>
    <row r="174">
      <c r="A174" t="inlineStr">
        <is>
          <t>tiberiansun</t>
        </is>
      </c>
      <c r="B174" t="inlineStr">
        <is>
          <t>ts_nod_samsite</t>
        </is>
      </c>
      <c r="C174" t="inlineStr">
        <is>
          <t>SAM Site</t>
        </is>
      </c>
      <c r="D174" s="6" t="inlineStr">
        <is>
          <t>AntiAirDefense</t>
        </is>
      </c>
      <c r="E174" s="6" t="n">
        <v>100000</v>
      </c>
      <c r="F174" s="6" t="n">
        <v>100</v>
      </c>
      <c r="G174" t="inlineStr">
        <is>
          <t>Concrete</t>
        </is>
      </c>
      <c r="H174" s="6" t="n">
        <v>1</v>
      </c>
      <c r="I174" s="6" t="n">
        <v>1</v>
      </c>
      <c r="J174" s="6" t="n">
        <v>1</v>
      </c>
      <c r="K174" s="6" t="n"/>
      <c r="P174">
        <f>MAX(P175,P176)</f>
        <v/>
      </c>
      <c r="S174">
        <f>S175+S176</f>
        <v/>
      </c>
      <c r="T174">
        <f>(E174/100000+F174/100+(P174/1000)*J174/5+S174/200)*200*I174*H174</f>
        <v/>
      </c>
      <c r="U174">
        <f>((E174*F174/25000)+((P174/1000)*J174*S174/2.5))*I174*H174</f>
        <v/>
      </c>
      <c r="V174">
        <f>(E174*F174*(P174/1000)*J174*S174*I174*H174)/12500000</f>
        <v/>
      </c>
      <c r="W174">
        <f>(T174+U174+V174)/3</f>
        <v/>
      </c>
      <c r="X174" s="6" t="n">
        <v>800</v>
      </c>
      <c r="Y174">
        <f>IFERROR(W174-X174,"")</f>
        <v/>
      </c>
      <c r="Z174">
        <f>IFERROR(ABS(Y174)/MAX(X174,1),"")</f>
        <v/>
      </c>
      <c r="AA174">
        <f>IFERROR((X174-(((E174/100000+F174/100+S174/200)*200*I174*H174)+((E174*F174/25000)*I174*H174))/3)/(((J174/5)*200*I174*H174)+((J174*S174/2.5)*I174*H174)+((E174*F174*J174*S174*I174*H174)/12500000))/3*1000,"")</f>
        <v/>
      </c>
    </row>
    <row r="175">
      <c r="B175" s="7" t="inlineStr">
        <is>
          <t xml:space="preserve">  ↳ TSNODRedEye</t>
        </is>
      </c>
      <c r="C175" s="7" t="inlineStr">
        <is>
          <t>Armament@PRIMARY</t>
        </is>
      </c>
      <c r="L175" s="6" t="n">
        <v>12000</v>
      </c>
      <c r="M175" s="6" t="n">
        <v>50</v>
      </c>
      <c r="N175" s="6" t="n">
        <v>3</v>
      </c>
      <c r="O175" s="6" t="n">
        <v>2</v>
      </c>
      <c r="P175" s="6" t="n">
        <v>13176</v>
      </c>
      <c r="Q175" s="6" t="n">
        <v>1.25</v>
      </c>
      <c r="R175">
        <f>M175+IF(N175&gt;1,N(O175)*(N175-1),0)</f>
        <v/>
      </c>
      <c r="S175">
        <f>IFERROR(L175*MAX(N175,1)/R175*IF(ISBLANK(K174),1,K174),0)</f>
        <v/>
      </c>
      <c r="AB175" s="7" t="inlineStr">
        <is>
          <t>^Warhead_MissileAP_Heavy</t>
        </is>
      </c>
    </row>
    <row r="176">
      <c r="B176" s="7" t="inlineStr">
        <is>
          <t xml:space="preserve">  ↳ TSNODTibRedEye</t>
        </is>
      </c>
      <c r="C176" s="7" t="inlineStr">
        <is>
          <t>Armament@UPGRADE</t>
        </is>
      </c>
      <c r="L176" s="6" t="n">
        <v>18000</v>
      </c>
      <c r="M176" s="6" t="n">
        <v>50</v>
      </c>
      <c r="N176" s="6" t="n">
        <v>3</v>
      </c>
      <c r="O176" s="6" t="n">
        <v>2</v>
      </c>
      <c r="P176" s="6" t="n">
        <v>13176</v>
      </c>
      <c r="Q176" s="6" t="n">
        <v>1.25</v>
      </c>
      <c r="R176">
        <f>M176+IF(N176&gt;1,N(O176)*(N176-1),0)</f>
        <v/>
      </c>
      <c r="S176">
        <f>IFERROR(L176*MAX(N176,1)/R176*IF(ISBLANK(K174),1,K174),0)</f>
        <v/>
      </c>
      <c r="AB176" s="7" t="inlineStr">
        <is>
          <t>^Warhead_MissileAP_Heavy</t>
        </is>
      </c>
    </row>
    <row r="177">
      <c r="A177" t="inlineStr">
        <is>
          <t>tiberiansun</t>
        </is>
      </c>
      <c r="B177" t="inlineStr">
        <is>
          <t>ts_gdi_samtower</t>
        </is>
      </c>
      <c r="C177" t="inlineStr">
        <is>
          <t>SAM Tower</t>
        </is>
      </c>
      <c r="D177" s="6" t="inlineStr">
        <is>
          <t>AntiAirDefense</t>
        </is>
      </c>
      <c r="E177" s="6" t="n">
        <v>100000</v>
      </c>
      <c r="F177" s="6" t="n">
        <v>100</v>
      </c>
      <c r="G177" t="inlineStr">
        <is>
          <t>Light</t>
        </is>
      </c>
      <c r="H177" s="6" t="n">
        <v>1</v>
      </c>
      <c r="I177" s="6" t="n">
        <v>1</v>
      </c>
      <c r="J177" s="6" t="n">
        <v>1</v>
      </c>
      <c r="K177" s="6" t="n"/>
      <c r="P177">
        <f>MAX(P178)</f>
        <v/>
      </c>
      <c r="S177">
        <f>S178</f>
        <v/>
      </c>
      <c r="T177">
        <f>(E177/100000+F177/100+(P177/1000)*J177/5+S177/200)*200*I177*H177</f>
        <v/>
      </c>
      <c r="U177">
        <f>((E177*F177/25000)+((P177/1000)*J177*S177/2.5))*I177*H177</f>
        <v/>
      </c>
      <c r="V177">
        <f>(E177*F177*(P177/1000)*J177*S177*I177*H177)/12500000</f>
        <v/>
      </c>
      <c r="W177">
        <f>(T177+U177+V177)/3</f>
        <v/>
      </c>
      <c r="X177" s="6" t="n">
        <v>800</v>
      </c>
      <c r="Y177">
        <f>IFERROR(W177-X177,"")</f>
        <v/>
      </c>
      <c r="Z177">
        <f>IFERROR(ABS(Y177)/MAX(X177,1),"")</f>
        <v/>
      </c>
      <c r="AA177">
        <f>IFERROR((X177-(((E177/100000+F177/100+S177/200)*200*I177*H177)+((E177*F177/25000)*I177*H177))/3)/(((J177/5)*200*I177*H177)+((J177*S177/2.5)*I177*H177)+((E177*F177*J177*S177*I177*H177)/12500000))/3*1000,"")</f>
        <v/>
      </c>
    </row>
    <row r="178">
      <c r="B178" s="7" t="inlineStr">
        <is>
          <t xml:space="preserve">  ↳ TSGDIRedEye</t>
        </is>
      </c>
      <c r="C178" s="7" t="inlineStr">
        <is>
          <t>Armament</t>
        </is>
      </c>
      <c r="L178" s="6" t="n">
        <v>8000</v>
      </c>
      <c r="M178" s="6" t="n">
        <v>30</v>
      </c>
      <c r="N178" s="6" t="n">
        <v>2</v>
      </c>
      <c r="O178" s="6" t="n">
        <v>4</v>
      </c>
      <c r="P178" s="6" t="n">
        <v>12440</v>
      </c>
      <c r="Q178" s="6" t="n">
        <v>1.25</v>
      </c>
      <c r="R178">
        <f>M178+IF(N178&gt;1,N(O178)*(N178-1),0)</f>
        <v/>
      </c>
      <c r="S178">
        <f>IFERROR(L178*MAX(N178,1)/R178*IF(ISBLANK(K177),1,K177),0)</f>
        <v/>
      </c>
      <c r="AB178" s="7" t="inlineStr">
        <is>
          <t>^Warhead_MissileAP_Heavy</t>
        </is>
      </c>
    </row>
    <row r="179">
      <c r="A179" t="inlineStr">
        <is>
          <t>tiberiansun</t>
        </is>
      </c>
      <c r="B179" t="inlineStr">
        <is>
          <t>forgotten_juggerflakwall</t>
        </is>
      </c>
      <c r="C179" t="inlineStr">
        <is>
          <t>actor_forgotten_juggerflakwall.name</t>
        </is>
      </c>
      <c r="D179" s="6" t="inlineStr">
        <is>
          <t>AntiAirDefense</t>
        </is>
      </c>
      <c r="E179" s="6" t="n">
        <v>75000</v>
      </c>
      <c r="F179" s="6" t="n">
        <v>100</v>
      </c>
      <c r="G179" t="inlineStr">
        <is>
          <t>Concrete</t>
        </is>
      </c>
      <c r="H179" s="6" t="n">
        <v>1</v>
      </c>
      <c r="I179" s="6" t="n">
        <v>1</v>
      </c>
      <c r="J179" s="6" t="n">
        <v>1</v>
      </c>
      <c r="K179" s="6" t="n"/>
      <c r="P179">
        <f>MAX(P180)</f>
        <v/>
      </c>
      <c r="S179">
        <f>S180</f>
        <v/>
      </c>
      <c r="T179">
        <f>(E179/100000+F179/100+(P179/1000)*J179/5+S179/200)*200*I179*H179</f>
        <v/>
      </c>
      <c r="U179">
        <f>((E179*F179/25000)+((P179/1000)*J179*S179/2.5))*I179*H179</f>
        <v/>
      </c>
      <c r="V179">
        <f>(E179*F179*(P179/1000)*J179*S179*I179*H179)/12500000</f>
        <v/>
      </c>
      <c r="W179">
        <f>(T179+U179+V179)/3</f>
        <v/>
      </c>
      <c r="X179" s="6" t="n">
        <v>1000</v>
      </c>
      <c r="Y179">
        <f>IFERROR(W179-X179,"")</f>
        <v/>
      </c>
      <c r="Z179">
        <f>IFERROR(ABS(Y179)/MAX(X179,1),"")</f>
        <v/>
      </c>
      <c r="AA179">
        <f>IFERROR((X179-(((E179/100000+F179/100+S179/200)*200*I179*H179)+((E179*F179/25000)*I179*H179))/3)/(((J179/5)*200*I179*H179)+((J179*S179/2.5)*I179*H179)+((E179*F179*J179*S179*I179*H179)/12500000))/3*1000,"")</f>
        <v/>
      </c>
    </row>
    <row r="180">
      <c r="B180" s="7" t="inlineStr">
        <is>
          <t xml:space="preserve">  ↳ TSJuggerFlakAA</t>
        </is>
      </c>
      <c r="C180" s="7" t="inlineStr">
        <is>
          <t>Armament</t>
        </is>
      </c>
      <c r="L180" s="6" t="n">
        <v>10000</v>
      </c>
      <c r="M180" s="6" t="n">
        <v>28</v>
      </c>
      <c r="N180" s="6" t="n">
        <v>3</v>
      </c>
      <c r="O180" s="6" t="n">
        <v>1</v>
      </c>
      <c r="P180" s="6" t="n">
        <v>11234</v>
      </c>
      <c r="Q180" s="6" t="n">
        <v>1</v>
      </c>
      <c r="R180">
        <f>M180+IF(N180&gt;1,N(O180)*(N180-1),0)</f>
        <v/>
      </c>
      <c r="S180">
        <f>IFERROR(L180*MAX(N180,1)/R180*IF(ISBLANK(K179),1,K179),0)</f>
        <v/>
      </c>
      <c r="AB180" s="7" t="inlineStr">
        <is>
          <t>^Warhead_Flak_Medium</t>
        </is>
      </c>
    </row>
    <row r="181">
      <c r="A181" t="inlineStr">
        <is>
          <t>redalert2</t>
        </is>
      </c>
      <c r="B181" t="inlineStr">
        <is>
          <t>ra2_allies_patriotmissilesystem</t>
        </is>
      </c>
      <c r="C181" t="inlineStr">
        <is>
          <t>Patriot Missile System</t>
        </is>
      </c>
      <c r="D181" s="6" t="inlineStr">
        <is>
          <t>AntiAirDefense</t>
        </is>
      </c>
      <c r="E181" s="6" t="n">
        <v>90000</v>
      </c>
      <c r="F181" s="6" t="n">
        <v>100</v>
      </c>
      <c r="G181" t="inlineStr">
        <is>
          <t>Concrete</t>
        </is>
      </c>
      <c r="H181" s="6" t="n">
        <v>1</v>
      </c>
      <c r="I181" s="6" t="n">
        <v>0.225</v>
      </c>
      <c r="J181" s="6" t="n">
        <v>1</v>
      </c>
      <c r="K181" s="6" t="n"/>
      <c r="P181">
        <f>MAX(P182,P183)</f>
        <v/>
      </c>
      <c r="S181">
        <f>S182+S183</f>
        <v/>
      </c>
      <c r="T181">
        <f>(E181/100000+F181/100+(P181/1000)*J181/5+S181/200)*200*I181*H181</f>
        <v/>
      </c>
      <c r="U181">
        <f>((E181*F181/25000)+((P181/1000)*J181*S181/2.5))*I181*H181</f>
        <v/>
      </c>
      <c r="V181">
        <f>(E181*F181*(P181/1000)*J181*S181*I181*H181)/12500000</f>
        <v/>
      </c>
      <c r="W181">
        <f>(T181+U181+V181)/3</f>
        <v/>
      </c>
      <c r="X181" s="6" t="n">
        <v>800</v>
      </c>
      <c r="Y181">
        <f>IFERROR(W181-X181,"")</f>
        <v/>
      </c>
      <c r="Z181">
        <f>IFERROR(ABS(Y181)/MAX(X181,1),"")</f>
        <v/>
      </c>
      <c r="AA181">
        <f>IFERROR((X181-(((E181/100000+F181/100+S181/200)*200*I181*H181)+((E181*F181/25000)*I181*H181))/3)/(((J181/5)*200*I181*H181)+((J181*S181/2.5)*I181*H181)+((E181*F181*J181*S181*I181*H181)/12500000))/3*1000,"")</f>
        <v/>
      </c>
    </row>
    <row r="182">
      <c r="B182" s="7" t="inlineStr">
        <is>
          <t xml:space="preserve">  ↳ RA2Patriot</t>
        </is>
      </c>
      <c r="C182" s="7" t="inlineStr">
        <is>
          <t>Armament</t>
        </is>
      </c>
      <c r="L182" s="6" t="n">
        <v>10000</v>
      </c>
      <c r="M182" s="6" t="n">
        <v>30</v>
      </c>
      <c r="N182" s="6" t="n">
        <v>2</v>
      </c>
      <c r="O182" s="6" t="n">
        <v>6</v>
      </c>
      <c r="P182" s="6" t="n">
        <v>14150</v>
      </c>
      <c r="Q182" s="6" t="n">
        <v>1</v>
      </c>
      <c r="R182">
        <f>M182+IF(N182&gt;1,N(O182)*(N182-1),0)</f>
        <v/>
      </c>
      <c r="S182">
        <f>IFERROR(L182*MAX(N182,1)/R182*IF(ISBLANK(K181),1,K181),0)</f>
        <v/>
      </c>
      <c r="AB182" s="7" t="inlineStr">
        <is>
          <t>^Warhead_MissileAP_Medium</t>
        </is>
      </c>
    </row>
    <row r="183">
      <c r="B183" s="7" t="inlineStr">
        <is>
          <t xml:space="preserve">  ↳ RA2PatriotThunderboltMissile</t>
        </is>
      </c>
      <c r="C183" s="7" t="inlineStr">
        <is>
          <t>Armament@missileeliteThunderbolt</t>
        </is>
      </c>
      <c r="L183" s="6" t="n">
        <v>2000</v>
      </c>
      <c r="M183" s="6" t="n">
        <v>30</v>
      </c>
      <c r="N183" s="6" t="n">
        <v>2</v>
      </c>
      <c r="O183" s="6" t="n">
        <v>6</v>
      </c>
      <c r="P183" s="6" t="n">
        <v>14150</v>
      </c>
      <c r="Q183" s="6" t="n">
        <v>1.25</v>
      </c>
      <c r="R183">
        <f>M183+IF(N183&gt;1,N(O183)*(N183-1),0)</f>
        <v/>
      </c>
      <c r="S183">
        <f>IFERROR(L183*MAX(N183,1)/R183*IF(ISBLANK(K181),1,K181),0)</f>
        <v/>
      </c>
      <c r="AB183" s="7" t="inlineStr">
        <is>
          <t>^Warhead_MissileAA_Heavy</t>
        </is>
      </c>
    </row>
    <row r="184">
      <c r="A184" t="inlineStr">
        <is>
          <t>redalert2</t>
        </is>
      </c>
      <c r="B184" t="inlineStr">
        <is>
          <t>ra2_soviets_flakcannon</t>
        </is>
      </c>
      <c r="C184" t="inlineStr">
        <is>
          <t>Flak Cannon</t>
        </is>
      </c>
      <c r="D184" s="6" t="inlineStr">
        <is>
          <t>AntiAirDefense</t>
        </is>
      </c>
      <c r="E184" s="6" t="n">
        <v>60000</v>
      </c>
      <c r="F184" s="6" t="n">
        <v>100</v>
      </c>
      <c r="G184" t="inlineStr">
        <is>
          <t>Concrete</t>
        </is>
      </c>
      <c r="H184" s="6" t="n">
        <v>1</v>
      </c>
      <c r="I184" s="6" t="n">
        <v>0.225</v>
      </c>
      <c r="J184" s="6" t="n">
        <v>1</v>
      </c>
      <c r="K184" s="6" t="n"/>
      <c r="P184">
        <f>MAX(P185)</f>
        <v/>
      </c>
      <c r="S184">
        <f>S185</f>
        <v/>
      </c>
      <c r="T184">
        <f>(E184/100000+F184/100+(P184/1000)*J184/5+S184/200)*200*I184*H184</f>
        <v/>
      </c>
      <c r="U184">
        <f>((E184*F184/25000)+((P184/1000)*J184*S184/2.5))*I184*H184</f>
        <v/>
      </c>
      <c r="V184">
        <f>(E184*F184*(P184/1000)*J184*S184*I184*H184)/12500000</f>
        <v/>
      </c>
      <c r="W184">
        <f>(T184+U184+V184)/3</f>
        <v/>
      </c>
      <c r="X184" s="6" t="n">
        <v>700</v>
      </c>
      <c r="Y184">
        <f>IFERROR(W184-X184,"")</f>
        <v/>
      </c>
      <c r="Z184">
        <f>IFERROR(ABS(Y184)/MAX(X184,1),"")</f>
        <v/>
      </c>
      <c r="AA184">
        <f>IFERROR((X184-(((E184/100000+F184/100+S184/200)*200*I184*H184)+((E184*F184/25000)*I184*H184))/3)/(((J184/5)*200*I184*H184)+((J184*S184/2.5)*I184*H184)+((E184*F184*J184*S184*I184*H184)/12500000))/3*1000,"")</f>
        <v/>
      </c>
    </row>
    <row r="185">
      <c r="B185" s="7" t="inlineStr">
        <is>
          <t xml:space="preserve">  ↳ RA2TURRETFLAKAA</t>
        </is>
      </c>
      <c r="C185" s="7" t="inlineStr">
        <is>
          <t>Armament</t>
        </is>
      </c>
      <c r="L185" s="6" t="n">
        <v>10000</v>
      </c>
      <c r="M185" s="6" t="n">
        <v>15</v>
      </c>
      <c r="N185" s="6" t="n">
        <v>1</v>
      </c>
      <c r="O185" s="6" t="n"/>
      <c r="P185" s="6" t="n">
        <v>12936</v>
      </c>
      <c r="Q185" s="6" t="n">
        <v>1</v>
      </c>
      <c r="R185">
        <f>M185+IF(N185&gt;1,N(O185)*(N185-1),0)</f>
        <v/>
      </c>
      <c r="S185">
        <f>IFERROR(L185*MAX(N185,1)/R185*IF(ISBLANK(K184),1,K184),0)</f>
        <v/>
      </c>
      <c r="AB185" s="7" t="inlineStr">
        <is>
          <t>^Warhead_Flak_Medium</t>
        </is>
      </c>
    </row>
    <row r="186">
      <c r="A186" t="inlineStr">
        <is>
          <t>redalert2mod</t>
        </is>
      </c>
      <c r="B186" t="inlineStr">
        <is>
          <t>asianalliance_hyperionprojector</t>
        </is>
      </c>
      <c r="C186" t="inlineStr">
        <is>
          <t>Hyperion Projector</t>
        </is>
      </c>
      <c r="D186" s="6" t="inlineStr">
        <is>
          <t>AntiAirDefense</t>
        </is>
      </c>
      <c r="E186" s="6" t="n">
        <v>100000</v>
      </c>
      <c r="F186" s="6" t="n"/>
      <c r="G186" t="inlineStr">
        <is>
          <t>Concrete</t>
        </is>
      </c>
      <c r="H186" s="6" t="n">
        <v>0.4125</v>
      </c>
      <c r="I186" s="6" t="n">
        <v>1</v>
      </c>
      <c r="J186" s="6" t="n">
        <v>1</v>
      </c>
      <c r="K186" s="6" t="n"/>
      <c r="X186" s="6" t="n">
        <v>1000</v>
      </c>
    </row>
    <row r="187">
      <c r="B187" s="7" t="inlineStr">
        <is>
          <t xml:space="preserve">  ↳ AAHyperionMagnet</t>
        </is>
      </c>
      <c r="C187" s="7" t="inlineStr">
        <is>
          <t>Armament@Normal</t>
        </is>
      </c>
      <c r="L187" s="6" t="n">
        <v>2000</v>
      </c>
      <c r="M187" s="6" t="n">
        <v>200</v>
      </c>
      <c r="N187" s="6" t="n">
        <v>100</v>
      </c>
      <c r="O187" s="6" t="n">
        <v>1</v>
      </c>
      <c r="P187" s="6" t="n">
        <v>9000</v>
      </c>
      <c r="Q187" s="6" t="n">
        <v>1.25</v>
      </c>
      <c r="R187">
        <f>M187+IF(N187&gt;1,N(O187)*(N187-1),0)</f>
        <v/>
      </c>
      <c r="S187">
        <f>IFERROR(L187*MAX(N187,1)/R187*IF(ISBLANK(K186),1,K186),0)</f>
        <v/>
      </c>
      <c r="AB187" s="7" t="inlineStr">
        <is>
          <t>^Warhead_Laser_Heavy</t>
        </is>
      </c>
    </row>
    <row r="188">
      <c r="A188" t="inlineStr">
        <is>
          <t>redalert2mod</t>
        </is>
      </c>
      <c r="B188" t="inlineStr">
        <is>
          <t>asianalliance_pulsar</t>
        </is>
      </c>
      <c r="C188" t="inlineStr">
        <is>
          <t>Pulsar</t>
        </is>
      </c>
      <c r="D188" s="6" t="inlineStr">
        <is>
          <t>AntiAirDefense</t>
        </is>
      </c>
      <c r="E188" s="6" t="n">
        <v>80000</v>
      </c>
      <c r="F188" s="6" t="n"/>
      <c r="G188" t="inlineStr">
        <is>
          <t>Concrete</t>
        </is>
      </c>
      <c r="H188" s="6" t="n">
        <v>0.825</v>
      </c>
      <c r="I188" s="6" t="n">
        <v>1</v>
      </c>
      <c r="J188" s="6" t="n">
        <v>1</v>
      </c>
      <c r="K188" s="6" t="n"/>
      <c r="X188" s="6" t="n">
        <v>900</v>
      </c>
    </row>
    <row r="189">
      <c r="B189" s="7" t="inlineStr">
        <is>
          <t xml:space="preserve">  ↳ AsianPhotonCannon</t>
        </is>
      </c>
      <c r="C189" s="7" t="inlineStr">
        <is>
          <t>Armament</t>
        </is>
      </c>
      <c r="L189" s="6" t="n">
        <v>8000</v>
      </c>
      <c r="M189" s="6" t="n">
        <v>13</v>
      </c>
      <c r="N189" s="6" t="n">
        <v>1</v>
      </c>
      <c r="O189" s="6" t="n"/>
      <c r="P189" s="6" t="n">
        <v>14000</v>
      </c>
      <c r="Q189" s="6" t="n">
        <v>1</v>
      </c>
      <c r="R189">
        <f>M189+IF(N189&gt;1,N(O189)*(N189-1),0)</f>
        <v/>
      </c>
      <c r="S189">
        <f>IFERROR(L189*MAX(N189,1)/R189*IF(ISBLANK(K188),1,K188),0)</f>
        <v/>
      </c>
      <c r="AB189" s="7" t="inlineStr">
        <is>
          <t>^MediumMissile, ^FlakWeapon, ^TeslaWeapon, ^MagicWeapon</t>
        </is>
      </c>
    </row>
    <row r="190">
      <c r="B190" s="7" t="inlineStr">
        <is>
          <t xml:space="preserve">  ↳ AsianPhotonCannon_EMP</t>
        </is>
      </c>
      <c r="C190" s="7" t="inlineStr">
        <is>
          <t>Armament@Upgrade</t>
        </is>
      </c>
      <c r="L190" s="6" t="n">
        <v>8000</v>
      </c>
      <c r="M190" s="6" t="n">
        <v>13</v>
      </c>
      <c r="N190" s="6" t="n">
        <v>1</v>
      </c>
      <c r="O190" s="6" t="n"/>
      <c r="P190" s="6" t="n">
        <v>14000</v>
      </c>
      <c r="Q190" s="6" t="n">
        <v>1</v>
      </c>
      <c r="R190">
        <f>M190+IF(N190&gt;1,N(O190)*(N190-1),0)</f>
        <v/>
      </c>
      <c r="S190">
        <f>IFERROR(L190*MAX(N190,1)/R190*IF(ISBLANK(K188),1,K188),0)</f>
        <v/>
      </c>
      <c r="AB190" s="7" t="inlineStr">
        <is>
          <t>AsianPhotonCannon</t>
        </is>
      </c>
    </row>
    <row r="191">
      <c r="A191" t="inlineStr">
        <is>
          <t>redalert2mod</t>
        </is>
      </c>
      <c r="B191" t="inlineStr">
        <is>
          <t>steelconsortium_antiairquantummissileturret</t>
        </is>
      </c>
      <c r="C191" t="inlineStr">
        <is>
          <t>Anti Air Quantum Missile Turret</t>
        </is>
      </c>
      <c r="D191" s="6" t="inlineStr">
        <is>
          <t>AntiAirDefense</t>
        </is>
      </c>
      <c r="E191" s="6" t="n">
        <v>121000</v>
      </c>
      <c r="F191" s="6" t="n"/>
      <c r="G191" t="inlineStr">
        <is>
          <t>Concrete</t>
        </is>
      </c>
      <c r="H191" s="6" t="n">
        <v>0.8048999999999999</v>
      </c>
      <c r="I191" s="6" t="n">
        <v>1</v>
      </c>
      <c r="J191" s="6" t="n">
        <v>1</v>
      </c>
      <c r="K191" s="6" t="n"/>
      <c r="X191" s="6" t="n">
        <v>1000</v>
      </c>
    </row>
    <row r="192">
      <c r="B192" s="7" t="inlineStr">
        <is>
          <t xml:space="preserve">  ↳ GLStingerTargeting</t>
        </is>
      </c>
      <c r="C192" s="7" t="inlineStr">
        <is>
          <t>Armament@DroneTargeting</t>
        </is>
      </c>
      <c r="L192" s="6" t="n"/>
      <c r="M192" s="6" t="n">
        <v>25</v>
      </c>
      <c r="N192" s="6" t="n">
        <v>1</v>
      </c>
      <c r="O192" s="6" t="n"/>
      <c r="P192" s="6" t="n">
        <v>15000</v>
      </c>
      <c r="Q192" s="6" t="n">
        <v>1</v>
      </c>
      <c r="R192">
        <f>M192+IF(N192&gt;1,N(O192)*(N192-1),0)</f>
        <v/>
      </c>
      <c r="S192">
        <f>IFERROR(L192*MAX(N192,1)/R192*IF(ISBLANK(K191),1,K191),0)</f>
        <v/>
      </c>
      <c r="AB192" s="7" t="inlineStr"/>
    </row>
    <row r="193">
      <c r="B193" s="7" t="inlineStr">
        <is>
          <t xml:space="preserve">  ↳ ConsortiumMissileSystem</t>
        </is>
      </c>
      <c r="C193" s="7" t="inlineStr">
        <is>
          <t>Armament</t>
        </is>
      </c>
      <c r="L193" s="6" t="n">
        <v>24000</v>
      </c>
      <c r="M193" s="6" t="n">
        <v>60</v>
      </c>
      <c r="N193" s="6" t="n">
        <v>2</v>
      </c>
      <c r="O193" s="6" t="n">
        <v>10</v>
      </c>
      <c r="P193" s="6" t="n">
        <v>12000</v>
      </c>
      <c r="Q193" s="6" t="n">
        <v>1</v>
      </c>
      <c r="R193">
        <f>M193+IF(N193&gt;1,N(O193)*(N193-1),0)</f>
        <v/>
      </c>
      <c r="S193">
        <f>IFERROR(L193*MAX(N193,1)/R193*IF(ISBLANK(K191),1,K191),0)</f>
        <v/>
      </c>
      <c r="AB193" s="7" t="inlineStr">
        <is>
          <t>^Warhead_Flak_Medium, ^Warhead_MissileAP_Medium</t>
        </is>
      </c>
    </row>
    <row r="194">
      <c r="B194" s="7" t="inlineStr">
        <is>
          <t xml:space="preserve">  ↳ ConsortiumMissileSystem_EMP</t>
        </is>
      </c>
      <c r="C194" s="7" t="inlineStr">
        <is>
          <t>Armament@Upgrade</t>
        </is>
      </c>
      <c r="L194" s="6" t="n">
        <v>24000</v>
      </c>
      <c r="M194" s="6" t="n">
        <v>60</v>
      </c>
      <c r="N194" s="6" t="n">
        <v>2</v>
      </c>
      <c r="O194" s="6" t="n">
        <v>10</v>
      </c>
      <c r="P194" s="6" t="n">
        <v>12000</v>
      </c>
      <c r="Q194" s="6" t="n">
        <v>1</v>
      </c>
      <c r="R194">
        <f>M194+IF(N194&gt;1,N(O194)*(N194-1),0)</f>
        <v/>
      </c>
      <c r="S194">
        <f>IFERROR(L194*MAX(N194,1)/R194*IF(ISBLANK(K191),1,K191),0)</f>
        <v/>
      </c>
      <c r="AB194" s="7" t="inlineStr">
        <is>
          <t>^Warhead_Flak_Medium, ^Warhead_MissileAP_Medium</t>
        </is>
      </c>
    </row>
    <row r="195">
      <c r="A195" t="inlineStr">
        <is>
          <t>redalert2mod</t>
        </is>
      </c>
      <c r="B195" t="inlineStr">
        <is>
          <t>latinsyndicate_latinaadefender</t>
        </is>
      </c>
      <c r="C195" t="inlineStr">
        <is>
          <t>Latin AA Defender</t>
        </is>
      </c>
      <c r="D195" s="6" t="inlineStr">
        <is>
          <t>AntiAirDefense</t>
        </is>
      </c>
      <c r="E195" s="6" t="n">
        <v>132500</v>
      </c>
      <c r="F195" s="6" t="n"/>
      <c r="G195" t="inlineStr">
        <is>
          <t>Concrete</t>
        </is>
      </c>
      <c r="H195" s="6" t="n">
        <v>0.8048999999999999</v>
      </c>
      <c r="I195" s="6" t="n">
        <v>1</v>
      </c>
      <c r="J195" s="6" t="n">
        <v>1</v>
      </c>
      <c r="K195" s="6" t="n"/>
      <c r="X195" s="6" t="n">
        <v>1500</v>
      </c>
    </row>
    <row r="196">
      <c r="B196" s="7" t="inlineStr">
        <is>
          <t xml:space="preserve">  ↳ LatinAADefenderCannon</t>
        </is>
      </c>
      <c r="C196" s="7" t="inlineStr">
        <is>
          <t>Armament@1</t>
        </is>
      </c>
      <c r="L196" s="6" t="n">
        <v>4000</v>
      </c>
      <c r="M196" s="6" t="n">
        <v>20</v>
      </c>
      <c r="N196" s="6" t="n">
        <v>2</v>
      </c>
      <c r="O196" s="6" t="n">
        <v>0</v>
      </c>
      <c r="P196" s="6" t="n">
        <v>15000</v>
      </c>
      <c r="Q196" s="6" t="n">
        <v>1</v>
      </c>
      <c r="R196">
        <f>M196+IF(N196&gt;1,N(O196)*(N196-1),0)</f>
        <v/>
      </c>
      <c r="S196">
        <f>IFERROR(L196*MAX(N196,1)/R196*IF(ISBLANK(K195),1,K195),0)</f>
        <v/>
      </c>
      <c r="AB196" s="7" t="inlineStr">
        <is>
          <t>^Warhead_MissileAP_Medium, ^Warhead_Flak_Medium</t>
        </is>
      </c>
    </row>
    <row r="197">
      <c r="B197" s="7" t="inlineStr">
        <is>
          <t xml:space="preserve">  ↳ LatinAADefenderCannon</t>
        </is>
      </c>
      <c r="C197" s="7" t="inlineStr">
        <is>
          <t>Armament@2</t>
        </is>
      </c>
      <c r="L197" s="6" t="n">
        <v>4000</v>
      </c>
      <c r="M197" s="6" t="n">
        <v>20</v>
      </c>
      <c r="N197" s="6" t="n">
        <v>2</v>
      </c>
      <c r="O197" s="6" t="n">
        <v>0</v>
      </c>
      <c r="P197" s="6" t="n">
        <v>15000</v>
      </c>
      <c r="Q197" s="6" t="n">
        <v>1</v>
      </c>
      <c r="R197">
        <f>M197+IF(N197&gt;1,N(O197)*(N197-1),0)</f>
        <v/>
      </c>
      <c r="S197">
        <f>IFERROR(L197*MAX(N197,1)/R197*IF(ISBLANK(K195),1,K195),0)</f>
        <v/>
      </c>
      <c r="AB197" s="7" t="inlineStr">
        <is>
          <t>^Warhead_MissileAP_Medium, ^Warhead_Flak_Medium</t>
        </is>
      </c>
    </row>
    <row r="198">
      <c r="A198" t="inlineStr">
        <is>
          <t>redalert2mod</t>
        </is>
      </c>
      <c r="B198" t="inlineStr">
        <is>
          <t>tkm_quadturretbunker</t>
        </is>
      </c>
      <c r="C198" t="inlineStr">
        <is>
          <t>TKM Quad Turret Bunker</t>
        </is>
      </c>
      <c r="D198" s="6" t="inlineStr">
        <is>
          <t>AntiAirDefense</t>
        </is>
      </c>
      <c r="E198" s="6" t="n">
        <v>85000</v>
      </c>
      <c r="F198" s="6" t="n">
        <v>100</v>
      </c>
      <c r="G198" t="inlineStr">
        <is>
          <t>Concrete</t>
        </is>
      </c>
      <c r="H198" s="6" t="n">
        <v>0.7082000000000001</v>
      </c>
      <c r="I198" s="6" t="n">
        <v>1</v>
      </c>
      <c r="J198" s="6" t="n">
        <v>1</v>
      </c>
      <c r="K198" s="6" t="n"/>
      <c r="P198">
        <f>MAX(P199)</f>
        <v/>
      </c>
      <c r="S198">
        <f>S199</f>
        <v/>
      </c>
      <c r="T198">
        <f>(E198/100000+F198/100+(P198/1000)*J198/5+S198/200)*200*I198*H198</f>
        <v/>
      </c>
      <c r="U198">
        <f>((E198*F198/25000)+((P198/1000)*J198*S198/2.5))*I198*H198</f>
        <v/>
      </c>
      <c r="V198">
        <f>(E198*F198*(P198/1000)*J198*S198*I198*H198)/12500000</f>
        <v/>
      </c>
      <c r="W198">
        <f>(T198+U198+V198)/3</f>
        <v/>
      </c>
      <c r="X198" s="6" t="n">
        <v>900</v>
      </c>
      <c r="Y198">
        <f>IFERROR(W198-X198,"")</f>
        <v/>
      </c>
      <c r="Z198">
        <f>IFERROR(ABS(Y198)/MAX(X198,1),"")</f>
        <v/>
      </c>
      <c r="AA198">
        <f>IFERROR((X198-(((E198/100000+F198/100+S198/200)*200*I198*H198)+((E198*F198/25000)*I198*H198))/3)/(((J198/5)*200*I198*H198)+((J198*S198/2.5)*I198*H198)+((E198*F198*J198*S198*I198*H198)/12500000))/3*1000,"")</f>
        <v/>
      </c>
    </row>
    <row r="199">
      <c r="B199" s="7" t="inlineStr">
        <is>
          <t xml:space="preserve">  ↳ TKMAATurretCannon</t>
        </is>
      </c>
      <c r="C199" s="7" t="inlineStr">
        <is>
          <t>Armament@AA</t>
        </is>
      </c>
      <c r="L199" s="6" t="n">
        <v>4000</v>
      </c>
      <c r="M199" s="6" t="n">
        <v>5</v>
      </c>
      <c r="N199" s="6" t="n">
        <v>1</v>
      </c>
      <c r="O199" s="6" t="n"/>
      <c r="P199" s="6" t="n">
        <v>11604</v>
      </c>
      <c r="Q199" s="6" t="n">
        <v>1</v>
      </c>
      <c r="R199">
        <f>M199+IF(N199&gt;1,N(O199)*(N199-1),0)</f>
        <v/>
      </c>
      <c r="S199">
        <f>IFERROR(L199*MAX(N199,1)/R199*IF(ISBLANK(K198),1,K198),0)</f>
        <v/>
      </c>
      <c r="AB199" s="7" t="inlineStr">
        <is>
          <t>^Warhead_MissileHE_Medium, ^Warhead_Flak_Medium</t>
        </is>
      </c>
    </row>
    <row r="200">
      <c r="A200" t="inlineStr">
        <is>
          <t>starcraft</t>
        </is>
      </c>
      <c r="B200" t="inlineStr">
        <is>
          <t>protoss_photoncannon</t>
        </is>
      </c>
      <c r="C200" t="inlineStr">
        <is>
          <t>Photon Cannon</t>
        </is>
      </c>
      <c r="D200" s="6" t="inlineStr">
        <is>
          <t>AntiAirDefense</t>
        </is>
      </c>
      <c r="E200" s="6" t="n">
        <v>200000</v>
      </c>
      <c r="F200" s="6" t="n">
        <v>100</v>
      </c>
      <c r="G200" t="inlineStr">
        <is>
          <t>Concrete</t>
        </is>
      </c>
      <c r="H200" s="6" t="n">
        <v>1</v>
      </c>
      <c r="I200" s="6" t="n">
        <v>0.325</v>
      </c>
      <c r="J200" s="6" t="n">
        <v>1</v>
      </c>
      <c r="K200" s="6" t="n"/>
      <c r="P200">
        <f>MAX(P201)</f>
        <v/>
      </c>
      <c r="S200">
        <f>S201</f>
        <v/>
      </c>
      <c r="T200">
        <f>(E200/100000+F200/100+(P200/1000)*J200/5+S200/200)*200*I200*H200</f>
        <v/>
      </c>
      <c r="U200">
        <f>((E200*F200/25000)+((P200/1000)*J200*S200/2.5))*I200*H200</f>
        <v/>
      </c>
      <c r="V200">
        <f>(E200*F200*(P200/1000)*J200*S200*I200*H200)/12500000</f>
        <v/>
      </c>
      <c r="W200">
        <f>(T200+U200+V200)/3</f>
        <v/>
      </c>
      <c r="X200" s="6" t="n">
        <v>2000</v>
      </c>
      <c r="Y200">
        <f>IFERROR(W200-X200,"")</f>
        <v/>
      </c>
      <c r="Z200">
        <f>IFERROR(ABS(Y200)/MAX(X200,1),"")</f>
        <v/>
      </c>
      <c r="AA200">
        <f>IFERROR((X200-(((E200/100000+F200/100+S200/200)*200*I200*H200)+((E200*F200/25000)*I200*H200))/3)/(((J200/5)*200*I200*H200)+((J200*S200/2.5)*I200*H200)+((E200*F200*J200*S200*I200*H200)/12500000))/3*1000,"")</f>
        <v/>
      </c>
    </row>
    <row r="201">
      <c r="B201" s="7" t="inlineStr">
        <is>
          <t xml:space="preserve">  ↳ PhotonCannon</t>
        </is>
      </c>
      <c r="C201" s="7" t="inlineStr">
        <is>
          <t>Armament</t>
        </is>
      </c>
      <c r="L201" s="6" t="n">
        <v>40000</v>
      </c>
      <c r="M201" s="6" t="n">
        <v>28</v>
      </c>
      <c r="N201" s="6" t="n">
        <v>1</v>
      </c>
      <c r="O201" s="6" t="n"/>
      <c r="P201" s="6" t="n">
        <v>8228</v>
      </c>
      <c r="Q201" s="6" t="n">
        <v>1</v>
      </c>
      <c r="R201">
        <f>M201+IF(N201&gt;1,N(O201)*(N201-1),0)</f>
        <v/>
      </c>
      <c r="S201">
        <f>IFERROR(L201*MAX(N201,1)/R201*IF(ISBLANK(K200),1,K200),0)</f>
        <v/>
      </c>
      <c r="AB201" s="7" t="inlineStr">
        <is>
          <t>^FlakWeapon, ^HeavyCannon, ^MediumCannon, ^TankDestroyerCannon</t>
        </is>
      </c>
    </row>
    <row r="202">
      <c r="A202" t="inlineStr">
        <is>
          <t>starcraft</t>
        </is>
      </c>
      <c r="B202" t="inlineStr">
        <is>
          <t>terran_missileturret</t>
        </is>
      </c>
      <c r="C202" t="inlineStr">
        <is>
          <t>Missile Turret</t>
        </is>
      </c>
      <c r="D202" s="6" t="inlineStr">
        <is>
          <t>AntiAirDefense</t>
        </is>
      </c>
      <c r="E202" s="6" t="n">
        <v>200000</v>
      </c>
      <c r="F202" s="6" t="n">
        <v>100</v>
      </c>
      <c r="G202" t="inlineStr">
        <is>
          <t>Concrete</t>
        </is>
      </c>
      <c r="H202" s="6" t="n">
        <v>1</v>
      </c>
      <c r="I202" s="6" t="n">
        <v>0.225</v>
      </c>
      <c r="J202" s="6" t="n">
        <v>1</v>
      </c>
      <c r="K202" s="6" t="n"/>
      <c r="P202">
        <f>MAX(P203,P204)</f>
        <v/>
      </c>
      <c r="S202">
        <f>S203+S204</f>
        <v/>
      </c>
      <c r="T202">
        <f>(E202/100000+F202/100+(P202/1000)*J202/5+S202/200)*200*I202*H202</f>
        <v/>
      </c>
      <c r="U202">
        <f>((E202*F202/25000)+((P202/1000)*J202*S202/2.5))*I202*H202</f>
        <v/>
      </c>
      <c r="V202">
        <f>(E202*F202*(P202/1000)*J202*S202*I202*H202)/12500000</f>
        <v/>
      </c>
      <c r="W202">
        <f>(T202+U202+V202)/3</f>
        <v/>
      </c>
      <c r="X202" s="6" t="n">
        <v>1200</v>
      </c>
      <c r="Y202">
        <f>IFERROR(W202-X202,"")</f>
        <v/>
      </c>
      <c r="Z202">
        <f>IFERROR(ABS(Y202)/MAX(X202,1),"")</f>
        <v/>
      </c>
      <c r="AA202">
        <f>IFERROR((X202-(((E202/100000+F202/100+S202/200)*200*I202*H202)+((E202*F202/25000)*I202*H202))/3)/(((J202/5)*200*I202*H202)+((J202*S202/2.5)*I202*H202)+((E202*F202*J202*S202*I202*H202)/12500000))/3*1000,"")</f>
        <v/>
      </c>
    </row>
    <row r="203">
      <c r="B203" s="7" t="inlineStr">
        <is>
          <t xml:space="preserve">  ↳ MissileTurret</t>
        </is>
      </c>
      <c r="C203" s="7" t="inlineStr">
        <is>
          <t>Armament@1</t>
        </is>
      </c>
      <c r="L203" s="6" t="n">
        <v>20000</v>
      </c>
      <c r="M203" s="6" t="n">
        <v>30</v>
      </c>
      <c r="N203" s="6" t="n">
        <v>1</v>
      </c>
      <c r="O203" s="6" t="n"/>
      <c r="P203" s="6" t="n">
        <v>11626</v>
      </c>
      <c r="Q203" s="6" t="n">
        <v>1.25</v>
      </c>
      <c r="R203">
        <f>M203+IF(N203&gt;1,N(O203)*(N203-1),0)</f>
        <v/>
      </c>
      <c r="S203">
        <f>IFERROR(L203*MAX(N203,1)/R203*IF(ISBLANK(K202),1,K202),0)</f>
        <v/>
      </c>
      <c r="AB203" s="7" t="inlineStr">
        <is>
          <t>^Warhead_MissileAP_Heavy</t>
        </is>
      </c>
    </row>
    <row r="204">
      <c r="B204" s="7" t="inlineStr">
        <is>
          <t xml:space="preserve">  ↳ MissileTurret</t>
        </is>
      </c>
      <c r="C204" s="7" t="inlineStr">
        <is>
          <t>Armament@2</t>
        </is>
      </c>
      <c r="L204" s="6" t="n">
        <v>20000</v>
      </c>
      <c r="M204" s="6" t="n">
        <v>30</v>
      </c>
      <c r="N204" s="6" t="n">
        <v>1</v>
      </c>
      <c r="O204" s="6" t="n"/>
      <c r="P204" s="6" t="n">
        <v>11626</v>
      </c>
      <c r="Q204" s="6" t="n">
        <v>1.25</v>
      </c>
      <c r="R204">
        <f>M204+IF(N204&gt;1,N(O204)*(N204-1),0)</f>
        <v/>
      </c>
      <c r="S204">
        <f>IFERROR(L204*MAX(N204,1)/R204*IF(ISBLANK(K202),1,K202),0)</f>
        <v/>
      </c>
      <c r="AB204" s="7" t="inlineStr">
        <is>
          <t>^Warhead_MissileAP_Heavy</t>
        </is>
      </c>
    </row>
    <row r="205">
      <c r="A205" s="4" t="inlineStr">
        <is>
          <t>AdvancedDefense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</row>
    <row r="206">
      <c r="A206" t="inlineStr">
        <is>
          <t>tiberiandawn</t>
        </is>
      </c>
      <c r="B206" t="inlineStr">
        <is>
          <t>td_gdi_advancedguardtower</t>
        </is>
      </c>
      <c r="C206" t="inlineStr">
        <is>
          <t>Advanced Guard Tower</t>
        </is>
      </c>
      <c r="D206" s="6" t="inlineStr">
        <is>
          <t>AdvancedDefense</t>
        </is>
      </c>
      <c r="E206" s="6" t="n">
        <v>140000</v>
      </c>
      <c r="F206" s="6" t="n"/>
      <c r="G206" t="inlineStr">
        <is>
          <t>Steel</t>
        </is>
      </c>
      <c r="H206" s="6" t="n">
        <v>1</v>
      </c>
      <c r="I206" s="6" t="n">
        <v>0.325</v>
      </c>
      <c r="J206" s="6" t="n">
        <v>1</v>
      </c>
      <c r="K206" s="6" t="n"/>
      <c r="X206" s="6" t="n">
        <v>1600</v>
      </c>
    </row>
    <row r="207">
      <c r="B207" s="7" t="inlineStr">
        <is>
          <t xml:space="preserve">  ↳ TowerMissile</t>
        </is>
      </c>
      <c r="C207" s="7" t="inlineStr">
        <is>
          <t>Armament@PRIMARY</t>
        </is>
      </c>
      <c r="L207" s="6" t="n">
        <v>14000</v>
      </c>
      <c r="M207" s="6" t="n">
        <v>25</v>
      </c>
      <c r="N207" s="6" t="n">
        <v>2</v>
      </c>
      <c r="O207" s="6" t="n">
        <v>5</v>
      </c>
      <c r="P207" s="6" t="n">
        <v>8772</v>
      </c>
      <c r="Q207" s="6" t="n">
        <v>1</v>
      </c>
      <c r="R207">
        <f>M207+IF(N207&gt;1,N(O207)*(N207-1),0)</f>
        <v/>
      </c>
      <c r="S207">
        <f>IFERROR(L207*MAX(N207,1)/R207*IF(ISBLANK(K206),1,K206),0)</f>
        <v/>
      </c>
      <c r="AB207" s="7" t="inlineStr">
        <is>
          <t>^TankDestroyerCannon, ^Grenade, ^ShrapnelWeapon, ^FlakWeapon, ^HeavyAAWeapon, ^HeavyMissile, ^MediumMissile</t>
        </is>
      </c>
    </row>
    <row r="208">
      <c r="B208" s="7" t="inlineStr">
        <is>
          <t xml:space="preserve">  ↳ TowerMissileAMT</t>
        </is>
      </c>
      <c r="C208" s="7" t="inlineStr">
        <is>
          <t>Armament@AdvancedMissileTargeting</t>
        </is>
      </c>
      <c r="L208" s="6" t="n">
        <v>14000</v>
      </c>
      <c r="M208" s="6" t="n">
        <v>25</v>
      </c>
      <c r="N208" s="6" t="n">
        <v>2</v>
      </c>
      <c r="O208" s="6" t="n">
        <v>5</v>
      </c>
      <c r="P208" s="6" t="n">
        <v>8772</v>
      </c>
      <c r="Q208" s="6" t="n">
        <v>1</v>
      </c>
      <c r="R208">
        <f>M208+IF(N208&gt;1,N(O208)*(N208-1),0)</f>
        <v/>
      </c>
      <c r="S208">
        <f>IFERROR(L208*MAX(N208,1)/R208*IF(ISBLANK(K206),1,K206),0)</f>
        <v/>
      </c>
      <c r="AB208" s="7" t="inlineStr">
        <is>
          <t>TowerMissile, ^AMTProjectile</t>
        </is>
      </c>
    </row>
    <row r="209">
      <c r="A209" t="inlineStr">
        <is>
          <t>tiberiandawn</t>
        </is>
      </c>
      <c r="B209" t="inlineStr">
        <is>
          <t>td_nod_obeliskoflight</t>
        </is>
      </c>
      <c r="C209" t="inlineStr">
        <is>
          <t>Obelisk of Light</t>
        </is>
      </c>
      <c r="D209" s="6" t="inlineStr">
        <is>
          <t>AdvancedDefense</t>
        </is>
      </c>
      <c r="E209" s="6" t="n">
        <v>242500</v>
      </c>
      <c r="F209" s="6" t="n"/>
      <c r="G209" t="inlineStr">
        <is>
          <t>Steel</t>
        </is>
      </c>
      <c r="H209" s="6" t="n">
        <v>0.4177</v>
      </c>
      <c r="I209" s="6" t="n">
        <v>1</v>
      </c>
      <c r="J209" s="6" t="n">
        <v>1</v>
      </c>
      <c r="K209" s="6" t="n">
        <v>0.016</v>
      </c>
      <c r="X209" s="6" t="n">
        <v>1800</v>
      </c>
    </row>
    <row r="210">
      <c r="B210" s="7" t="inlineStr">
        <is>
          <t xml:space="preserve">  ↳ LaserObelisk</t>
        </is>
      </c>
      <c r="C210" s="7" t="inlineStr">
        <is>
          <t>Armament@Base</t>
        </is>
      </c>
      <c r="L210" s="6" t="n">
        <v>96000</v>
      </c>
      <c r="M210" s="6" t="n">
        <v>96</v>
      </c>
      <c r="N210" s="6" t="n">
        <v>1</v>
      </c>
      <c r="O210" s="6" t="n"/>
      <c r="P210" s="6" t="n">
        <v>9600</v>
      </c>
      <c r="Q210" s="6" t="n">
        <v>1.25</v>
      </c>
      <c r="R210">
        <f>M210+IF(N210&gt;1,N(O210)*(N210-1),0)</f>
        <v/>
      </c>
      <c r="S210">
        <f>IFERROR(L210*MAX(N210,1)/R210*IF(ISBLANK(K209),1,K209),0)</f>
        <v/>
      </c>
      <c r="AB210" s="7" t="inlineStr">
        <is>
          <t>^Warhead_Laser_Heavy</t>
        </is>
      </c>
    </row>
    <row r="211">
      <c r="B211" s="7" t="inlineStr">
        <is>
          <t xml:space="preserve">  ↳ LaserObelisk</t>
        </is>
      </c>
      <c r="C211" s="7" t="inlineStr">
        <is>
          <t>Armament@Elite</t>
        </is>
      </c>
      <c r="L211" s="6" t="n">
        <v>96000</v>
      </c>
      <c r="M211" s="6" t="n">
        <v>96</v>
      </c>
      <c r="N211" s="6" t="n">
        <v>1</v>
      </c>
      <c r="O211" s="6" t="n"/>
      <c r="P211" s="6" t="n">
        <v>9600</v>
      </c>
      <c r="Q211" s="6" t="n">
        <v>1.25</v>
      </c>
      <c r="R211">
        <f>M211+IF(N211&gt;1,N(O211)*(N211-1),0)</f>
        <v/>
      </c>
      <c r="S211">
        <f>IFERROR(L211*MAX(N211,1)/R211*IF(ISBLANK(K209),1,K209),0)</f>
        <v/>
      </c>
      <c r="AB211" s="7" t="inlineStr">
        <is>
          <t>^Warhead_Laser_Heavy</t>
        </is>
      </c>
    </row>
    <row r="212">
      <c r="B212" s="7" t="inlineStr">
        <is>
          <t xml:space="preserve">  ↳ LaserObeliskBurning</t>
        </is>
      </c>
      <c r="C212" s="7" t="inlineStr">
        <is>
          <t>Armament@Burning</t>
        </is>
      </c>
      <c r="L212" s="6" t="n">
        <v>120000</v>
      </c>
      <c r="M212" s="6" t="n">
        <v>96</v>
      </c>
      <c r="N212" s="6" t="n">
        <v>10</v>
      </c>
      <c r="O212" s="6" t="n">
        <v>1</v>
      </c>
      <c r="P212" s="6" t="n">
        <v>9600</v>
      </c>
      <c r="Q212" s="6" t="n">
        <v>1.25</v>
      </c>
      <c r="R212">
        <f>M212+IF(N212&gt;1,N(O212)*(N212-1),0)</f>
        <v/>
      </c>
      <c r="S212">
        <f>IFERROR(L212*MAX(N212,1)/R212*IF(ISBLANK(K209),1,K209),0)</f>
        <v/>
      </c>
      <c r="AB212" s="7" t="inlineStr">
        <is>
          <t>^Warhead_Laser_Heavy, ^Warhead_Inferno_Heavy</t>
        </is>
      </c>
    </row>
    <row r="213">
      <c r="A213" t="inlineStr">
        <is>
          <t>redalert</t>
        </is>
      </c>
      <c r="B213" t="inlineStr">
        <is>
          <t>japan_ballistatower</t>
        </is>
      </c>
      <c r="C213" t="inlineStr">
        <is>
          <t>Ballista Tower</t>
        </is>
      </c>
      <c r="D213" s="6" t="inlineStr">
        <is>
          <t>AdvancedDefense</t>
        </is>
      </c>
      <c r="E213" s="6" t="n">
        <v>190000</v>
      </c>
      <c r="F213" s="6" t="n">
        <v>100</v>
      </c>
      <c r="G213" t="inlineStr">
        <is>
          <t>Steel</t>
        </is>
      </c>
      <c r="H213" s="6" t="n">
        <v>1</v>
      </c>
      <c r="I213" s="6" t="n">
        <v>0.325</v>
      </c>
      <c r="J213" s="6" t="n">
        <v>1</v>
      </c>
      <c r="K213" s="6" t="n">
        <v>0.0075</v>
      </c>
      <c r="P213">
        <f>MAX(P214,P215,P216,P217)</f>
        <v/>
      </c>
      <c r="S213">
        <f>S214+S215+S216+S217</f>
        <v/>
      </c>
      <c r="T213">
        <f>(E213/100000+F213/100+(P213/1000)*J213/5+S213/200)*200*I213*H213</f>
        <v/>
      </c>
      <c r="U213">
        <f>((E213*F213/25000)+((P213/1000)*J213*S213/2.5))*I213*H213</f>
        <v/>
      </c>
      <c r="V213">
        <f>(E213*F213*(P213/1000)*J213*S213*I213*H213)/12500000</f>
        <v/>
      </c>
      <c r="W213">
        <f>(T213+U213+V213)/3</f>
        <v/>
      </c>
      <c r="X213" s="6" t="n">
        <v>1400</v>
      </c>
      <c r="Y213">
        <f>IFERROR(W213-X213,"")</f>
        <v/>
      </c>
      <c r="Z213">
        <f>IFERROR(ABS(Y213)/MAX(X213,1),"")</f>
        <v/>
      </c>
      <c r="AA213">
        <f>IFERROR((X213-(((E213/100000+F213/100+S213/200)*200*I213*H213)+((E213*F213/25000)*I213*H213))/3)/(((J213/5)*200*I213*H213)+((J213*S213/2.5)*I213*H213)+((E213*F213*J213*S213*I213*H213)/12500000))/3*1000,"")</f>
        <v/>
      </c>
    </row>
    <row r="214">
      <c r="B214" s="7" t="inlineStr">
        <is>
          <t xml:space="preserve">  ↳ BallistaTowerMultiShot</t>
        </is>
      </c>
      <c r="C214" s="7" t="inlineStr">
        <is>
          <t>Armament@PRIMARY</t>
        </is>
      </c>
      <c r="L214" s="6" t="n">
        <v>40000</v>
      </c>
      <c r="M214" s="6" t="n">
        <v>176</v>
      </c>
      <c r="N214" s="6" t="n">
        <v>5</v>
      </c>
      <c r="O214" s="6" t="n">
        <v>6</v>
      </c>
      <c r="P214" s="6" t="n">
        <v>9214</v>
      </c>
      <c r="Q214" s="6" t="n">
        <v>1</v>
      </c>
      <c r="R214">
        <f>M214+IF(N214&gt;1,N(O214)*(N214-1),0)</f>
        <v/>
      </c>
      <c r="S214">
        <f>IFERROR(L214*MAX(N214,1)/R214*IF(ISBLANK(K213),1,K213),0)</f>
        <v/>
      </c>
      <c r="AB214" s="7" t="inlineStr">
        <is>
          <t>BallistaMultiShot</t>
        </is>
      </c>
    </row>
    <row r="215">
      <c r="B215" s="7" t="inlineStr">
        <is>
          <t xml:space="preserve">  ↳ BallistaSingleShotAir</t>
        </is>
      </c>
      <c r="C215" s="7" t="inlineStr">
        <is>
          <t>Armament@AIR</t>
        </is>
      </c>
      <c r="L215" s="6" t="n">
        <v>160000</v>
      </c>
      <c r="M215" s="6" t="n">
        <v>200</v>
      </c>
      <c r="N215" s="6" t="n">
        <v>1</v>
      </c>
      <c r="O215" s="6" t="n"/>
      <c r="P215" s="6" t="n">
        <v>9214</v>
      </c>
      <c r="Q215" s="6" t="n">
        <v>0.75</v>
      </c>
      <c r="R215">
        <f>M215+IF(N215&gt;1,N(O215)*(N215-1),0)</f>
        <v/>
      </c>
      <c r="S215">
        <f>IFERROR(L215*MAX(N215,1)/R215*IF(ISBLANK(K213),1,K213),0)</f>
        <v/>
      </c>
      <c r="AB215" s="7" t="inlineStr">
        <is>
          <t>^Warhead_Arrow_Light</t>
        </is>
      </c>
    </row>
    <row r="216">
      <c r="B216" s="7" t="inlineStr">
        <is>
          <t xml:space="preserve">  ↳ BallistaTowerMultiShotEnergized</t>
        </is>
      </c>
      <c r="C216" s="7" t="inlineStr">
        <is>
          <t>Armament@Upgrade</t>
        </is>
      </c>
      <c r="L216" s="6" t="n">
        <v>40000</v>
      </c>
      <c r="M216" s="6" t="n">
        <v>176</v>
      </c>
      <c r="N216" s="6" t="n">
        <v>5</v>
      </c>
      <c r="O216" s="6" t="n">
        <v>6</v>
      </c>
      <c r="P216" s="6" t="n">
        <v>9214</v>
      </c>
      <c r="Q216" s="6" t="n">
        <v>1</v>
      </c>
      <c r="R216">
        <f>M216+IF(N216&gt;1,N(O216)*(N216-1),0)</f>
        <v/>
      </c>
      <c r="S216">
        <f>IFERROR(L216*MAX(N216,1)/R216*IF(ISBLANK(K213),1,K213),0)</f>
        <v/>
      </c>
      <c r="AB216" s="7" t="inlineStr">
        <is>
          <t>BallistaMultiShotEnergized</t>
        </is>
      </c>
    </row>
    <row r="217">
      <c r="B217" s="7" t="inlineStr">
        <is>
          <t xml:space="preserve">  ↳ BallistaSingleShotAirEnergized</t>
        </is>
      </c>
      <c r="C217" s="7" t="inlineStr">
        <is>
          <t>Armament@UpgradeAIR</t>
        </is>
      </c>
      <c r="L217" s="6" t="n">
        <v>160000</v>
      </c>
      <c r="M217" s="6" t="n">
        <v>200</v>
      </c>
      <c r="N217" s="6" t="n">
        <v>1</v>
      </c>
      <c r="O217" s="6" t="n"/>
      <c r="P217" s="6" t="n">
        <v>9214</v>
      </c>
      <c r="Q217" s="6" t="n">
        <v>0.75</v>
      </c>
      <c r="R217">
        <f>M217+IF(N217&gt;1,N(O217)*(N217-1),0)</f>
        <v/>
      </c>
      <c r="S217">
        <f>IFERROR(L217*MAX(N217,1)/R217*IF(ISBLANK(K213),1,K213),0)</f>
        <v/>
      </c>
      <c r="AB217" s="7" t="inlineStr">
        <is>
          <t>^Warhead_MissileAP_Light, ^Warhead_Arrow_Light</t>
        </is>
      </c>
    </row>
    <row r="218">
      <c r="A218" t="inlineStr">
        <is>
          <t>redalert</t>
        </is>
      </c>
      <c r="B218" t="inlineStr">
        <is>
          <t>japan_waveforceturret</t>
        </is>
      </c>
      <c r="C218" t="inlineStr">
        <is>
          <t>Waveforce Turret</t>
        </is>
      </c>
      <c r="D218" s="6" t="inlineStr">
        <is>
          <t>AdvancedDefense</t>
        </is>
      </c>
      <c r="E218" s="6" t="n">
        <v>220000</v>
      </c>
      <c r="F218" s="6" t="n">
        <v>100</v>
      </c>
      <c r="G218" t="inlineStr">
        <is>
          <t>Steel</t>
        </is>
      </c>
      <c r="H218" s="6" t="n">
        <v>1</v>
      </c>
      <c r="I218" s="6" t="n">
        <v>0.325</v>
      </c>
      <c r="J218" s="6" t="n">
        <v>1.25</v>
      </c>
      <c r="K218" s="6" t="n">
        <v>0.005</v>
      </c>
      <c r="X218" s="6" t="n">
        <v>3200</v>
      </c>
    </row>
    <row r="219">
      <c r="B219" s="7" t="inlineStr">
        <is>
          <t xml:space="preserve">  ↳ WaveTurretShell</t>
        </is>
      </c>
      <c r="C219" s="7" t="inlineStr">
        <is>
          <t>Armament@WaveTurretShell</t>
        </is>
      </c>
      <c r="L219" s="6" t="n"/>
      <c r="M219" s="6" t="n">
        <v>100</v>
      </c>
      <c r="N219" s="6" t="n">
        <v>1</v>
      </c>
      <c r="O219" s="6" t="n"/>
      <c r="P219" s="6" t="n">
        <v>9825</v>
      </c>
      <c r="Q219" s="6" t="n">
        <v>1</v>
      </c>
      <c r="R219">
        <f>M219+IF(N219&gt;1,N(O219)*(N219-1),0)</f>
        <v/>
      </c>
      <c r="S219">
        <f>IFERROR(L219*MAX(N219,1)/R219*IF(ISBLANK(K218),1,K218),0)</f>
        <v/>
      </c>
      <c r="AB219" s="7" t="inlineStr">
        <is>
          <t>WaveArtilleryShell</t>
        </is>
      </c>
    </row>
    <row r="220">
      <c r="A220" t="inlineStr">
        <is>
          <t>redalert</t>
        </is>
      </c>
      <c r="B220" t="inlineStr">
        <is>
          <t>ra1_soviets_teslacoil</t>
        </is>
      </c>
      <c r="C220" t="inlineStr">
        <is>
          <t>Tesla Coil</t>
        </is>
      </c>
      <c r="D220" s="6" t="inlineStr">
        <is>
          <t>AdvancedDefense</t>
        </is>
      </c>
      <c r="E220" s="6" t="n">
        <v>90000</v>
      </c>
      <c r="F220" s="6" t="n">
        <v>100</v>
      </c>
      <c r="G220" t="inlineStr">
        <is>
          <t>Steel</t>
        </is>
      </c>
      <c r="H220" s="6" t="n">
        <v>0.5593</v>
      </c>
      <c r="I220" s="6" t="n">
        <v>1</v>
      </c>
      <c r="J220" s="6" t="n">
        <v>1</v>
      </c>
      <c r="K220" s="6" t="n"/>
      <c r="P220">
        <f>MAX(P221,P222,P223)</f>
        <v/>
      </c>
      <c r="S220">
        <f>S221+S222+S223</f>
        <v/>
      </c>
      <c r="T220">
        <f>(E220/100000+F220/100+(P220/1000)*J220/5+S220/200)*200*I220*H220</f>
        <v/>
      </c>
      <c r="U220">
        <f>((E220*F220/25000)+((P220/1000)*J220*S220/2.5))*I220*H220</f>
        <v/>
      </c>
      <c r="V220">
        <f>(E220*F220*(P220/1000)*J220*S220*I220*H220)/12500000</f>
        <v/>
      </c>
      <c r="W220">
        <f>(T220+U220+V220)/3</f>
        <v/>
      </c>
      <c r="X220" s="6" t="n">
        <v>1500</v>
      </c>
      <c r="Y220">
        <f>IFERROR(W220-X220,"")</f>
        <v/>
      </c>
      <c r="Z220">
        <f>IFERROR(ABS(Y220)/MAX(X220,1),"")</f>
        <v/>
      </c>
      <c r="AA220">
        <f>IFERROR((X220-(((E220/100000+F220/100+S220/200)*200*I220*H220)+((E220*F220/25000)*I220*H220))/3)/(((J220/5)*200*I220*H220)+((J220*S220/2.5)*I220*H220)+((E220*F220*J220*S220*I220*H220)/12500000))/3*1000,"")</f>
        <v/>
      </c>
    </row>
    <row r="221">
      <c r="B221" s="7" t="inlineStr">
        <is>
          <t xml:space="preserve">  ↳ TeslaZap</t>
        </is>
      </c>
      <c r="C221" s="7" t="inlineStr">
        <is>
          <t>Armament</t>
        </is>
      </c>
      <c r="L221" s="6" t="n">
        <v>32000</v>
      </c>
      <c r="M221" s="6" t="n">
        <v>3</v>
      </c>
      <c r="N221" s="6" t="n">
        <v>1</v>
      </c>
      <c r="O221" s="6" t="n"/>
      <c r="P221" s="6" t="n">
        <v>9320</v>
      </c>
      <c r="Q221" s="6" t="n">
        <v>1.25</v>
      </c>
      <c r="R221">
        <f>M221+IF(N221&gt;1,N(O221)*(N221-1),0)</f>
        <v/>
      </c>
      <c r="S221">
        <f>IFERROR(L221*MAX(N221,1)/R221*IF(ISBLANK(K220),1,K220),0)</f>
        <v/>
      </c>
      <c r="AB221" s="7" t="inlineStr">
        <is>
          <t>^Warhead_Tesla_Heavy</t>
        </is>
      </c>
    </row>
    <row r="222">
      <c r="B222" s="7" t="inlineStr">
        <is>
          <t xml:space="preserve">  ↳ TeslaZap_EMP</t>
        </is>
      </c>
      <c r="C222" s="7" t="inlineStr">
        <is>
          <t>Armament@Upgrade1</t>
        </is>
      </c>
      <c r="L222" s="6" t="n">
        <v>32000</v>
      </c>
      <c r="M222" s="6" t="n">
        <v>3</v>
      </c>
      <c r="N222" s="6" t="n">
        <v>1</v>
      </c>
      <c r="O222" s="6" t="n"/>
      <c r="P222" s="6" t="n">
        <v>9320</v>
      </c>
      <c r="Q222" s="6" t="n">
        <v>1.25</v>
      </c>
      <c r="R222">
        <f>M222+IF(N222&gt;1,N(O222)*(N222-1),0)</f>
        <v/>
      </c>
      <c r="S222">
        <f>IFERROR(L222*MAX(N222,1)/R222*IF(ISBLANK(K220),1,K220),0)</f>
        <v/>
      </c>
      <c r="AB222" s="7" t="inlineStr">
        <is>
          <t>^Warhead_Tesla_Heavy</t>
        </is>
      </c>
    </row>
    <row r="223">
      <c r="B223" s="7" t="inlineStr">
        <is>
          <t xml:space="preserve">  ↳ TeslaZapArc_EMP</t>
        </is>
      </c>
      <c r="C223" s="7" t="inlineStr">
        <is>
          <t>Armament@Upgrade2</t>
        </is>
      </c>
      <c r="L223" s="6" t="n">
        <v>32000</v>
      </c>
      <c r="M223" s="6" t="n">
        <v>3</v>
      </c>
      <c r="N223" s="6" t="n">
        <v>1</v>
      </c>
      <c r="O223" s="6" t="n"/>
      <c r="P223" s="6" t="n">
        <v>9320</v>
      </c>
      <c r="Q223" s="6" t="n">
        <v>1.25</v>
      </c>
      <c r="R223">
        <f>M223+IF(N223&gt;1,N(O223)*(N223-1),0)</f>
        <v/>
      </c>
      <c r="S223">
        <f>IFERROR(L223*MAX(N223,1)/R223*IF(ISBLANK(K220),1,K220),0)</f>
        <v/>
      </c>
      <c r="AB223" s="7" t="inlineStr">
        <is>
          <t>^Warhead_Tesla_Heavy</t>
        </is>
      </c>
    </row>
    <row r="224">
      <c r="A224" t="inlineStr">
        <is>
          <t>redalert</t>
        </is>
      </c>
      <c r="B224" t="inlineStr">
        <is>
          <t>ra1_allies_bastionartillerybunker</t>
        </is>
      </c>
      <c r="C224" t="inlineStr">
        <is>
          <t>Bastion Artillery Bunker</t>
        </is>
      </c>
      <c r="D224" s="6" t="inlineStr">
        <is>
          <t>AdvancedDefense</t>
        </is>
      </c>
      <c r="E224" s="6" t="n">
        <v>350000</v>
      </c>
      <c r="F224" s="6" t="n">
        <v>100</v>
      </c>
      <c r="G224" t="inlineStr">
        <is>
          <t>Steel</t>
        </is>
      </c>
      <c r="H224" s="6" t="n">
        <v>1</v>
      </c>
      <c r="I224" s="6" t="n">
        <v>1</v>
      </c>
      <c r="J224" s="6" t="n">
        <v>1</v>
      </c>
      <c r="K224" s="6" t="n"/>
      <c r="P224">
        <f>MAX(P225,P226)</f>
        <v/>
      </c>
      <c r="S224">
        <f>S225+S226</f>
        <v/>
      </c>
      <c r="T224">
        <f>(E224/100000+F224/100+(P224/1000)*J224/5+S224/200)*200*I224*H224</f>
        <v/>
      </c>
      <c r="U224">
        <f>((E224*F224/25000)+((P224/1000)*J224*S224/2.5))*I224*H224</f>
        <v/>
      </c>
      <c r="V224">
        <f>(E224*F224*(P224/1000)*J224*S224*I224*H224)/12500000</f>
        <v/>
      </c>
      <c r="W224">
        <f>(T224+U224+V224)/3</f>
        <v/>
      </c>
      <c r="X224" s="6" t="n">
        <v>2000</v>
      </c>
      <c r="Y224">
        <f>IFERROR(W224-X224,"")</f>
        <v/>
      </c>
      <c r="Z224">
        <f>IFERROR(ABS(Y224)/MAX(X224,1),"")</f>
        <v/>
      </c>
      <c r="AA224">
        <f>IFERROR((X224-(((E224/100000+F224/100+S224/200)*200*I224*H224)+((E224*F224/25000)*I224*H224))/3)/(((J224/5)*200*I224*H224)+((J224*S224/2.5)*I224*H224)+((E224*F224*J224*S224*I224*H224)/12500000))/3*1000,"")</f>
        <v/>
      </c>
    </row>
    <row r="225">
      <c r="B225" s="7" t="inlineStr">
        <is>
          <t xml:space="preserve">  ↳ 155mmBastion</t>
        </is>
      </c>
      <c r="C225" s="7" t="inlineStr">
        <is>
          <t>Armament</t>
        </is>
      </c>
      <c r="L225" s="6" t="n">
        <v>30000</v>
      </c>
      <c r="M225" s="6" t="n">
        <v>80</v>
      </c>
      <c r="N225" s="6" t="n">
        <v>1</v>
      </c>
      <c r="O225" s="6" t="n"/>
      <c r="P225" s="6" t="n">
        <v>10185</v>
      </c>
      <c r="Q225" s="6" t="n">
        <v>1</v>
      </c>
      <c r="R225">
        <f>M225+IF(N225&gt;1,N(O225)*(N225-1),0)</f>
        <v/>
      </c>
      <c r="S225">
        <f>IFERROR(L225*MAX(N225,1)/R225*IF(ISBLANK(K224),1,K224),0)</f>
        <v/>
      </c>
      <c r="AB225" s="7" t="inlineStr">
        <is>
          <t>155mm</t>
        </is>
      </c>
    </row>
    <row r="226">
      <c r="B226" s="7" t="inlineStr">
        <is>
          <t xml:space="preserve">  ↳ 155mmBastionCryo</t>
        </is>
      </c>
      <c r="C226" s="7" t="inlineStr">
        <is>
          <t>Armament@Upgrade</t>
        </is>
      </c>
      <c r="L226" s="6" t="n">
        <v>30000</v>
      </c>
      <c r="M226" s="6" t="n">
        <v>80</v>
      </c>
      <c r="N226" s="6" t="n">
        <v>1</v>
      </c>
      <c r="O226" s="6" t="n"/>
      <c r="P226" s="6" t="n">
        <v>10185</v>
      </c>
      <c r="Q226" s="6" t="n">
        <v>1</v>
      </c>
      <c r="R226">
        <f>M226+IF(N226&gt;1,N(O226)*(N226-1),0)</f>
        <v/>
      </c>
      <c r="S226">
        <f>IFERROR(L226*MAX(N226,1)/R226*IF(ISBLANK(K224),1,K224),0)</f>
        <v/>
      </c>
      <c r="AB226" s="7" t="inlineStr">
        <is>
          <t>155mmCryo</t>
        </is>
      </c>
    </row>
    <row r="227">
      <c r="A227" t="inlineStr">
        <is>
          <t>redalert</t>
        </is>
      </c>
      <c r="B227" t="inlineStr">
        <is>
          <t>ra1_allies_gapgenerator</t>
        </is>
      </c>
      <c r="C227" t="inlineStr">
        <is>
          <t>Gap Generator</t>
        </is>
      </c>
      <c r="D227" s="6" t="inlineStr">
        <is>
          <t>AdvancedDefense</t>
        </is>
      </c>
      <c r="E227" s="6" t="n">
        <v>50000</v>
      </c>
      <c r="F227" s="6" t="n">
        <v>100</v>
      </c>
      <c r="G227" t="inlineStr">
        <is>
          <t>Steel</t>
        </is>
      </c>
      <c r="H227" s="6" t="n">
        <v>0.5593</v>
      </c>
      <c r="I227" s="6" t="n">
        <v>1</v>
      </c>
      <c r="J227" s="6" t="n">
        <v>1</v>
      </c>
      <c r="K227" s="6" t="n"/>
      <c r="X227" s="6" t="n">
        <v>5000</v>
      </c>
    </row>
    <row r="228">
      <c r="A228" t="inlineStr">
        <is>
          <t>tiberiansun</t>
        </is>
      </c>
      <c r="B228" t="inlineStr">
        <is>
          <t>cabal_heavycabalobelisk</t>
        </is>
      </c>
      <c r="C228" t="inlineStr">
        <is>
          <t>Fortified Obelisk</t>
        </is>
      </c>
      <c r="D228" s="6" t="inlineStr">
        <is>
          <t>AdvancedDefense</t>
        </is>
      </c>
      <c r="E228" s="6" t="n">
        <v>300000</v>
      </c>
      <c r="F228" s="6" t="n">
        <v>100</v>
      </c>
      <c r="G228" t="inlineStr">
        <is>
          <t>Steel</t>
        </is>
      </c>
      <c r="H228" s="6" t="n">
        <v>0.8639</v>
      </c>
      <c r="I228" s="6" t="n">
        <v>1</v>
      </c>
      <c r="J228" s="6" t="n">
        <v>1</v>
      </c>
      <c r="K228" s="6" t="n"/>
      <c r="P228">
        <f>MAX(P229)</f>
        <v/>
      </c>
      <c r="S228">
        <f>S229</f>
        <v/>
      </c>
      <c r="T228">
        <f>(E228/100000+F228/100+(P228/1000)*J228/5+S228/200)*200*I228*H228</f>
        <v/>
      </c>
      <c r="U228">
        <f>((E228*F228/25000)+((P228/1000)*J228*S228/2.5))*I228*H228</f>
        <v/>
      </c>
      <c r="V228">
        <f>(E228*F228*(P228/1000)*J228*S228*I228*H228)/12500000</f>
        <v/>
      </c>
      <c r="W228">
        <f>(T228+U228+V228)/3</f>
        <v/>
      </c>
      <c r="X228" s="6" t="n">
        <v>2400</v>
      </c>
      <c r="Y228">
        <f>IFERROR(W228-X228,"")</f>
        <v/>
      </c>
      <c r="Z228">
        <f>IFERROR(ABS(Y228)/MAX(X228,1),"")</f>
        <v/>
      </c>
      <c r="AA228">
        <f>IFERROR((X228-(((E228/100000+F228/100+S228/200)*200*I228*H228)+((E228*F228/25000)*I228*H228))/3)/(((J228/5)*200*I228*H228)+((J228*S228/2.5)*I228*H228)+((E228*F228*J228*S228*I228*H228)/12500000))/3*1000,"")</f>
        <v/>
      </c>
    </row>
    <row r="229">
      <c r="B229" s="7" t="inlineStr">
        <is>
          <t xml:space="preserve">  ↳ TSCABALObeliskLaserFire</t>
        </is>
      </c>
      <c r="C229" s="7" t="inlineStr">
        <is>
          <t>Armament@PRIMARY</t>
        </is>
      </c>
      <c r="L229" s="6" t="n">
        <v>280000</v>
      </c>
      <c r="M229" s="6" t="n">
        <v>90</v>
      </c>
      <c r="N229" s="6" t="n">
        <v>1</v>
      </c>
      <c r="O229" s="6" t="n"/>
      <c r="P229" s="6" t="n">
        <v>12288</v>
      </c>
      <c r="Q229" s="6" t="n">
        <v>1</v>
      </c>
      <c r="R229">
        <f>M229+IF(N229&gt;1,N(O229)*(N229-1),0)</f>
        <v/>
      </c>
      <c r="S229">
        <f>IFERROR(L229*MAX(N229,1)/R229*IF(ISBLANK(K228),1,K228),0)</f>
        <v/>
      </c>
      <c r="AB229" s="7" t="inlineStr">
        <is>
          <t>^TankDestroyerCannon, ^LaserWeapon, ^MediumFlameWeapon, ^MediumChemicalWeapon, ^TSLaserEffect</t>
        </is>
      </c>
    </row>
    <row r="230">
      <c r="A230" t="inlineStr">
        <is>
          <t>tiberiansun</t>
        </is>
      </c>
      <c r="B230" t="inlineStr">
        <is>
          <t>ts_nod_obeliskoflight</t>
        </is>
      </c>
      <c r="C230" t="inlineStr">
        <is>
          <t>Obelisk of Light</t>
        </is>
      </c>
      <c r="D230" s="6" t="inlineStr">
        <is>
          <t>AdvancedDefense</t>
        </is>
      </c>
      <c r="E230" s="6" t="n">
        <v>250000</v>
      </c>
      <c r="F230" s="6" t="n">
        <v>100</v>
      </c>
      <c r="G230" t="inlineStr">
        <is>
          <t>Steel</t>
        </is>
      </c>
      <c r="H230" s="6" t="n">
        <v>0.7604</v>
      </c>
      <c r="I230" s="6" t="n">
        <v>1</v>
      </c>
      <c r="J230" s="6" t="n">
        <v>1</v>
      </c>
      <c r="K230" s="6" t="n"/>
      <c r="P230">
        <f>MAX(P231,P232)</f>
        <v/>
      </c>
      <c r="S230">
        <f>S231+S232</f>
        <v/>
      </c>
      <c r="T230">
        <f>(E230/100000+F230/100+(P230/1000)*J230/5+S230/200)*200*I230*H230</f>
        <v/>
      </c>
      <c r="U230">
        <f>((E230*F230/25000)+((P230/1000)*J230*S230/2.5))*I230*H230</f>
        <v/>
      </c>
      <c r="V230">
        <f>(E230*F230*(P230/1000)*J230*S230*I230*H230)/12500000</f>
        <v/>
      </c>
      <c r="W230">
        <f>(T230+U230+V230)/3</f>
        <v/>
      </c>
      <c r="X230" s="6" t="n">
        <v>2200</v>
      </c>
      <c r="Y230">
        <f>IFERROR(W230-X230,"")</f>
        <v/>
      </c>
      <c r="Z230">
        <f>IFERROR(ABS(Y230)/MAX(X230,1),"")</f>
        <v/>
      </c>
      <c r="AA230">
        <f>IFERROR((X230-(((E230/100000+F230/100+S230/200)*200*I230*H230)+((E230*F230/25000)*I230*H230))/3)/(((J230/5)*200*I230*H230)+((J230*S230/2.5)*I230*H230)+((E230*F230*J230*S230*I230*H230)/12500000))/3*1000,"")</f>
        <v/>
      </c>
    </row>
    <row r="231">
      <c r="B231" s="7" t="inlineStr">
        <is>
          <t xml:space="preserve">  ↳ TSObeliskLaserFire</t>
        </is>
      </c>
      <c r="C231" s="7" t="inlineStr">
        <is>
          <t>Armament@PRIMARY</t>
        </is>
      </c>
      <c r="L231" s="6" t="n">
        <v>104000</v>
      </c>
      <c r="M231" s="6" t="n">
        <v>60</v>
      </c>
      <c r="N231" s="6" t="n">
        <v>1</v>
      </c>
      <c r="O231" s="6" t="n"/>
      <c r="P231" s="6" t="n">
        <v>10199</v>
      </c>
      <c r="Q231" s="6" t="n">
        <v>1</v>
      </c>
      <c r="R231">
        <f>M231+IF(N231&gt;1,N(O231)*(N231-1),0)</f>
        <v/>
      </c>
      <c r="S231">
        <f>IFERROR(L231*MAX(N231,1)/R231*IF(ISBLANK(K230),1,K230),0)</f>
        <v/>
      </c>
      <c r="AB231" s="7" t="inlineStr">
        <is>
          <t>^Warhead_CannonAP_Light, ^Warhead_Laser_Heavy</t>
        </is>
      </c>
    </row>
    <row r="232">
      <c r="B232" s="7" t="inlineStr">
        <is>
          <t xml:space="preserve">  ↳ TSLaserObeliskLaserFire</t>
        </is>
      </c>
      <c r="C232" s="7" t="inlineStr">
        <is>
          <t>Armament@UPGRADE</t>
        </is>
      </c>
      <c r="L232" s="6" t="n">
        <v>160000</v>
      </c>
      <c r="M232" s="6" t="n">
        <v>32</v>
      </c>
      <c r="N232" s="6" t="n">
        <v>1</v>
      </c>
      <c r="O232" s="6" t="n"/>
      <c r="P232" s="6" t="n">
        <v>10435</v>
      </c>
      <c r="Q232" s="6" t="n">
        <v>1</v>
      </c>
      <c r="R232">
        <f>M232+IF(N232&gt;1,N(O232)*(N232-1),0)</f>
        <v/>
      </c>
      <c r="S232">
        <f>IFERROR(L232*MAX(N232,1)/R232*IF(ISBLANK(K230),1,K230),0)</f>
        <v/>
      </c>
      <c r="AB232" s="7" t="inlineStr">
        <is>
          <t>^Warhead_CannonAP_Light, ^Warhead_Laser_Heavy</t>
        </is>
      </c>
    </row>
    <row r="233">
      <c r="A233" t="inlineStr">
        <is>
          <t>tiberiansun</t>
        </is>
      </c>
      <c r="B233" t="inlineStr">
        <is>
          <t>ts_gdi_empulsecannon</t>
        </is>
      </c>
      <c r="C233" t="inlineStr">
        <is>
          <t>E.M. Pulse Cannon</t>
        </is>
      </c>
      <c r="D233" s="6" t="inlineStr">
        <is>
          <t>AdvancedDefense</t>
        </is>
      </c>
      <c r="E233" s="6" t="n">
        <v>250000</v>
      </c>
      <c r="F233" s="6" t="n">
        <v>100</v>
      </c>
      <c r="G233" t="inlineStr">
        <is>
          <t>Concrete</t>
        </is>
      </c>
      <c r="H233" s="6" t="n">
        <v>0.7674</v>
      </c>
      <c r="I233" s="6" t="n">
        <v>1</v>
      </c>
      <c r="J233" s="6" t="n">
        <v>1</v>
      </c>
      <c r="K233" s="6" t="n"/>
      <c r="P233">
        <f>MAX(P234)</f>
        <v/>
      </c>
      <c r="S233">
        <f>S234</f>
        <v/>
      </c>
      <c r="T233">
        <f>(E233/100000+F233/100+(P233/1000)*J233/5+S233/200)*200*I233*H233</f>
        <v/>
      </c>
      <c r="U233">
        <f>((E233*F233/25000)+((P233/1000)*J233*S233/2.5))*I233*H233</f>
        <v/>
      </c>
      <c r="V233">
        <f>(E233*F233*(P233/1000)*J233*S233*I233*H233)/12500000</f>
        <v/>
      </c>
      <c r="W233">
        <f>(T233+U233+V233)/3</f>
        <v/>
      </c>
      <c r="X233" s="6" t="n">
        <v>2000</v>
      </c>
      <c r="Y233">
        <f>IFERROR(W233-X233,"")</f>
        <v/>
      </c>
      <c r="Z233">
        <f>IFERROR(ABS(Y233)/MAX(X233,1),"")</f>
        <v/>
      </c>
      <c r="AA233">
        <f>IFERROR((X233-(((E233/100000+F233/100+S233/200)*200*I233*H233)+((E233*F233/25000)*I233*H233))/3)/(((J233/5)*200*I233*H233)+((J233*S233/2.5)*I233*H233)+((E233*F233*J233*S233*I233*H233)/12500000))/3*1000,"")</f>
        <v/>
      </c>
    </row>
    <row r="234">
      <c r="B234" s="7" t="inlineStr">
        <is>
          <t xml:space="preserve">  ↳ TSPulseCannon_EMP</t>
        </is>
      </c>
      <c r="C234" s="7" t="inlineStr">
        <is>
          <t>Armament@PRIMARY</t>
        </is>
      </c>
      <c r="L234" s="6" t="n">
        <v>20000</v>
      </c>
      <c r="M234" s="6" t="n">
        <v>100</v>
      </c>
      <c r="N234" s="6" t="n">
        <v>1</v>
      </c>
      <c r="O234" s="6" t="n"/>
      <c r="P234" s="6" t="n"/>
      <c r="Q234" s="6" t="n">
        <v>1</v>
      </c>
      <c r="R234">
        <f>M234+IF(N234&gt;1,N(O234)*(N234-1),0)</f>
        <v/>
      </c>
      <c r="S234">
        <f>IFERROR(L234*MAX(N234,1)/R234*IF(ISBLANK(K233),1,K233),0)</f>
        <v/>
      </c>
      <c r="AB234" s="7" t="inlineStr"/>
    </row>
    <row r="235">
      <c r="A235" t="inlineStr">
        <is>
          <t>tiberiansun</t>
        </is>
      </c>
      <c r="B235" t="inlineStr">
        <is>
          <t>ts_gdi_rpgtower</t>
        </is>
      </c>
      <c r="C235" t="inlineStr">
        <is>
          <t>RPG Tower</t>
        </is>
      </c>
      <c r="D235" s="6" t="inlineStr">
        <is>
          <t>AdvancedDefense</t>
        </is>
      </c>
      <c r="E235" s="6" t="n">
        <v>150000</v>
      </c>
      <c r="F235" s="6" t="n">
        <v>100</v>
      </c>
      <c r="G235" t="inlineStr">
        <is>
          <t>Steel</t>
        </is>
      </c>
      <c r="H235" s="6" t="n">
        <v>0.7674</v>
      </c>
      <c r="I235" s="6" t="n">
        <v>1</v>
      </c>
      <c r="J235" s="6" t="n">
        <v>1</v>
      </c>
      <c r="K235" s="6" t="n"/>
      <c r="P235">
        <f>MAX(P236,P237)</f>
        <v/>
      </c>
      <c r="S235">
        <f>S236+S237</f>
        <v/>
      </c>
      <c r="T235">
        <f>(E235/100000+F235/100+(P235/1000)*J235/5+S235/200)*200*I235*H235</f>
        <v/>
      </c>
      <c r="U235">
        <f>((E235*F235/25000)+((P235/1000)*J235*S235/2.5))*I235*H235</f>
        <v/>
      </c>
      <c r="V235">
        <f>(E235*F235*(P235/1000)*J235*S235*I235*H235)/12500000</f>
        <v/>
      </c>
      <c r="W235">
        <f>(T235+U235+V235)/3</f>
        <v/>
      </c>
      <c r="X235" s="6" t="n">
        <v>1400</v>
      </c>
      <c r="Y235">
        <f>IFERROR(W235-X235,"")</f>
        <v/>
      </c>
      <c r="Z235">
        <f>IFERROR(ABS(Y235)/MAX(X235,1),"")</f>
        <v/>
      </c>
      <c r="AA235">
        <f>IFERROR((X235-(((E235/100000+F235/100+S235/200)*200*I235*H235)+((E235*F235/25000)*I235*H235))/3)/(((J235/5)*200*I235*H235)+((J235*S235/2.5)*I235*H235)+((E235*F235*J235*S235*I235*H235)/12500000))/3*1000,"")</f>
        <v/>
      </c>
    </row>
    <row r="236">
      <c r="B236" s="7" t="inlineStr">
        <is>
          <t xml:space="preserve">  ↳ TSRPGTower</t>
        </is>
      </c>
      <c r="C236" s="7" t="inlineStr">
        <is>
          <t>Armament@PRIMARY</t>
        </is>
      </c>
      <c r="L236" s="6" t="n">
        <v>32000</v>
      </c>
      <c r="M236" s="6" t="n">
        <v>46</v>
      </c>
      <c r="N236" s="6" t="n">
        <v>1</v>
      </c>
      <c r="O236" s="6" t="n"/>
      <c r="P236" s="6" t="n">
        <v>8544</v>
      </c>
      <c r="Q236" s="6" t="n">
        <v>1.125</v>
      </c>
      <c r="R236">
        <f>M236+IF(N236&gt;1,N(O236)*(N236-1),0)</f>
        <v/>
      </c>
      <c r="S236">
        <f>IFERROR(L236*MAX(N236,1)/R236*IF(ISBLANK(K235),1,K235),0)</f>
        <v/>
      </c>
      <c r="AB236" s="7" t="inlineStr">
        <is>
          <t>^Warhead_Concussion_Medium, ^Warhead_CannonHE_Heavy</t>
        </is>
      </c>
    </row>
    <row r="237">
      <c r="B237" s="7" t="inlineStr">
        <is>
          <t xml:space="preserve">  ↳ TSRPGTowerRail</t>
        </is>
      </c>
      <c r="C237" s="7" t="inlineStr">
        <is>
          <t>Armament@Upgrade</t>
        </is>
      </c>
      <c r="L237" s="6" t="n">
        <v>48000</v>
      </c>
      <c r="M237" s="6" t="n">
        <v>46</v>
      </c>
      <c r="N237" s="6" t="n">
        <v>1</v>
      </c>
      <c r="O237" s="6" t="n"/>
      <c r="P237" s="6" t="n">
        <v>8544</v>
      </c>
      <c r="Q237" s="6" t="n">
        <v>1.25</v>
      </c>
      <c r="R237">
        <f>M237+IF(N237&gt;1,N(O237)*(N237-1),0)</f>
        <v/>
      </c>
      <c r="S237">
        <f>IFERROR(L237*MAX(N237,1)/R237*IF(ISBLANK(K235),1,K235),0)</f>
        <v/>
      </c>
      <c r="AB237" s="7" t="inlineStr">
        <is>
          <t>^Warhead_CannonHE_Heavy</t>
        </is>
      </c>
    </row>
    <row r="238">
      <c r="A238" t="inlineStr">
        <is>
          <t>tiberiansun</t>
        </is>
      </c>
      <c r="B238" t="inlineStr">
        <is>
          <t>forgotten_brokenscoopertankturret</t>
        </is>
      </c>
      <c r="C238" t="inlineStr">
        <is>
          <t>actor_forgotten_brokenscoopertankturret.name</t>
        </is>
      </c>
      <c r="D238" s="6" t="inlineStr">
        <is>
          <t>AdvancedDefense</t>
        </is>
      </c>
      <c r="E238" s="6" t="n">
        <v>200000</v>
      </c>
      <c r="F238" s="6" t="n">
        <v>100</v>
      </c>
      <c r="G238" t="inlineStr">
        <is>
          <t>Steel</t>
        </is>
      </c>
      <c r="H238" s="6" t="n">
        <v>0.8824</v>
      </c>
      <c r="I238" s="6" t="n">
        <v>1</v>
      </c>
      <c r="J238" s="6" t="n">
        <v>1</v>
      </c>
      <c r="K238" s="6" t="n"/>
      <c r="P238">
        <f>MAX(P239,P240)</f>
        <v/>
      </c>
      <c r="S238">
        <f>S239+S240</f>
        <v/>
      </c>
      <c r="T238">
        <f>(E238/100000+F238/100+(P238/1000)*J238/5+S238/200)*200*I238*H238</f>
        <v/>
      </c>
      <c r="U238">
        <f>((E238*F238/25000)+((P238/1000)*J238*S238/2.5))*I238*H238</f>
        <v/>
      </c>
      <c r="V238">
        <f>(E238*F238*(P238/1000)*J238*S238*I238*H238)/12500000</f>
        <v/>
      </c>
      <c r="W238">
        <f>(T238+U238+V238)/3</f>
        <v/>
      </c>
      <c r="X238" s="6" t="n">
        <v>1750</v>
      </c>
      <c r="Y238">
        <f>IFERROR(W238-X238,"")</f>
        <v/>
      </c>
      <c r="Z238">
        <f>IFERROR(ABS(Y238)/MAX(X238,1),"")</f>
        <v/>
      </c>
      <c r="AA238">
        <f>IFERROR((X238-(((E238/100000+F238/100+S238/200)*200*I238*H238)+((E238*F238/25000)*I238*H238))/3)/(((J238/5)*200*I238*H238)+((J238*S238/2.5)*I238*H238)+((E238*F238*J238*S238*I238*H238)/12500000))/3*1000,"")</f>
        <v/>
      </c>
    </row>
    <row r="239">
      <c r="B239" s="7" t="inlineStr">
        <is>
          <t xml:space="preserve">  ↳ TSScoopDualTur</t>
        </is>
      </c>
      <c r="C239" s="7" t="inlineStr">
        <is>
          <t>Armament@PRIMARY</t>
        </is>
      </c>
      <c r="L239" s="6" t="n">
        <v>32000</v>
      </c>
      <c r="M239" s="6" t="n">
        <v>48</v>
      </c>
      <c r="N239" s="6" t="n">
        <v>2</v>
      </c>
      <c r="O239" s="6" t="n">
        <v>2</v>
      </c>
      <c r="P239" s="6" t="n">
        <v>6404</v>
      </c>
      <c r="Q239" s="6" t="n">
        <v>1.125</v>
      </c>
      <c r="R239">
        <f>M239+IF(N239&gt;1,N(O239)*(N239-1),0)</f>
        <v/>
      </c>
      <c r="S239">
        <f>IFERROR(L239*MAX(N239,1)/R239*IF(ISBLANK(K238),1,K238),0)</f>
        <v/>
      </c>
      <c r="AB239" s="7" t="inlineStr">
        <is>
          <t>^Warhead_CannonHE_Heavy, ^Warhead_Concussion_Medium</t>
        </is>
      </c>
    </row>
    <row r="240">
      <c r="B240" s="7" t="inlineStr">
        <is>
          <t xml:space="preserve">  ↳ TSScoopDualTurChem</t>
        </is>
      </c>
      <c r="C240" s="7" t="inlineStr">
        <is>
          <t>Armament@UPGRADE</t>
        </is>
      </c>
      <c r="L240" s="6" t="n">
        <v>48000</v>
      </c>
      <c r="M240" s="6" t="n">
        <v>48</v>
      </c>
      <c r="N240" s="6" t="n">
        <v>2</v>
      </c>
      <c r="O240" s="6" t="n">
        <v>2</v>
      </c>
      <c r="P240" s="6" t="n">
        <v>6404</v>
      </c>
      <c r="Q240" s="6" t="n">
        <v>1.25</v>
      </c>
      <c r="R240">
        <f>M240+IF(N240&gt;1,N(O240)*(N240-1),0)</f>
        <v/>
      </c>
      <c r="S240">
        <f>IFERROR(L240*MAX(N240,1)/R240*IF(ISBLANK(K238),1,K238),0)</f>
        <v/>
      </c>
      <c r="AB240" s="7" t="inlineStr">
        <is>
          <t>^Warhead_CannonHE_Heavy</t>
        </is>
      </c>
    </row>
    <row r="241">
      <c r="A241" t="inlineStr">
        <is>
          <t>tiberiansun</t>
        </is>
      </c>
      <c r="B241" t="inlineStr">
        <is>
          <t>forgotten_brokenwarriortankturret</t>
        </is>
      </c>
      <c r="C241" t="inlineStr">
        <is>
          <t>actor_forgotten_brokenwarriortankturret.name</t>
        </is>
      </c>
      <c r="D241" s="6" t="inlineStr">
        <is>
          <t>AdvancedDefense</t>
        </is>
      </c>
      <c r="E241" s="6" t="n">
        <v>125000</v>
      </c>
      <c r="F241" s="6" t="n">
        <v>100</v>
      </c>
      <c r="G241" t="inlineStr">
        <is>
          <t>Steel</t>
        </is>
      </c>
      <c r="H241" s="6" t="n">
        <v>0.8824</v>
      </c>
      <c r="I241" s="6" t="n">
        <v>1</v>
      </c>
      <c r="J241" s="6" t="n">
        <v>1</v>
      </c>
      <c r="K241" s="6" t="n"/>
      <c r="P241">
        <f>MAX(P242)</f>
        <v/>
      </c>
      <c r="S241">
        <f>S242</f>
        <v/>
      </c>
      <c r="T241">
        <f>(E241/100000+F241/100+(P241/1000)*J241/5+S241/200)*200*I241*H241</f>
        <v/>
      </c>
      <c r="U241">
        <f>((E241*F241/25000)+((P241/1000)*J241*S241/2.5))*I241*H241</f>
        <v/>
      </c>
      <c r="V241">
        <f>(E241*F241*(P241/1000)*J241*S241*I241*H241)/12500000</f>
        <v/>
      </c>
      <c r="W241">
        <f>(T241+U241+V241)/3</f>
        <v/>
      </c>
      <c r="X241" s="6" t="n">
        <v>1500</v>
      </c>
      <c r="Y241">
        <f>IFERROR(W241-X241,"")</f>
        <v/>
      </c>
      <c r="Z241">
        <f>IFERROR(ABS(Y241)/MAX(X241,1),"")</f>
        <v/>
      </c>
      <c r="AA241">
        <f>IFERROR((X241-(((E241/100000+F241/100+S241/200)*200*I241*H241)+((E241*F241/25000)*I241*H241))/3)/(((J241/5)*200*I241*H241)+((J241*S241/2.5)*I241*H241)+((E241*F241*J241*S241*I241*H241)/12500000))/3*1000,"")</f>
        <v/>
      </c>
    </row>
    <row r="242">
      <c r="B242" s="7" t="inlineStr">
        <is>
          <t xml:space="preserve">  ↳ TSHighVelocityTur</t>
        </is>
      </c>
      <c r="C242" s="7" t="inlineStr">
        <is>
          <t>Armament@PRIMARY</t>
        </is>
      </c>
      <c r="L242" s="6" t="n">
        <v>48000</v>
      </c>
      <c r="M242" s="6" t="n">
        <v>30</v>
      </c>
      <c r="N242" s="6" t="n">
        <v>1</v>
      </c>
      <c r="O242" s="6" t="n"/>
      <c r="P242" s="6" t="n">
        <v>9483</v>
      </c>
      <c r="Q242" s="6" t="n">
        <v>0.75</v>
      </c>
      <c r="R242">
        <f>M242+IF(N242&gt;1,N(O242)*(N242-1),0)</f>
        <v/>
      </c>
      <c r="S242">
        <f>IFERROR(L242*MAX(N242,1)/R242*IF(ISBLANK(K241),1,K241),0)</f>
        <v/>
      </c>
      <c r="AB242" s="7" t="inlineStr">
        <is>
          <t>^Warhead_CannonAP_Light</t>
        </is>
      </c>
    </row>
    <row r="243">
      <c r="A243" t="inlineStr">
        <is>
          <t>redalert2</t>
        </is>
      </c>
      <c r="B243" t="inlineStr">
        <is>
          <t>ra2_allies_gapgenerator</t>
        </is>
      </c>
      <c r="C243" t="inlineStr">
        <is>
          <t>Gap Generator</t>
        </is>
      </c>
      <c r="D243" s="6" t="inlineStr">
        <is>
          <t>AdvancedDefense</t>
        </is>
      </c>
      <c r="E243" s="6" t="n">
        <v>50000</v>
      </c>
      <c r="F243" s="6" t="n">
        <v>100</v>
      </c>
      <c r="G243" t="inlineStr">
        <is>
          <t>Steel</t>
        </is>
      </c>
      <c r="H243" s="6" t="n">
        <v>0.5669999999999999</v>
      </c>
      <c r="I243" s="6" t="n">
        <v>1</v>
      </c>
      <c r="J243" s="6" t="n">
        <v>1</v>
      </c>
      <c r="K243" s="6" t="n"/>
      <c r="X243" s="6" t="n">
        <v>5000</v>
      </c>
    </row>
    <row r="244">
      <c r="A244" t="inlineStr">
        <is>
          <t>redalert2</t>
        </is>
      </c>
      <c r="B244" t="inlineStr">
        <is>
          <t>ra2_allies_grandcannon</t>
        </is>
      </c>
      <c r="C244" t="inlineStr">
        <is>
          <t>Grand Cannon</t>
        </is>
      </c>
      <c r="D244" s="6" t="inlineStr">
        <is>
          <t>AdvancedDefense</t>
        </is>
      </c>
      <c r="E244" s="6" t="n">
        <v>250000</v>
      </c>
      <c r="F244" s="6" t="n">
        <v>100</v>
      </c>
      <c r="G244" t="inlineStr">
        <is>
          <t>Steel</t>
        </is>
      </c>
      <c r="H244" s="6" t="n">
        <v>1</v>
      </c>
      <c r="I244" s="6" t="n">
        <v>0.325</v>
      </c>
      <c r="J244" s="6" t="n">
        <v>1</v>
      </c>
      <c r="K244" s="6" t="n"/>
      <c r="P244">
        <f>MAX(P245)</f>
        <v/>
      </c>
      <c r="S244">
        <f>S245</f>
        <v/>
      </c>
      <c r="T244">
        <f>(E244/100000+F244/100+(P244/1000)*J244/5+S244/200)*200*I244*H244</f>
        <v/>
      </c>
      <c r="U244">
        <f>((E244*F244/25000)+((P244/1000)*J244*S244/2.5))*I244*H244</f>
        <v/>
      </c>
      <c r="V244">
        <f>(E244*F244*(P244/1000)*J244*S244*I244*H244)/12500000</f>
        <v/>
      </c>
      <c r="W244">
        <f>(T244+U244+V244)/3</f>
        <v/>
      </c>
      <c r="X244" s="6" t="n">
        <v>5000</v>
      </c>
      <c r="Y244">
        <f>IFERROR(W244-X244,"")</f>
        <v/>
      </c>
      <c r="Z244">
        <f>IFERROR(ABS(Y244)/MAX(X244,1),"")</f>
        <v/>
      </c>
      <c r="AA244">
        <f>IFERROR((X244-(((E244/100000+F244/100+S244/200)*200*I244*H244)+((E244*F244/25000)*I244*H244))/3)/(((J244/5)*200*I244*H244)+((J244*S244/2.5)*I244*H244)+((E244*F244*J244*S244*I244*H244)/12500000))/3*1000,"")</f>
        <v/>
      </c>
    </row>
    <row r="245">
      <c r="B245" s="7" t="inlineStr">
        <is>
          <t xml:space="preserve">  ↳ RA2GrandCannonWeapon</t>
        </is>
      </c>
      <c r="C245" s="7" t="inlineStr">
        <is>
          <t>Armament</t>
        </is>
      </c>
      <c r="L245" s="6" t="n">
        <v>300000</v>
      </c>
      <c r="M245" s="6" t="n">
        <v>200</v>
      </c>
      <c r="N245" s="6" t="n">
        <v>1</v>
      </c>
      <c r="O245" s="6" t="n"/>
      <c r="P245" s="6" t="n">
        <v>11800</v>
      </c>
      <c r="Q245" s="6" t="n">
        <v>1</v>
      </c>
      <c r="R245">
        <f>M245+IF(N245&gt;1,N(O245)*(N245-1),0)</f>
        <v/>
      </c>
      <c r="S245">
        <f>IFERROR(L245*MAX(N245,1)/R245*IF(ISBLANK(K244),1,K244),0)</f>
        <v/>
      </c>
      <c r="AB245" s="7" t="inlineStr">
        <is>
          <t>^Warhead_CannonHE_Heavy, ^Warhead_Demolition_Light</t>
        </is>
      </c>
    </row>
    <row r="246">
      <c r="A246" t="inlineStr">
        <is>
          <t>redalert2</t>
        </is>
      </c>
      <c r="B246" t="inlineStr">
        <is>
          <t>ra2_allies_prismtower</t>
        </is>
      </c>
      <c r="C246" t="inlineStr">
        <is>
          <t>Prism Tower</t>
        </is>
      </c>
      <c r="D246" s="6" t="inlineStr">
        <is>
          <t>AdvancedDefense</t>
        </is>
      </c>
      <c r="E246" s="6" t="n">
        <v>135000</v>
      </c>
      <c r="F246" s="6" t="n">
        <v>100</v>
      </c>
      <c r="G246" t="inlineStr">
        <is>
          <t>Steel</t>
        </is>
      </c>
      <c r="H246" s="6" t="n">
        <v>1</v>
      </c>
      <c r="I246" s="6" t="n">
        <v>0.325</v>
      </c>
      <c r="J246" s="6" t="n">
        <v>1.25</v>
      </c>
      <c r="K246" s="6" t="n"/>
      <c r="P246">
        <f>MAX(P248)</f>
        <v/>
      </c>
      <c r="S246">
        <f>S248</f>
        <v/>
      </c>
      <c r="T246">
        <f>(E246/100000+F246/100+(P246/1000)*J246/5+S246/200)*200*I246*H246</f>
        <v/>
      </c>
      <c r="U246">
        <f>((E246*F246/25000)+((P246/1000)*J246*S246/2.5))*I246*H246</f>
        <v/>
      </c>
      <c r="V246">
        <f>(E246*F246*(P246/1000)*J246*S246*I246*H246)/12500000</f>
        <v/>
      </c>
      <c r="W246">
        <f>(T246+U246+V246)/3</f>
        <v/>
      </c>
      <c r="X246" s="6" t="n">
        <v>2200</v>
      </c>
      <c r="Y246">
        <f>IFERROR(W246-X246,"")</f>
        <v/>
      </c>
      <c r="Z246">
        <f>IFERROR(ABS(Y246)/MAX(X246,1),"")</f>
        <v/>
      </c>
      <c r="AA246">
        <f>IFERROR((X246-(((E246/100000+F246/100+S246/200)*200*I246*H246)+((E246*F246/25000)*I246*H246))/3)/(((J246/5)*200*I246*H246)+((J246*S246/2.5)*I246*H246)+((E246*F246*J246*S246*I246*H246)/12500000))/3*1000,"")</f>
        <v/>
      </c>
    </row>
    <row r="247">
      <c r="B247" s="7" t="inlineStr">
        <is>
          <t xml:space="preserve">  ↳ PrismCharge</t>
        </is>
      </c>
      <c r="C247" s="7" t="inlineStr">
        <is>
          <t>Armament@Charge</t>
        </is>
      </c>
      <c r="L247" s="6" t="n"/>
      <c r="M247" s="6" t="n">
        <v>3</v>
      </c>
      <c r="N247" s="6" t="n">
        <v>1</v>
      </c>
      <c r="O247" s="6" t="n"/>
      <c r="P247" s="6" t="n">
        <v>9630</v>
      </c>
      <c r="Q247" s="6" t="n">
        <v>1</v>
      </c>
      <c r="R247">
        <f>M247+IF(N247&gt;1,N(O247)*(N247-1),0)</f>
        <v/>
      </c>
      <c r="S247">
        <f>IFERROR(L247*MAX(N247,1)/R247*IF(ISBLANK(K246),1,K246),0)</f>
        <v/>
      </c>
      <c r="AB247" s="7" t="inlineStr"/>
    </row>
    <row r="248">
      <c r="B248" s="7" t="inlineStr">
        <is>
          <t xml:space="preserve">  ↳ RA2Prism</t>
        </is>
      </c>
      <c r="C248" s="7" t="inlineStr">
        <is>
          <t>Armament</t>
        </is>
      </c>
      <c r="L248" s="6" t="n">
        <v>32000</v>
      </c>
      <c r="M248" s="6" t="n">
        <v>3</v>
      </c>
      <c r="N248" s="6" t="n">
        <v>1</v>
      </c>
      <c r="O248" s="6" t="n"/>
      <c r="P248" s="6" t="n">
        <v>9630</v>
      </c>
      <c r="Q248" s="6" t="n">
        <v>1.25</v>
      </c>
      <c r="R248">
        <f>M248+IF(N248&gt;1,N(O248)*(N248-1),0)</f>
        <v/>
      </c>
      <c r="S248">
        <f>IFERROR(L248*MAX(N248,1)/R248*IF(ISBLANK(K246),1,K246),0)</f>
        <v/>
      </c>
      <c r="AB248" s="7" t="inlineStr">
        <is>
          <t>^Warhead_Laser_Heavy</t>
        </is>
      </c>
    </row>
    <row r="249">
      <c r="A249" t="inlineStr">
        <is>
          <t>redalert2</t>
        </is>
      </c>
      <c r="B249" t="inlineStr">
        <is>
          <t>ra2_soviets_teslacoil</t>
        </is>
      </c>
      <c r="C249" t="inlineStr">
        <is>
          <t>Tesla Coil</t>
        </is>
      </c>
      <c r="D249" s="6" t="inlineStr">
        <is>
          <t>AdvancedDefense</t>
        </is>
      </c>
      <c r="E249" s="6" t="n">
        <v>120000</v>
      </c>
      <c r="F249" s="6" t="n">
        <v>100</v>
      </c>
      <c r="G249" t="inlineStr">
        <is>
          <t>Steel</t>
        </is>
      </c>
      <c r="H249" s="6" t="n">
        <v>0.5957</v>
      </c>
      <c r="I249" s="6" t="n">
        <v>1</v>
      </c>
      <c r="J249" s="6" t="n">
        <v>1</v>
      </c>
      <c r="K249" s="6" t="n"/>
      <c r="P249">
        <f>MAX(P250,P251,P252,P253,P254,P255)</f>
        <v/>
      </c>
      <c r="S249">
        <f>S250+S251+S252+S253+S254+S255</f>
        <v/>
      </c>
      <c r="T249">
        <f>(E249/100000+F249/100+(P249/1000)*J249/5+S249/200)*200*I249*H249</f>
        <v/>
      </c>
      <c r="U249">
        <f>((E249*F249/25000)+((P249/1000)*J249*S249/2.5))*I249*H249</f>
        <v/>
      </c>
      <c r="V249">
        <f>(E249*F249*(P249/1000)*J249*S249*I249*H249)/12500000</f>
        <v/>
      </c>
      <c r="W249">
        <f>(T249+U249+V249)/3</f>
        <v/>
      </c>
      <c r="X249" s="6" t="n">
        <v>2000</v>
      </c>
      <c r="Y249">
        <f>IFERROR(W249-X249,"")</f>
        <v/>
      </c>
      <c r="Z249">
        <f>IFERROR(ABS(Y249)/MAX(X249,1),"")</f>
        <v/>
      </c>
      <c r="AA249">
        <f>IFERROR((X249-(((E249/100000+F249/100+S249/200)*200*I249*H249)+((E249*F249/25000)*I249*H249))/3)/(((J249/5)*200*I249*H249)+((J249*S249/2.5)*I249*H249)+((E249*F249*J249*S249*I249*H249)/12500000))/3*1000,"")</f>
        <v/>
      </c>
    </row>
    <row r="250">
      <c r="B250" s="7" t="inlineStr">
        <is>
          <t xml:space="preserve">  ↳ RA2CoilBolt</t>
        </is>
      </c>
      <c r="C250" s="7" t="inlineStr">
        <is>
          <t>Armament</t>
        </is>
      </c>
      <c r="L250" s="6" t="n">
        <v>64000</v>
      </c>
      <c r="M250" s="6" t="n">
        <v>3</v>
      </c>
      <c r="N250" s="6" t="n">
        <v>1</v>
      </c>
      <c r="O250" s="6" t="n"/>
      <c r="P250" s="6" t="n">
        <v>8842</v>
      </c>
      <c r="Q250" s="6" t="n">
        <v>1.25</v>
      </c>
      <c r="R250">
        <f>M250+IF(N250&gt;1,N(O250)*(N250-1),0)</f>
        <v/>
      </c>
      <c r="S250">
        <f>IFERROR(L250*MAX(N250,1)/R250*IF(ISBLANK(K249),1,K249),0)</f>
        <v/>
      </c>
      <c r="AB250" s="7" t="inlineStr">
        <is>
          <t>^Warhead_Tesla_Heavy</t>
        </is>
      </c>
    </row>
    <row r="251">
      <c r="B251" s="7" t="inlineStr">
        <is>
          <t xml:space="preserve">  ↳ RA2CoilBolt2</t>
        </is>
      </c>
      <c r="C251" s="7" t="inlineStr">
        <is>
          <t>Armament@2</t>
        </is>
      </c>
      <c r="L251" s="6" t="n">
        <v>64000</v>
      </c>
      <c r="M251" s="6" t="n">
        <v>3</v>
      </c>
      <c r="N251" s="6" t="n">
        <v>1</v>
      </c>
      <c r="O251" s="6" t="n"/>
      <c r="P251" s="6" t="n">
        <v>8842</v>
      </c>
      <c r="Q251" s="6" t="n">
        <v>1.25</v>
      </c>
      <c r="R251">
        <f>M251+IF(N251&gt;1,N(O251)*(N251-1),0)</f>
        <v/>
      </c>
      <c r="S251">
        <f>IFERROR(L251*MAX(N251,1)/R251*IF(ISBLANK(K249),1,K249),0)</f>
        <v/>
      </c>
      <c r="AB251" s="7" t="inlineStr">
        <is>
          <t>^Warhead_Tesla_Heavy</t>
        </is>
      </c>
    </row>
    <row r="252">
      <c r="B252" s="7" t="inlineStr">
        <is>
          <t xml:space="preserve">  ↳ RA2CoilBolt3</t>
        </is>
      </c>
      <c r="C252" s="7" t="inlineStr">
        <is>
          <t>Armament@3</t>
        </is>
      </c>
      <c r="L252" s="6" t="n">
        <v>64000</v>
      </c>
      <c r="M252" s="6" t="n">
        <v>3</v>
      </c>
      <c r="N252" s="6" t="n">
        <v>1</v>
      </c>
      <c r="O252" s="6" t="n"/>
      <c r="P252" s="6" t="n">
        <v>8842</v>
      </c>
      <c r="Q252" s="6" t="n">
        <v>1.25</v>
      </c>
      <c r="R252">
        <f>M252+IF(N252&gt;1,N(O252)*(N252-1),0)</f>
        <v/>
      </c>
      <c r="S252">
        <f>IFERROR(L252*MAX(N252,1)/R252*IF(ISBLANK(K249),1,K249),0)</f>
        <v/>
      </c>
      <c r="AB252" s="7" t="inlineStr">
        <is>
          <t>^Warhead_Tesla_Heavy</t>
        </is>
      </c>
    </row>
    <row r="253">
      <c r="B253" s="7" t="inlineStr">
        <is>
          <t xml:space="preserve">  ↳ RA2OPCoilBolt1</t>
        </is>
      </c>
      <c r="C253" s="7" t="inlineStr">
        <is>
          <t>Armament@Charged1</t>
        </is>
      </c>
      <c r="L253" s="6" t="n">
        <v>64000</v>
      </c>
      <c r="M253" s="6" t="n">
        <v>3</v>
      </c>
      <c r="N253" s="6" t="n">
        <v>1</v>
      </c>
      <c r="O253" s="6" t="n"/>
      <c r="P253" s="6" t="n">
        <v>8842</v>
      </c>
      <c r="Q253" s="6" t="n">
        <v>1</v>
      </c>
      <c r="R253">
        <f>M253+IF(N253&gt;1,N(O253)*(N253-1),0)</f>
        <v/>
      </c>
      <c r="S253">
        <f>IFERROR(L253*MAX(N253,1)/R253*IF(ISBLANK(K249),1,K249),0)</f>
        <v/>
      </c>
      <c r="AB253" s="7" t="inlineStr">
        <is>
          <t>^Warhead_Tesla_Super</t>
        </is>
      </c>
    </row>
    <row r="254">
      <c r="B254" s="7" t="inlineStr">
        <is>
          <t xml:space="preserve">  ↳ RA2OPCoilBolt2</t>
        </is>
      </c>
      <c r="C254" s="7" t="inlineStr">
        <is>
          <t>Armament@Charged2</t>
        </is>
      </c>
      <c r="L254" s="6" t="n">
        <v>64000</v>
      </c>
      <c r="M254" s="6" t="n">
        <v>3</v>
      </c>
      <c r="N254" s="6" t="n">
        <v>1</v>
      </c>
      <c r="O254" s="6" t="n"/>
      <c r="P254" s="6" t="n">
        <v>8842</v>
      </c>
      <c r="Q254" s="6" t="n">
        <v>1</v>
      </c>
      <c r="R254">
        <f>M254+IF(N254&gt;1,N(O254)*(N254-1),0)</f>
        <v/>
      </c>
      <c r="S254">
        <f>IFERROR(L254*MAX(N254,1)/R254*IF(ISBLANK(K249),1,K249),0)</f>
        <v/>
      </c>
      <c r="AB254" s="7" t="inlineStr">
        <is>
          <t>^Warhead_Tesla_Super</t>
        </is>
      </c>
    </row>
    <row r="255">
      <c r="B255" s="7" t="inlineStr">
        <is>
          <t xml:space="preserve">  ↳ RA2OPCoilBolt3</t>
        </is>
      </c>
      <c r="C255" s="7" t="inlineStr">
        <is>
          <t>Armament@Charged3</t>
        </is>
      </c>
      <c r="L255" s="6" t="n">
        <v>64000</v>
      </c>
      <c r="M255" s="6" t="n">
        <v>3</v>
      </c>
      <c r="N255" s="6" t="n">
        <v>1</v>
      </c>
      <c r="O255" s="6" t="n"/>
      <c r="P255" s="6" t="n">
        <v>8842</v>
      </c>
      <c r="Q255" s="6" t="n">
        <v>1</v>
      </c>
      <c r="R255">
        <f>M255+IF(N255&gt;1,N(O255)*(N255-1),0)</f>
        <v/>
      </c>
      <c r="S255">
        <f>IFERROR(L255*MAX(N255,1)/R255*IF(ISBLANK(K249),1,K249),0)</f>
        <v/>
      </c>
      <c r="AB255" s="7" t="inlineStr">
        <is>
          <t>^Warhead_Tesla_Super</t>
        </is>
      </c>
    </row>
    <row r="256">
      <c r="A256" t="inlineStr">
        <is>
          <t>redalert2</t>
        </is>
      </c>
      <c r="B256" t="inlineStr">
        <is>
          <t>yuri_psychictower</t>
        </is>
      </c>
      <c r="C256" t="inlineStr">
        <is>
          <t>Psychic Tower</t>
        </is>
      </c>
      <c r="D256" s="6" t="inlineStr">
        <is>
          <t>AdvancedDefense</t>
        </is>
      </c>
      <c r="E256" s="6" t="n">
        <v>150000</v>
      </c>
      <c r="F256" s="6" t="n">
        <v>100</v>
      </c>
      <c r="G256" t="inlineStr">
        <is>
          <t>Steel</t>
        </is>
      </c>
      <c r="H256" s="6" t="n">
        <v>0.5749</v>
      </c>
      <c r="I256" s="6" t="n">
        <v>1</v>
      </c>
      <c r="J256" s="6" t="n">
        <v>1</v>
      </c>
      <c r="K256" s="6" t="n"/>
      <c r="P256">
        <f>MAX(P257)</f>
        <v/>
      </c>
      <c r="S256">
        <f>S257</f>
        <v/>
      </c>
      <c r="T256">
        <f>(E256/100000+F256/100+(P256/1000)*J256/5+S256/200)*200*I256*H256</f>
        <v/>
      </c>
      <c r="U256">
        <f>((E256*F256/25000)+((P256/1000)*J256*S256/2.5))*I256*H256</f>
        <v/>
      </c>
      <c r="V256">
        <f>(E256*F256*(P256/1000)*J256*S256*I256*H256)/12500000</f>
        <v/>
      </c>
      <c r="W256">
        <f>(T256+U256+V256)/3</f>
        <v/>
      </c>
      <c r="X256" s="6" t="n">
        <v>2000</v>
      </c>
      <c r="Y256">
        <f>IFERROR(W256-X256,"")</f>
        <v/>
      </c>
      <c r="Z256">
        <f>IFERROR(ABS(Y256)/MAX(X256,1),"")</f>
        <v/>
      </c>
      <c r="AA256">
        <f>IFERROR((X256-(((E256/100000+F256/100+S256/200)*200*I256*H256)+((E256*F256/25000)*I256*H256))/3)/(((J256/5)*200*I256*H256)+((J256*S256/2.5)*I256*H256)+((E256*F256*J256*S256*I256*H256)/12500000))/3*1000,"")</f>
        <v/>
      </c>
    </row>
    <row r="257">
      <c r="B257" s="7" t="inlineStr">
        <is>
          <t xml:space="preserve">  ↳ RA2TMindControl</t>
        </is>
      </c>
      <c r="C257" s="7" t="inlineStr">
        <is>
          <t>Armament@CONTROL</t>
        </is>
      </c>
      <c r="L257" s="6" t="n">
        <v>0</v>
      </c>
      <c r="M257" s="6" t="n">
        <v>75</v>
      </c>
      <c r="N257" s="6" t="n">
        <v>1</v>
      </c>
      <c r="O257" s="6" t="n"/>
      <c r="P257" s="6" t="n">
        <v>8000</v>
      </c>
      <c r="Q257" s="6" t="n">
        <v>1</v>
      </c>
      <c r="R257">
        <f>M257+IF(N257&gt;1,N(O257)*(N257-1),0)</f>
        <v/>
      </c>
      <c r="S257">
        <f>IFERROR(L257*MAX(N257,1)/R257*IF(ISBLANK(K256),1,K256),0)</f>
        <v/>
      </c>
      <c r="AB257" s="7" t="inlineStr">
        <is>
          <t>RA2MindControl</t>
        </is>
      </c>
    </row>
    <row r="258">
      <c r="A258" t="inlineStr">
        <is>
          <t>redalert2mod</t>
        </is>
      </c>
      <c r="B258" t="inlineStr">
        <is>
          <t>asianalliance_chaostower</t>
        </is>
      </c>
      <c r="C258" t="inlineStr">
        <is>
          <t>Chaos Tower</t>
        </is>
      </c>
      <c r="D258" s="6" t="inlineStr">
        <is>
          <t>AdvancedDefense</t>
        </is>
      </c>
      <c r="E258" s="6" t="n">
        <v>100000</v>
      </c>
      <c r="F258" s="6" t="n"/>
      <c r="G258" t="inlineStr">
        <is>
          <t>Steel</t>
        </is>
      </c>
      <c r="H258" s="6" t="n">
        <v>0.4125</v>
      </c>
      <c r="I258" s="6" t="n">
        <v>1</v>
      </c>
      <c r="J258" s="6" t="n">
        <v>1</v>
      </c>
      <c r="K258" s="6" t="n"/>
      <c r="X258" s="6" t="n">
        <v>1000</v>
      </c>
    </row>
    <row r="259">
      <c r="B259" s="7" t="inlineStr">
        <is>
          <t xml:space="preserve">  ↳ AsianChaosTurret</t>
        </is>
      </c>
      <c r="C259" s="7" t="inlineStr">
        <is>
          <t>Armament</t>
        </is>
      </c>
      <c r="L259" s="6" t="n"/>
      <c r="M259" s="6" t="n">
        <v>125</v>
      </c>
      <c r="N259" s="6" t="n">
        <v>1</v>
      </c>
      <c r="O259" s="6" t="n"/>
      <c r="P259" s="6" t="n">
        <v>5000</v>
      </c>
      <c r="Q259" s="6" t="n">
        <v>1</v>
      </c>
      <c r="R259">
        <f>M259+IF(N259&gt;1,N(O259)*(N259-1),0)</f>
        <v/>
      </c>
      <c r="S259">
        <f>IFERROR(L259*MAX(N259,1)/R259*IF(ISBLANK(K258),1,K258),0)</f>
        <v/>
      </c>
      <c r="AB259" s="7" t="inlineStr"/>
    </row>
    <row r="260">
      <c r="A260" t="inlineStr">
        <is>
          <t>redalert2mod</t>
        </is>
      </c>
      <c r="B260" t="inlineStr">
        <is>
          <t>asianalliance_plasmacannon</t>
        </is>
      </c>
      <c r="C260" t="inlineStr">
        <is>
          <t>Plasma Cannon</t>
        </is>
      </c>
      <c r="D260" s="6" t="inlineStr">
        <is>
          <t>AdvancedDefense</t>
        </is>
      </c>
      <c r="E260" s="6" t="n">
        <v>300000</v>
      </c>
      <c r="F260" s="6" t="n"/>
      <c r="G260" t="inlineStr">
        <is>
          <t>Steel</t>
        </is>
      </c>
      <c r="H260" s="6" t="n">
        <v>0.4125</v>
      </c>
      <c r="I260" s="6" t="n">
        <v>1</v>
      </c>
      <c r="J260" s="6" t="n">
        <v>1</v>
      </c>
      <c r="K260" s="6" t="n"/>
      <c r="X260" s="6" t="n">
        <v>4000</v>
      </c>
    </row>
    <row r="261">
      <c r="B261" s="7" t="inlineStr">
        <is>
          <t xml:space="preserve">  ↳ AsianTurretPlasma</t>
        </is>
      </c>
      <c r="C261" s="7" t="inlineStr">
        <is>
          <t>Armament</t>
        </is>
      </c>
      <c r="L261" s="6" t="n">
        <v>16000</v>
      </c>
      <c r="M261" s="6" t="n">
        <v>90</v>
      </c>
      <c r="N261" s="6" t="n">
        <v>2</v>
      </c>
      <c r="O261" s="6" t="n">
        <v>6</v>
      </c>
      <c r="P261" s="6" t="n">
        <v>14000</v>
      </c>
      <c r="Q261" s="6" t="n">
        <v>1.125</v>
      </c>
      <c r="R261">
        <f>M261+IF(N261&gt;1,N(O261)*(N261-1),0)</f>
        <v/>
      </c>
      <c r="S261">
        <f>IFERROR(L261*MAX(N261,1)/R261*IF(ISBLANK(K260),1,K260),0)</f>
        <v/>
      </c>
      <c r="AB261" s="7" t="inlineStr">
        <is>
          <t>^Warhead_CannonHE_Medium, ^Warhead_CannonHE_Heavy</t>
        </is>
      </c>
    </row>
    <row r="262">
      <c r="A262" t="inlineStr">
        <is>
          <t>redalert2mod</t>
        </is>
      </c>
      <c r="B262" t="inlineStr">
        <is>
          <t>asianalliance_railtower</t>
        </is>
      </c>
      <c r="C262" t="inlineStr">
        <is>
          <t>Rail Tower</t>
        </is>
      </c>
      <c r="D262" s="6" t="inlineStr">
        <is>
          <t>AdvancedDefense</t>
        </is>
      </c>
      <c r="E262" s="6" t="n">
        <v>125000</v>
      </c>
      <c r="F262" s="6" t="n"/>
      <c r="G262" t="inlineStr">
        <is>
          <t>Steel</t>
        </is>
      </c>
      <c r="H262" s="6" t="n">
        <v>0.55</v>
      </c>
      <c r="I262" s="6" t="n">
        <v>1</v>
      </c>
      <c r="J262" s="6" t="n">
        <v>1</v>
      </c>
      <c r="K262" s="6" t="n"/>
      <c r="X262" s="6" t="n">
        <v>2500</v>
      </c>
    </row>
    <row r="263">
      <c r="B263" s="7" t="inlineStr">
        <is>
          <t xml:space="preserve">  ↳ AsianRailgun</t>
        </is>
      </c>
      <c r="C263" s="7" t="inlineStr">
        <is>
          <t>Armament</t>
        </is>
      </c>
      <c r="L263" s="6" t="n">
        <v>30000</v>
      </c>
      <c r="M263" s="6" t="n">
        <v>10</v>
      </c>
      <c r="N263" s="6" t="n">
        <v>1</v>
      </c>
      <c r="O263" s="6" t="n"/>
      <c r="P263" s="6" t="n">
        <v>9600</v>
      </c>
      <c r="Q263" s="6" t="n">
        <v>1.25</v>
      </c>
      <c r="R263">
        <f>M263+IF(N263&gt;1,N(O263)*(N263-1),0)</f>
        <v/>
      </c>
      <c r="S263">
        <f>IFERROR(L263*MAX(N263,1)/R263*IF(ISBLANK(K262),1,K262),0)</f>
        <v/>
      </c>
      <c r="AB263" s="7" t="inlineStr">
        <is>
          <t>^Warhead_Railgun_Heavy</t>
        </is>
      </c>
    </row>
    <row r="264">
      <c r="A264" t="inlineStr">
        <is>
          <t>redalert2mod</t>
        </is>
      </c>
      <c r="B264" t="inlineStr">
        <is>
          <t>asianalliance_spitfire</t>
        </is>
      </c>
      <c r="C264" t="inlineStr">
        <is>
          <t>Spitfire</t>
        </is>
      </c>
      <c r="D264" s="6" t="inlineStr">
        <is>
          <t>AdvancedDefense</t>
        </is>
      </c>
      <c r="E264" s="6" t="n">
        <v>100000</v>
      </c>
      <c r="F264" s="6" t="n"/>
      <c r="G264" t="inlineStr">
        <is>
          <t>Steel</t>
        </is>
      </c>
      <c r="H264" s="6" t="n">
        <v>0.4125</v>
      </c>
      <c r="I264" s="6" t="n">
        <v>1</v>
      </c>
      <c r="J264" s="6" t="n">
        <v>1</v>
      </c>
      <c r="K264" s="6" t="n"/>
      <c r="X264" s="6" t="n">
        <v>2000</v>
      </c>
    </row>
    <row r="265">
      <c r="B265" s="7" t="inlineStr">
        <is>
          <t xml:space="preserve">  ↳ AsianSpitfireRockets</t>
        </is>
      </c>
      <c r="C265" s="7" t="inlineStr">
        <is>
          <t>Armament</t>
        </is>
      </c>
      <c r="L265" s="6" t="n">
        <v>16000</v>
      </c>
      <c r="M265" s="6" t="n">
        <v>90</v>
      </c>
      <c r="N265" s="6" t="n">
        <v>8</v>
      </c>
      <c r="O265" s="6" t="n">
        <v>4</v>
      </c>
      <c r="P265" s="6" t="n">
        <v>12000</v>
      </c>
      <c r="Q265" s="6" t="n">
        <v>0.875</v>
      </c>
      <c r="R265">
        <f>M265+IF(N265&gt;1,N(O265)*(N265-1),0)</f>
        <v/>
      </c>
      <c r="S265">
        <f>IFERROR(L265*MAX(N265,1)/R265*IF(ISBLANK(K264),1,K264),0)</f>
        <v/>
      </c>
      <c r="AB265" s="7" t="inlineStr">
        <is>
          <t>^Warhead_Demolition_Light, ^Warhead_MissileAP_Medium</t>
        </is>
      </c>
    </row>
    <row r="266">
      <c r="A266" t="inlineStr">
        <is>
          <t>redalert2mod</t>
        </is>
      </c>
      <c r="B266" t="inlineStr">
        <is>
          <t>steelconsortium_bfg10000</t>
        </is>
      </c>
      <c r="C266" t="inlineStr">
        <is>
          <t>BFG 10000</t>
        </is>
      </c>
      <c r="D266" s="6" t="inlineStr">
        <is>
          <t>AdvancedDefense</t>
        </is>
      </c>
      <c r="E266" s="6" t="n">
        <v>1000000</v>
      </c>
      <c r="F266" s="6" t="n"/>
      <c r="G266" t="inlineStr">
        <is>
          <t>Steel</t>
        </is>
      </c>
      <c r="H266" s="6" t="n">
        <v>1</v>
      </c>
      <c r="I266" s="6" t="n">
        <v>0.5</v>
      </c>
      <c r="J266" s="6" t="n">
        <v>1</v>
      </c>
      <c r="K266" s="6" t="n"/>
      <c r="X266" s="6" t="n">
        <v>10000</v>
      </c>
    </row>
    <row r="267">
      <c r="B267" s="7" t="inlineStr">
        <is>
          <t xml:space="preserve">  ↳ bfg10kCannonDummy</t>
        </is>
      </c>
      <c r="C267" s="7" t="inlineStr">
        <is>
          <t>Armament@Dummy</t>
        </is>
      </c>
      <c r="L267" s="6" t="n"/>
      <c r="M267" s="6" t="n">
        <v>750</v>
      </c>
      <c r="N267" s="6" t="n">
        <v>1</v>
      </c>
      <c r="O267" s="6" t="n"/>
      <c r="P267" s="6" t="n">
        <v>25000</v>
      </c>
      <c r="Q267" s="6" t="n">
        <v>1</v>
      </c>
      <c r="R267">
        <f>M267+IF(N267&gt;1,N(O267)*(N267-1),0)</f>
        <v/>
      </c>
      <c r="S267">
        <f>IFERROR(L267*MAX(N267,1)/R267*IF(ISBLANK(K266),1,K266),0)</f>
        <v/>
      </c>
      <c r="AB267" s="7" t="inlineStr"/>
    </row>
    <row r="268">
      <c r="B268" s="7" t="inlineStr">
        <is>
          <t xml:space="preserve">  ↳ bfg10kCannon</t>
        </is>
      </c>
      <c r="C268" s="7" t="inlineStr">
        <is>
          <t>Armament@Weapon</t>
        </is>
      </c>
      <c r="L268" s="6" t="n">
        <v>1000000</v>
      </c>
      <c r="M268" s="6" t="n">
        <v>750</v>
      </c>
      <c r="N268" s="6" t="n">
        <v>1</v>
      </c>
      <c r="O268" s="6" t="n"/>
      <c r="P268" s="6" t="n">
        <v>25000</v>
      </c>
      <c r="Q268" s="6" t="n">
        <v>1</v>
      </c>
      <c r="R268">
        <f>M268+IF(N268&gt;1,N(O268)*(N268-1),0)</f>
        <v/>
      </c>
      <c r="S268">
        <f>IFERROR(L268*MAX(N268,1)/R268*IF(ISBLANK(K266),1,K266),0)</f>
        <v/>
      </c>
      <c r="AB268" s="7" t="inlineStr">
        <is>
          <t>^TeslaChargedWeapon, ^MagicWeapon, ^LaserWeapon, ^RailgunWeapon</t>
        </is>
      </c>
    </row>
    <row r="269">
      <c r="B269" s="7" t="inlineStr">
        <is>
          <t xml:space="preserve">  ↳ superbfg10kCannonDummy</t>
        </is>
      </c>
      <c r="C269" s="7" t="inlineStr">
        <is>
          <t>Armament@SuperDummy</t>
        </is>
      </c>
      <c r="L269" s="6" t="n"/>
      <c r="M269" s="6" t="n">
        <v>750</v>
      </c>
      <c r="N269" s="6" t="n">
        <v>1</v>
      </c>
      <c r="O269" s="6" t="n"/>
      <c r="P269" s="6" t="n">
        <v>10238976</v>
      </c>
      <c r="Q269" s="6" t="n">
        <v>1</v>
      </c>
      <c r="R269">
        <f>M269+IF(N269&gt;1,N(O269)*(N269-1),0)</f>
        <v/>
      </c>
      <c r="S269">
        <f>IFERROR(L269*MAX(N269,1)/R269*IF(ISBLANK(K266),1,K266),0)</f>
        <v/>
      </c>
      <c r="AB269" s="7" t="inlineStr">
        <is>
          <t>bfg10kCannonDummy</t>
        </is>
      </c>
    </row>
    <row r="270">
      <c r="B270" s="7" t="inlineStr">
        <is>
          <t xml:space="preserve">  ↳ superbfg10kCannon</t>
        </is>
      </c>
      <c r="C270" s="7" t="inlineStr">
        <is>
          <t>Armament@SuperWeapon</t>
        </is>
      </c>
      <c r="L270" s="6" t="n">
        <v>1000000</v>
      </c>
      <c r="M270" s="6" t="n">
        <v>750</v>
      </c>
      <c r="N270" s="6" t="n">
        <v>1</v>
      </c>
      <c r="O270" s="6" t="n"/>
      <c r="P270" s="6" t="n">
        <v>10238976</v>
      </c>
      <c r="Q270" s="6" t="n">
        <v>1</v>
      </c>
      <c r="R270">
        <f>M270+IF(N270&gt;1,N(O270)*(N270-1),0)</f>
        <v/>
      </c>
      <c r="S270">
        <f>IFERROR(L270*MAX(N270,1)/R270*IF(ISBLANK(K266),1,K266),0)</f>
        <v/>
      </c>
      <c r="AB270" s="7" t="inlineStr">
        <is>
          <t>bfg10kCannon</t>
        </is>
      </c>
    </row>
    <row r="271">
      <c r="A271" t="inlineStr">
        <is>
          <t>redalert2mod</t>
        </is>
      </c>
      <c r="B271" t="inlineStr">
        <is>
          <t>steelconsortium_quantumcannon</t>
        </is>
      </c>
      <c r="C271" t="inlineStr">
        <is>
          <t>Quantum Cannon</t>
        </is>
      </c>
      <c r="D271" s="6" t="inlineStr">
        <is>
          <t>AdvancedDefense</t>
        </is>
      </c>
      <c r="E271" s="6" t="n">
        <v>230000</v>
      </c>
      <c r="F271" s="6" t="n"/>
      <c r="G271" t="inlineStr">
        <is>
          <t>Steel</t>
        </is>
      </c>
      <c r="H271" s="6" t="n">
        <v>0.541</v>
      </c>
      <c r="I271" s="6" t="n">
        <v>1</v>
      </c>
      <c r="J271" s="6" t="n">
        <v>1</v>
      </c>
      <c r="K271" s="6" t="n"/>
      <c r="X271" s="6" t="n">
        <v>2000</v>
      </c>
    </row>
    <row r="272">
      <c r="B272" s="7" t="inlineStr">
        <is>
          <t xml:space="preserve">  ↳ GLStingerTargeting</t>
        </is>
      </c>
      <c r="C272" s="7" t="inlineStr">
        <is>
          <t>Armament@DroneTargeting</t>
        </is>
      </c>
      <c r="L272" s="6" t="n"/>
      <c r="M272" s="6" t="n">
        <v>25</v>
      </c>
      <c r="N272" s="6" t="n">
        <v>1</v>
      </c>
      <c r="O272" s="6" t="n"/>
      <c r="P272" s="6" t="n">
        <v>15000</v>
      </c>
      <c r="Q272" s="6" t="n">
        <v>1</v>
      </c>
      <c r="R272">
        <f>M272+IF(N272&gt;1,N(O272)*(N272-1),0)</f>
        <v/>
      </c>
      <c r="S272">
        <f>IFERROR(L272*MAX(N272,1)/R272*IF(ISBLANK(K271),1,K271),0)</f>
        <v/>
      </c>
      <c r="AB272" s="7" t="inlineStr"/>
    </row>
    <row r="273">
      <c r="B273" s="7" t="inlineStr">
        <is>
          <t xml:space="preserve">  ↳ SteelQuantumTurretRail</t>
        </is>
      </c>
      <c r="C273" s="7" t="inlineStr">
        <is>
          <t>Armament@1</t>
        </is>
      </c>
      <c r="L273" s="6" t="n">
        <v>12000</v>
      </c>
      <c r="M273" s="6" t="n">
        <v>38</v>
      </c>
      <c r="N273" s="6" t="n">
        <v>1</v>
      </c>
      <c r="O273" s="6" t="n"/>
      <c r="P273" s="6" t="n">
        <v>8888</v>
      </c>
      <c r="Q273" s="6" t="n">
        <v>1.25</v>
      </c>
      <c r="R273">
        <f>M273+IF(N273&gt;1,N(O273)*(N273-1),0)</f>
        <v/>
      </c>
      <c r="S273">
        <f>IFERROR(L273*MAX(N273,1)/R273*IF(ISBLANK(K271),1,K271),0)</f>
        <v/>
      </c>
      <c r="AB273" s="7" t="inlineStr">
        <is>
          <t>^Warhead_CannonHE_Heavy</t>
        </is>
      </c>
    </row>
    <row r="274">
      <c r="B274" s="7" t="inlineStr">
        <is>
          <t xml:space="preserve">  ↳ SteelQuantumTurretRail</t>
        </is>
      </c>
      <c r="C274" s="7" t="inlineStr">
        <is>
          <t>Armament@2</t>
        </is>
      </c>
      <c r="L274" s="6" t="n">
        <v>12000</v>
      </c>
      <c r="M274" s="6" t="n">
        <v>38</v>
      </c>
      <c r="N274" s="6" t="n">
        <v>1</v>
      </c>
      <c r="O274" s="6" t="n"/>
      <c r="P274" s="6" t="n">
        <v>8888</v>
      </c>
      <c r="Q274" s="6" t="n">
        <v>1.25</v>
      </c>
      <c r="R274">
        <f>M274+IF(N274&gt;1,N(O274)*(N274-1),0)</f>
        <v/>
      </c>
      <c r="S274">
        <f>IFERROR(L274*MAX(N274,1)/R274*IF(ISBLANK(K271),1,K271),0)</f>
        <v/>
      </c>
      <c r="AB274" s="7" t="inlineStr">
        <is>
          <t>^Warhead_CannonHE_Heavy</t>
        </is>
      </c>
    </row>
    <row r="275">
      <c r="B275" s="7" t="inlineStr">
        <is>
          <t xml:space="preserve">  ↳ SteelQuantumTurretRail_EMP</t>
        </is>
      </c>
      <c r="C275" s="7" t="inlineStr">
        <is>
          <t>Armament@Upgrade1</t>
        </is>
      </c>
      <c r="L275" s="6" t="n">
        <v>12000</v>
      </c>
      <c r="M275" s="6" t="n">
        <v>38</v>
      </c>
      <c r="N275" s="6" t="n">
        <v>1</v>
      </c>
      <c r="O275" s="6" t="n"/>
      <c r="P275" s="6" t="n">
        <v>8888</v>
      </c>
      <c r="Q275" s="6" t="n">
        <v>1.25</v>
      </c>
      <c r="R275">
        <f>M275+IF(N275&gt;1,N(O275)*(N275-1),0)</f>
        <v/>
      </c>
      <c r="S275">
        <f>IFERROR(L275*MAX(N275,1)/R275*IF(ISBLANK(K271),1,K271),0)</f>
        <v/>
      </c>
      <c r="AB275" s="7" t="inlineStr">
        <is>
          <t>^Warhead_CannonHE_Heavy</t>
        </is>
      </c>
    </row>
    <row r="276">
      <c r="B276" s="7" t="inlineStr">
        <is>
          <t xml:space="preserve">  ↳ SteelQuantumTurretRail_EMP</t>
        </is>
      </c>
      <c r="C276" s="7" t="inlineStr">
        <is>
          <t>Armament@Upgrade2</t>
        </is>
      </c>
      <c r="L276" s="6" t="n">
        <v>12000</v>
      </c>
      <c r="M276" s="6" t="n">
        <v>38</v>
      </c>
      <c r="N276" s="6" t="n">
        <v>1</v>
      </c>
      <c r="O276" s="6" t="n"/>
      <c r="P276" s="6" t="n">
        <v>8888</v>
      </c>
      <c r="Q276" s="6" t="n">
        <v>1.25</v>
      </c>
      <c r="R276">
        <f>M276+IF(N276&gt;1,N(O276)*(N276-1),0)</f>
        <v/>
      </c>
      <c r="S276">
        <f>IFERROR(L276*MAX(N276,1)/R276*IF(ISBLANK(K271),1,K271),0)</f>
        <v/>
      </c>
      <c r="AB276" s="7" t="inlineStr">
        <is>
          <t>^Warhead_CannonHE_Heavy</t>
        </is>
      </c>
    </row>
    <row r="277">
      <c r="A277" t="inlineStr">
        <is>
          <t>redalert2mod</t>
        </is>
      </c>
      <c r="B277" t="inlineStr">
        <is>
          <t>latinsyndicate_smlturret</t>
        </is>
      </c>
      <c r="C277" t="inlineStr">
        <is>
          <t>SML Turret</t>
        </is>
      </c>
      <c r="D277" s="6" t="inlineStr">
        <is>
          <t>AdvancedDefense</t>
        </is>
      </c>
      <c r="E277" s="6" t="n">
        <v>300000</v>
      </c>
      <c r="F277" s="6" t="n"/>
      <c r="G277" t="inlineStr">
        <is>
          <t>Steel</t>
        </is>
      </c>
      <c r="H277" s="6" t="n">
        <v>0.4074</v>
      </c>
      <c r="I277" s="6" t="n">
        <v>1</v>
      </c>
      <c r="J277" s="6" t="n">
        <v>1</v>
      </c>
      <c r="K277" s="6" t="n"/>
      <c r="X277" s="6" t="n">
        <v>5000</v>
      </c>
    </row>
    <row r="278">
      <c r="B278" s="7" t="inlineStr">
        <is>
          <t xml:space="preserve">  ↳ SMLLauncher</t>
        </is>
      </c>
      <c r="C278" s="7" t="inlineStr">
        <is>
          <t>Armament</t>
        </is>
      </c>
      <c r="L278" s="6" t="n"/>
      <c r="M278" s="6" t="n">
        <v>125</v>
      </c>
      <c r="N278" s="6" t="n">
        <v>4</v>
      </c>
      <c r="O278" s="6" t="n"/>
      <c r="P278" s="6" t="n">
        <v>15000</v>
      </c>
      <c r="Q278" s="6" t="n">
        <v>1</v>
      </c>
      <c r="R278">
        <f>M278+IF(N278&gt;1,N(O278)*(N278-1),0)</f>
        <v/>
      </c>
      <c r="S278">
        <f>IFERROR(L278*MAX(N278,1)/R278*IF(ISBLANK(K277),1,K277),0)</f>
        <v/>
      </c>
      <c r="AB278" s="7" t="inlineStr"/>
    </row>
    <row r="279">
      <c r="A279" t="inlineStr">
        <is>
          <t>redalert2mod</t>
        </is>
      </c>
      <c r="B279" t="inlineStr">
        <is>
          <t>schwarzermond_lasertower</t>
        </is>
      </c>
      <c r="C279" t="inlineStr">
        <is>
          <t>Laser Tower</t>
        </is>
      </c>
      <c r="D279" s="6" t="inlineStr">
        <is>
          <t>AdvancedDefense</t>
        </is>
      </c>
      <c r="E279" s="6" t="n">
        <v>160000</v>
      </c>
      <c r="F279" s="6" t="n"/>
      <c r="G279" t="inlineStr">
        <is>
          <t>Steel</t>
        </is>
      </c>
      <c r="H279" s="6" t="n">
        <v>1</v>
      </c>
      <c r="I279" s="6" t="n">
        <v>1</v>
      </c>
      <c r="J279" s="6" t="n">
        <v>1</v>
      </c>
      <c r="K279" s="6" t="n"/>
      <c r="X279" s="6" t="n">
        <v>800</v>
      </c>
    </row>
    <row r="280">
      <c r="B280" s="7" t="inlineStr">
        <is>
          <t xml:space="preserve">  ↳ NaxLaserT</t>
        </is>
      </c>
      <c r="C280" s="7" t="inlineStr">
        <is>
          <t>Armament</t>
        </is>
      </c>
      <c r="L280" s="6" t="n">
        <v>8000</v>
      </c>
      <c r="M280" s="6" t="n">
        <v>20</v>
      </c>
      <c r="N280" s="6" t="n">
        <v>1</v>
      </c>
      <c r="O280" s="6" t="n"/>
      <c r="P280" s="6" t="n">
        <v>8181</v>
      </c>
      <c r="Q280" s="6" t="n">
        <v>1</v>
      </c>
      <c r="R280">
        <f>M280+IF(N280&gt;1,N(O280)*(N280-1),0)</f>
        <v/>
      </c>
      <c r="S280">
        <f>IFERROR(L280*MAX(N280,1)/R280*IF(ISBLANK(K279),1,K279),0)</f>
        <v/>
      </c>
      <c r="AB280" s="7" t="inlineStr">
        <is>
          <t>^SmallArms, ^Chaingun, ^MediumMissile, ^LaserWeapon</t>
        </is>
      </c>
    </row>
    <row r="281">
      <c r="B281" s="7" t="inlineStr">
        <is>
          <t xml:space="preserve">  ↳ Lunar_YellowLaserT</t>
        </is>
      </c>
      <c r="C281" s="7" t="inlineStr">
        <is>
          <t>Armament@UP</t>
        </is>
      </c>
      <c r="L281" s="6" t="n">
        <v>8000</v>
      </c>
      <c r="M281" s="6" t="n">
        <v>20</v>
      </c>
      <c r="N281" s="6" t="n">
        <v>2</v>
      </c>
      <c r="O281" s="6" t="n"/>
      <c r="P281" s="6" t="n">
        <v>8181</v>
      </c>
      <c r="Q281" s="6" t="n">
        <v>1</v>
      </c>
      <c r="R281">
        <f>M281+IF(N281&gt;1,N(O281)*(N281-1),0)</f>
        <v/>
      </c>
      <c r="S281">
        <f>IFERROR(L281*MAX(N281,1)/R281*IF(ISBLANK(K279),1,K279),0)</f>
        <v/>
      </c>
      <c r="AB281" s="7" t="inlineStr">
        <is>
          <t>NaxLaserT</t>
        </is>
      </c>
    </row>
    <row r="282">
      <c r="B282" s="7" t="inlineStr">
        <is>
          <t xml:space="preserve">  ↳ Lunar_AmplifiedLaserT</t>
        </is>
      </c>
      <c r="C282" s="7" t="inlineStr">
        <is>
          <t>Armament@AMP</t>
        </is>
      </c>
      <c r="L282" s="6" t="n">
        <v>8000</v>
      </c>
      <c r="M282" s="6" t="n">
        <v>20</v>
      </c>
      <c r="N282" s="6" t="n">
        <v>3</v>
      </c>
      <c r="O282" s="6" t="n"/>
      <c r="P282" s="6" t="n">
        <v>8181</v>
      </c>
      <c r="Q282" s="6" t="n">
        <v>1</v>
      </c>
      <c r="R282">
        <f>M282+IF(N282&gt;1,N(O282)*(N282-1),0)</f>
        <v/>
      </c>
      <c r="S282">
        <f>IFERROR(L282*MAX(N282,1)/R282*IF(ISBLANK(K279),1,K279),0)</f>
        <v/>
      </c>
      <c r="AB282" s="7" t="inlineStr">
        <is>
          <t>NaxLaserT</t>
        </is>
      </c>
    </row>
    <row r="283">
      <c r="A283" t="inlineStr">
        <is>
          <t>redalert2mod</t>
        </is>
      </c>
      <c r="B283" t="inlineStr">
        <is>
          <t>futuretech_frostbiteturret</t>
        </is>
      </c>
      <c r="C283" t="inlineStr">
        <is>
          <t>Frostbite Turret</t>
        </is>
      </c>
      <c r="D283" s="6" t="inlineStr">
        <is>
          <t>AdvancedDefense</t>
        </is>
      </c>
      <c r="E283" s="6" t="n">
        <v>120000</v>
      </c>
      <c r="F283" s="6" t="n"/>
      <c r="G283" t="inlineStr">
        <is>
          <t>Steel</t>
        </is>
      </c>
      <c r="H283" s="6" t="n">
        <v>0.422</v>
      </c>
      <c r="I283" s="6" t="n">
        <v>1</v>
      </c>
      <c r="J283" s="6" t="n">
        <v>1</v>
      </c>
      <c r="K283" s="6" t="n">
        <v>0.0048</v>
      </c>
      <c r="X283" s="6" t="n">
        <v>1500</v>
      </c>
    </row>
    <row r="284">
      <c r="B284" s="7" t="inlineStr">
        <is>
          <t xml:space="preserve">  ↳ Future_Turret_Cryo</t>
        </is>
      </c>
      <c r="C284" s="7" t="inlineStr">
        <is>
          <t>Armament</t>
        </is>
      </c>
      <c r="L284" s="6" t="n">
        <v>11000</v>
      </c>
      <c r="M284" s="6" t="n">
        <v>8</v>
      </c>
      <c r="N284" s="6" t="n">
        <v>1</v>
      </c>
      <c r="O284" s="6" t="n"/>
      <c r="P284" s="6" t="n">
        <v>7124</v>
      </c>
      <c r="Q284" s="6" t="n">
        <v>1</v>
      </c>
      <c r="R284">
        <f>M284+IF(N284&gt;1,N(O284)*(N284-1),0)</f>
        <v/>
      </c>
      <c r="S284">
        <f>IFERROR(L284*MAX(N284,1)/R284*IF(ISBLANK(K283),1,K283),0)</f>
        <v/>
      </c>
      <c r="AB284" s="7" t="inlineStr">
        <is>
          <t>Future_Cryocopter_Cryo</t>
        </is>
      </c>
    </row>
    <row r="285">
      <c r="A285" t="inlineStr">
        <is>
          <t>d2k</t>
        </is>
      </c>
      <c r="B285" t="inlineStr">
        <is>
          <t>ordos_artilleryplatform</t>
        </is>
      </c>
      <c r="C285" t="inlineStr">
        <is>
          <t>Artillery Platform</t>
        </is>
      </c>
      <c r="D285" s="6" t="inlineStr">
        <is>
          <t>AdvancedDefense</t>
        </is>
      </c>
      <c r="E285" s="6" t="n">
        <v>125000</v>
      </c>
      <c r="F285" s="6" t="n"/>
      <c r="G285" t="inlineStr">
        <is>
          <t>Concrete</t>
        </is>
      </c>
      <c r="H285" s="6" t="n">
        <v>1</v>
      </c>
      <c r="I285" s="6" t="n">
        <v>0.325</v>
      </c>
      <c r="J285" s="6" t="n">
        <v>1</v>
      </c>
      <c r="K285" s="6" t="n"/>
      <c r="X285" s="6" t="n">
        <v>1200</v>
      </c>
    </row>
    <row r="286">
      <c r="B286" s="7" t="inlineStr">
        <is>
          <t xml:space="preserve">  ↳ D2K_155mm_turret</t>
        </is>
      </c>
      <c r="C286" s="7" t="inlineStr">
        <is>
          <t>Armament</t>
        </is>
      </c>
      <c r="L286" s="6" t="n">
        <v>48000</v>
      </c>
      <c r="M286" s="6" t="n">
        <v>74</v>
      </c>
      <c r="N286" s="6" t="n">
        <v>1</v>
      </c>
      <c r="O286" s="6" t="n"/>
      <c r="P286" s="6" t="n">
        <v>10000</v>
      </c>
      <c r="Q286" s="6" t="n">
        <v>1</v>
      </c>
      <c r="R286">
        <f>M286+IF(N286&gt;1,N(O286)*(N286-1),0)</f>
        <v/>
      </c>
      <c r="S286">
        <f>IFERROR(L286*MAX(N286,1)/R286*IF(ISBLANK(K285),1,K285),0)</f>
        <v/>
      </c>
      <c r="AB286" s="7" t="inlineStr">
        <is>
          <t>^Warhead_Demolition_Light, ^Warhead_Demolition_Heavy, ^Warhead_Concussion_Medium, ^Warhead_CannonHE_Medium</t>
        </is>
      </c>
    </row>
    <row r="287">
      <c r="A287" t="inlineStr">
        <is>
          <t>d2k</t>
        </is>
      </c>
      <c r="B287" t="inlineStr">
        <is>
          <t>ordos_autogunturret</t>
        </is>
      </c>
      <c r="C287" t="inlineStr">
        <is>
          <t>Autogun Turret</t>
        </is>
      </c>
      <c r="D287" s="6" t="inlineStr">
        <is>
          <t>AdvancedDefense</t>
        </is>
      </c>
      <c r="E287" s="6" t="n">
        <v>75000</v>
      </c>
      <c r="F287" s="6" t="n"/>
      <c r="G287" t="inlineStr">
        <is>
          <t>Concrete</t>
        </is>
      </c>
      <c r="H287" s="6" t="n">
        <v>1</v>
      </c>
      <c r="I287" s="6" t="n">
        <v>0.325</v>
      </c>
      <c r="J287" s="6" t="n">
        <v>1.25</v>
      </c>
      <c r="K287" s="6" t="n"/>
      <c r="X287" s="6" t="n">
        <v>1100</v>
      </c>
    </row>
    <row r="288">
      <c r="B288" s="7" t="inlineStr">
        <is>
          <t xml:space="preserve">  ↳ ordos_autogunturret</t>
        </is>
      </c>
      <c r="C288" s="7" t="inlineStr">
        <is>
          <t>Armament</t>
        </is>
      </c>
      <c r="L288" s="6" t="n">
        <v>6000</v>
      </c>
      <c r="M288" s="6" t="n">
        <v>22</v>
      </c>
      <c r="N288" s="6" t="n">
        <v>4</v>
      </c>
      <c r="O288" s="6" t="n">
        <v>2</v>
      </c>
      <c r="P288" s="6" t="n">
        <v>7700</v>
      </c>
      <c r="Q288" s="6" t="n">
        <v>1</v>
      </c>
      <c r="R288">
        <f>M288+IF(N288&gt;1,N(O288)*(N288-1),0)</f>
        <v/>
      </c>
      <c r="S288">
        <f>IFERROR(L288*MAX(N288,1)/R288*IF(ISBLANK(K287),1,K287),0)</f>
        <v/>
      </c>
      <c r="AB288" s="7" t="inlineStr">
        <is>
          <t>^Warhead_Bullet_Light, ^Warhead_Bullet_Medium, ^Warhead_CannonHE_Heavy</t>
        </is>
      </c>
    </row>
    <row r="289">
      <c r="A289" t="inlineStr">
        <is>
          <t>d2k</t>
        </is>
      </c>
      <c r="B289" t="inlineStr">
        <is>
          <t>ixian_rocketturret</t>
        </is>
      </c>
      <c r="C289" t="inlineStr">
        <is>
          <t>Rocket Turret</t>
        </is>
      </c>
      <c r="D289" s="6" t="inlineStr">
        <is>
          <t>AdvancedDefense</t>
        </is>
      </c>
      <c r="E289" s="6" t="n">
        <v>150000</v>
      </c>
      <c r="F289" s="6" t="n"/>
      <c r="G289" t="inlineStr">
        <is>
          <t>Concrete</t>
        </is>
      </c>
      <c r="H289" s="6" t="n">
        <v>0.8462</v>
      </c>
      <c r="I289" s="6" t="n">
        <v>1</v>
      </c>
      <c r="J289" s="6" t="n">
        <v>1</v>
      </c>
      <c r="K289" s="6" t="n"/>
      <c r="X289" s="6" t="n">
        <v>1500</v>
      </c>
    </row>
    <row r="290">
      <c r="B290" s="7" t="inlineStr">
        <is>
          <t xml:space="preserve">  ↳ D2K_TowerMissile</t>
        </is>
      </c>
      <c r="C290" s="7" t="inlineStr">
        <is>
          <t>Armament@PRIMARY</t>
        </is>
      </c>
      <c r="L290" s="6" t="n">
        <v>16000</v>
      </c>
      <c r="M290" s="6" t="n">
        <v>42</v>
      </c>
      <c r="N290" s="6" t="n">
        <v>2</v>
      </c>
      <c r="O290" s="6" t="n">
        <v>5</v>
      </c>
      <c r="P290" s="6" t="n">
        <v>10684</v>
      </c>
      <c r="Q290" s="6" t="n">
        <v>1.25</v>
      </c>
      <c r="R290">
        <f>M290+IF(N290&gt;1,N(O290)*(N290-1),0)</f>
        <v/>
      </c>
      <c r="S290">
        <f>IFERROR(L290*MAX(N290,1)/R290*IF(ISBLANK(K289),1,K289),0)</f>
        <v/>
      </c>
      <c r="AB290" s="7" t="inlineStr">
        <is>
          <t>^Warhead_MissileAP_Heavy</t>
        </is>
      </c>
    </row>
    <row r="291">
      <c r="A291" t="inlineStr">
        <is>
          <t>d2k</t>
        </is>
      </c>
      <c r="B291" t="inlineStr">
        <is>
          <t>ixian_stormlasher</t>
        </is>
      </c>
      <c r="C291" t="inlineStr">
        <is>
          <t>Storm Lasher</t>
        </is>
      </c>
      <c r="D291" s="6" t="inlineStr">
        <is>
          <t>AdvancedDefense</t>
        </is>
      </c>
      <c r="E291" s="6" t="n">
        <v>200000</v>
      </c>
      <c r="F291" s="6" t="n"/>
      <c r="G291" t="inlineStr">
        <is>
          <t>Concrete</t>
        </is>
      </c>
      <c r="H291" s="6" t="n">
        <v>1</v>
      </c>
      <c r="I291" s="6" t="n">
        <v>0.325</v>
      </c>
      <c r="J291" s="6" t="n">
        <v>1.25</v>
      </c>
      <c r="K291" s="6" t="n"/>
      <c r="X291" s="6" t="n">
        <v>5000</v>
      </c>
    </row>
    <row r="292">
      <c r="B292" s="7" t="inlineStr">
        <is>
          <t xml:space="preserve">  ↳ d2kStormLasher</t>
        </is>
      </c>
      <c r="C292" s="7" t="inlineStr">
        <is>
          <t>Armament</t>
        </is>
      </c>
      <c r="L292" s="6" t="n">
        <v>300000</v>
      </c>
      <c r="M292" s="6" t="n">
        <v>250</v>
      </c>
      <c r="N292" s="6" t="n">
        <v>1</v>
      </c>
      <c r="O292" s="6" t="n"/>
      <c r="P292" s="6" t="n">
        <v>11384</v>
      </c>
      <c r="Q292" s="6" t="n">
        <v>1.25</v>
      </c>
      <c r="R292">
        <f>M292+IF(N292&gt;1,N(O292)*(N292-1),0)</f>
        <v/>
      </c>
      <c r="S292">
        <f>IFERROR(L292*MAX(N292,1)/R292*IF(ISBLANK(K291),1,K291),0)</f>
        <v/>
      </c>
      <c r="AB292" s="7" t="inlineStr">
        <is>
          <t>^Warhead_Storm_Heavy</t>
        </is>
      </c>
    </row>
    <row r="293">
      <c r="A293" t="inlineStr">
        <is>
          <t>d2k</t>
        </is>
      </c>
      <c r="B293" t="inlineStr">
        <is>
          <t>harkonnen_autogunturret</t>
        </is>
      </c>
      <c r="C293" t="inlineStr">
        <is>
          <t>Harkonnen Autogun Turret</t>
        </is>
      </c>
      <c r="D293" s="6" t="inlineStr">
        <is>
          <t>AdvancedDefense</t>
        </is>
      </c>
      <c r="E293" s="6" t="n">
        <v>75000</v>
      </c>
      <c r="F293" s="6" t="n"/>
      <c r="G293" t="inlineStr">
        <is>
          <t>Concrete</t>
        </is>
      </c>
      <c r="H293" s="6" t="n">
        <v>1</v>
      </c>
      <c r="I293" s="6" t="n">
        <v>1</v>
      </c>
      <c r="J293" s="6" t="n">
        <v>1</v>
      </c>
      <c r="K293" s="6" t="n"/>
      <c r="X293" s="6" t="n">
        <v>1100</v>
      </c>
    </row>
    <row r="294">
      <c r="B294" s="7" t="inlineStr">
        <is>
          <t xml:space="preserve">  ↳ harkonnen_autogunturret</t>
        </is>
      </c>
      <c r="C294" s="7" t="inlineStr">
        <is>
          <t>Armament</t>
        </is>
      </c>
      <c r="L294" s="6" t="n">
        <v>6000</v>
      </c>
      <c r="M294" s="6" t="n">
        <v>132</v>
      </c>
      <c r="N294" s="6" t="n">
        <v>26</v>
      </c>
      <c r="O294" s="6" t="n">
        <v>2</v>
      </c>
      <c r="P294" s="6" t="n">
        <v>7700</v>
      </c>
      <c r="Q294" s="6" t="n">
        <v>1</v>
      </c>
      <c r="R294">
        <f>M294+IF(N294&gt;1,N(O294)*(N294-1),0)</f>
        <v/>
      </c>
      <c r="S294">
        <f>IFERROR(L294*MAX(N294,1)/R294*IF(ISBLANK(K293),1,K293),0)</f>
        <v/>
      </c>
      <c r="AB294" s="7" t="inlineStr">
        <is>
          <t>^Warhead_Bullet_Light, ^Warhead_Bullet_Medium, ^Warhead_CannonHE_Heavy</t>
        </is>
      </c>
    </row>
    <row r="295">
      <c r="A295" t="inlineStr">
        <is>
          <t>d2k</t>
        </is>
      </c>
      <c r="B295" t="inlineStr">
        <is>
          <t>harkonnen_rocketturret</t>
        </is>
      </c>
      <c r="C295" t="inlineStr">
        <is>
          <t>Harkonnen Rocket Turret</t>
        </is>
      </c>
      <c r="D295" s="6" t="inlineStr">
        <is>
          <t>AdvancedDefense</t>
        </is>
      </c>
      <c r="E295" s="6" t="n">
        <v>150000</v>
      </c>
      <c r="F295" s="6" t="n"/>
      <c r="G295" t="inlineStr">
        <is>
          <t>Concrete</t>
        </is>
      </c>
      <c r="H295" s="6" t="n">
        <v>1</v>
      </c>
      <c r="I295" s="6" t="n">
        <v>1</v>
      </c>
      <c r="J295" s="6" t="n">
        <v>1</v>
      </c>
      <c r="K295" s="6" t="n"/>
      <c r="X295" s="6" t="n">
        <v>1500</v>
      </c>
    </row>
    <row r="296">
      <c r="B296" s="7" t="inlineStr">
        <is>
          <t xml:space="preserve">  ↳ D2K_TowerMissile</t>
        </is>
      </c>
      <c r="C296" s="7" t="inlineStr">
        <is>
          <t>Armament@PRIMARY</t>
        </is>
      </c>
      <c r="L296" s="6" t="n">
        <v>16000</v>
      </c>
      <c r="M296" s="6" t="n">
        <v>42</v>
      </c>
      <c r="N296" s="6" t="n">
        <v>2</v>
      </c>
      <c r="O296" s="6" t="n">
        <v>5</v>
      </c>
      <c r="P296" s="6" t="n">
        <v>10684</v>
      </c>
      <c r="Q296" s="6" t="n">
        <v>1.25</v>
      </c>
      <c r="R296">
        <f>M296+IF(N296&gt;1,N(O296)*(N296-1),0)</f>
        <v/>
      </c>
      <c r="S296">
        <f>IFERROR(L296*MAX(N296,1)/R296*IF(ISBLANK(K295),1,K295),0)</f>
        <v/>
      </c>
      <c r="AB296" s="7" t="inlineStr">
        <is>
          <t>^Warhead_MissileAP_Heavy</t>
        </is>
      </c>
    </row>
    <row r="297">
      <c r="A297" t="inlineStr">
        <is>
          <t>starcraft</t>
        </is>
      </c>
      <c r="B297" t="inlineStr">
        <is>
          <t>terran_sentinel</t>
        </is>
      </c>
      <c r="C297" t="inlineStr">
        <is>
          <t>Sentinel</t>
        </is>
      </c>
      <c r="D297" s="6" t="inlineStr">
        <is>
          <t>AdvancedDefense</t>
        </is>
      </c>
      <c r="E297" s="6" t="n">
        <v>160000</v>
      </c>
      <c r="F297" s="6" t="n">
        <v>100</v>
      </c>
      <c r="G297" t="inlineStr">
        <is>
          <t>Steel</t>
        </is>
      </c>
      <c r="H297" s="6" t="n">
        <v>1</v>
      </c>
      <c r="I297" s="6" t="n">
        <v>1</v>
      </c>
      <c r="J297" s="6" t="n">
        <v>1</v>
      </c>
      <c r="K297" s="6" t="n"/>
      <c r="P297">
        <f>MAX(P298)</f>
        <v/>
      </c>
      <c r="S297">
        <f>S298</f>
        <v/>
      </c>
      <c r="T297">
        <f>(E297/100000+F297/100+(P297/1000)*J297/5+S297/200)*200*I297*H297</f>
        <v/>
      </c>
      <c r="U297">
        <f>((E297*F297/25000)+((P297/1000)*J297*S297/2.5))*I297*H297</f>
        <v/>
      </c>
      <c r="V297">
        <f>(E297*F297*(P297/1000)*J297*S297*I297*H297)/12500000</f>
        <v/>
      </c>
      <c r="W297">
        <f>(T297+U297+V297)/3</f>
        <v/>
      </c>
      <c r="X297" s="6" t="n">
        <v>800</v>
      </c>
      <c r="Y297">
        <f>IFERROR(W297-X297,"")</f>
        <v/>
      </c>
      <c r="Z297">
        <f>IFERROR(ABS(Y297)/MAX(X297,1),"")</f>
        <v/>
      </c>
      <c r="AA297">
        <f>IFERROR((X297-(((E297/100000+F297/100+S297/200)*200*I297*H297)+((E297*F297/25000)*I297*H297))/3)/(((J297/5)*200*I297*H297)+((J297*S297/2.5)*I297*H297)+((E297*F297*J297*S297*I297*H297)/12500000))/3*1000,"")</f>
        <v/>
      </c>
    </row>
    <row r="298">
      <c r="B298" s="7" t="inlineStr">
        <is>
          <t xml:space="preserve">  ↳ NaxLaserT</t>
        </is>
      </c>
      <c r="C298" s="7" t="inlineStr">
        <is>
          <t>Armament</t>
        </is>
      </c>
      <c r="L298" s="6" t="n">
        <v>8000</v>
      </c>
      <c r="M298" s="6" t="n">
        <v>20</v>
      </c>
      <c r="N298" s="6" t="n">
        <v>1</v>
      </c>
      <c r="O298" s="6" t="n"/>
      <c r="P298" s="6" t="n">
        <v>8181</v>
      </c>
      <c r="Q298" s="6" t="n">
        <v>1</v>
      </c>
      <c r="R298">
        <f>M298+IF(N298&gt;1,N(O298)*(N298-1),0)</f>
        <v/>
      </c>
      <c r="S298">
        <f>IFERROR(L298*MAX(N298,1)/R298*IF(ISBLANK(K297),1,K297),0)</f>
        <v/>
      </c>
      <c r="AB298" s="7" t="inlineStr">
        <is>
          <t>^SmallArms, ^Chaingun, ^MediumMissile, ^LaserWeapon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9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Ship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LST</t>
        </is>
      </c>
      <c r="C3" t="inlineStr">
        <is>
          <t>Landing Craft</t>
        </is>
      </c>
      <c r="D3" s="6" t="inlineStr">
        <is>
          <t>Ship</t>
        </is>
      </c>
      <c r="E3" s="6" t="n">
        <v>75000</v>
      </c>
      <c r="F3" s="6" t="n">
        <v>125</v>
      </c>
      <c r="G3" t="inlineStr">
        <is>
          <t>Medium</t>
        </is>
      </c>
      <c r="H3" s="6" t="n">
        <v>0.8048999999999999</v>
      </c>
      <c r="I3" s="6" t="n">
        <v>1</v>
      </c>
      <c r="J3" s="6" t="n">
        <v>1</v>
      </c>
      <c r="K3" s="6" t="n"/>
      <c r="X3" s="6" t="n">
        <v>500</v>
      </c>
    </row>
    <row r="4">
      <c r="A4" t="inlineStr">
        <is>
          <t>tiberiandawn</t>
        </is>
      </c>
      <c r="B4" t="inlineStr">
        <is>
          <t>CNCRSS</t>
        </is>
      </c>
      <c r="C4" t="inlineStr">
        <is>
          <t>Transport Submarine</t>
        </is>
      </c>
      <c r="D4" s="6" t="inlineStr">
        <is>
          <t>Ship</t>
        </is>
      </c>
      <c r="E4" s="6" t="n">
        <v>50000</v>
      </c>
      <c r="F4" s="6" t="n">
        <v>150</v>
      </c>
      <c r="G4" t="inlineStr">
        <is>
          <t>Light</t>
        </is>
      </c>
      <c r="H4" s="6" t="n">
        <v>1</v>
      </c>
      <c r="I4" s="6" t="n">
        <v>1</v>
      </c>
      <c r="J4" s="6" t="n">
        <v>1</v>
      </c>
      <c r="K4" s="6" t="n"/>
      <c r="X4" s="6" t="n">
        <v>500</v>
      </c>
    </row>
    <row r="5">
      <c r="A5" t="inlineStr">
        <is>
          <t>shared</t>
        </is>
      </c>
      <c r="B5" t="inlineStr">
        <is>
          <t>ra1_navaltransport</t>
        </is>
      </c>
      <c r="C5" t="inlineStr">
        <is>
          <t>Naval Transport</t>
        </is>
      </c>
      <c r="D5" s="6" t="inlineStr">
        <is>
          <t>Ship</t>
        </is>
      </c>
      <c r="E5" s="6" t="n">
        <v>100000</v>
      </c>
      <c r="F5" s="6" t="n">
        <v>100</v>
      </c>
      <c r="G5" t="inlineStr">
        <is>
          <t>Heavy</t>
        </is>
      </c>
      <c r="H5" s="6" t="n">
        <v>1</v>
      </c>
      <c r="I5" s="6" t="n">
        <v>1</v>
      </c>
      <c r="J5" s="6" t="n">
        <v>1</v>
      </c>
      <c r="K5" s="6" t="n"/>
      <c r="X5" s="6" t="n">
        <v>500</v>
      </c>
    </row>
    <row r="6">
      <c r="A6" t="inlineStr">
        <is>
          <t>tiberiansun</t>
        </is>
      </c>
      <c r="B6" t="inlineStr">
        <is>
          <t>cabal_lcraft</t>
        </is>
      </c>
      <c r="C6" t="inlineStr">
        <is>
          <t>Landing Craft</t>
        </is>
      </c>
      <c r="D6" s="6" t="inlineStr">
        <is>
          <t>Ship</t>
        </is>
      </c>
      <c r="E6" s="6" t="n">
        <v>100000</v>
      </c>
      <c r="F6" s="6" t="n">
        <v>60</v>
      </c>
      <c r="G6" t="inlineStr">
        <is>
          <t>Heavy</t>
        </is>
      </c>
      <c r="H6" s="6" t="n">
        <v>1</v>
      </c>
      <c r="I6" s="6" t="n">
        <v>1</v>
      </c>
      <c r="J6" s="6" t="n">
        <v>1</v>
      </c>
      <c r="K6" s="6" t="n"/>
      <c r="X6" s="6" t="n">
        <v>1200</v>
      </c>
    </row>
    <row r="7">
      <c r="A7" t="inlineStr">
        <is>
          <t>tiberiansun</t>
        </is>
      </c>
      <c r="B7" t="inlineStr">
        <is>
          <t>ts_nod_hover</t>
        </is>
      </c>
      <c r="C7" t="inlineStr">
        <is>
          <t>Transport Hovercraft</t>
        </is>
      </c>
      <c r="D7" s="6" t="inlineStr">
        <is>
          <t>Ship</t>
        </is>
      </c>
      <c r="E7" s="6" t="n">
        <v>100000</v>
      </c>
      <c r="F7" s="6" t="n">
        <v>60</v>
      </c>
      <c r="G7" t="inlineStr">
        <is>
          <t>Heavy</t>
        </is>
      </c>
      <c r="H7" s="6" t="n">
        <v>1</v>
      </c>
      <c r="I7" s="6" t="n">
        <v>1</v>
      </c>
      <c r="J7" s="6" t="n">
        <v>1</v>
      </c>
      <c r="K7" s="6" t="n"/>
      <c r="X7" s="6" t="n">
        <v>1200</v>
      </c>
    </row>
    <row r="8">
      <c r="A8" t="inlineStr">
        <is>
          <t>tiberiansun</t>
        </is>
      </c>
      <c r="B8" t="inlineStr">
        <is>
          <t>ts_gdi_hover</t>
        </is>
      </c>
      <c r="C8" t="inlineStr">
        <is>
          <t>Transport Hovercraft</t>
        </is>
      </c>
      <c r="D8" s="6" t="inlineStr">
        <is>
          <t>Ship</t>
        </is>
      </c>
      <c r="E8" s="6" t="n">
        <v>100000</v>
      </c>
      <c r="F8" s="6" t="n">
        <v>60</v>
      </c>
      <c r="G8" t="inlineStr">
        <is>
          <t>Heavy</t>
        </is>
      </c>
      <c r="H8" s="6" t="n">
        <v>1</v>
      </c>
      <c r="I8" s="6" t="n">
        <v>1</v>
      </c>
      <c r="J8" s="6" t="n">
        <v>1</v>
      </c>
      <c r="K8" s="6" t="n"/>
      <c r="X8" s="6" t="n">
        <v>1200</v>
      </c>
    </row>
    <row r="9">
      <c r="A9" s="4" t="inlineStr">
        <is>
          <t>ScoutShip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</row>
    <row r="10">
      <c r="A10" t="inlineStr">
        <is>
          <t>tiberiandawn</t>
        </is>
      </c>
      <c r="B10" t="inlineStr">
        <is>
          <t>CNCPT</t>
        </is>
      </c>
      <c r="C10" t="inlineStr">
        <is>
          <t>Missile Boat</t>
        </is>
      </c>
      <c r="D10" s="6" t="inlineStr">
        <is>
          <t>ScoutShip</t>
        </is>
      </c>
      <c r="E10" s="6" t="n">
        <v>75000</v>
      </c>
      <c r="F10" s="6" t="n">
        <v>100</v>
      </c>
      <c r="G10" t="inlineStr">
        <is>
          <t>Heavy</t>
        </is>
      </c>
      <c r="H10" s="6" t="n">
        <v>0.8048999999999999</v>
      </c>
      <c r="I10" s="6" t="n">
        <v>1</v>
      </c>
      <c r="J10" s="6" t="n">
        <v>1</v>
      </c>
      <c r="K10" s="6" t="n"/>
      <c r="P10">
        <f>MAX(P11,P12,P13,P14)</f>
        <v/>
      </c>
      <c r="S10">
        <f>S11+S12+S13+S14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1600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GunboatMissile</t>
        </is>
      </c>
      <c r="C11" s="7" t="inlineStr">
        <is>
          <t>Armament@Ground</t>
        </is>
      </c>
      <c r="L11" s="6" t="n">
        <v>18000</v>
      </c>
      <c r="M11" s="6" t="n">
        <v>33</v>
      </c>
      <c r="N11" s="6" t="n">
        <v>2</v>
      </c>
      <c r="O11" s="6" t="n">
        <v>11</v>
      </c>
      <c r="P11" s="6" t="n">
        <v>6666</v>
      </c>
      <c r="Q11" s="6" t="n">
        <v>1</v>
      </c>
      <c r="R11">
        <f>M11+IF(N11&gt;1,N(O11)*(N11-1),0)</f>
        <v/>
      </c>
      <c r="S11">
        <f>IFERROR(L11*MAX(N11,1)/R11*IF(ISBLANK(K10),1,K10),0)</f>
        <v/>
      </c>
      <c r="AB11" s="7" t="inlineStr">
        <is>
          <t>^Warhead_MissileAP_Medium</t>
        </is>
      </c>
    </row>
    <row r="12">
      <c r="B12" s="7" t="inlineStr">
        <is>
          <t xml:space="preserve">  ↳ GunboatMissileAMT</t>
        </is>
      </c>
      <c r="C12" s="7" t="inlineStr">
        <is>
          <t>Armament@AdvancedMissileTargeting</t>
        </is>
      </c>
      <c r="L12" s="6" t="n">
        <v>18000</v>
      </c>
      <c r="M12" s="6" t="n">
        <v>33</v>
      </c>
      <c r="N12" s="6" t="n">
        <v>2</v>
      </c>
      <c r="O12" s="6" t="n">
        <v>11</v>
      </c>
      <c r="P12" s="6" t="n">
        <v>6666</v>
      </c>
      <c r="Q12" s="6" t="n">
        <v>1</v>
      </c>
      <c r="R12">
        <f>M12+IF(N12&gt;1,N(O12)*(N12-1),0)</f>
        <v/>
      </c>
      <c r="S12">
        <f>IFERROR(L12*MAX(N12,1)/R12*IF(ISBLANK(K10),1,K10),0)</f>
        <v/>
      </c>
      <c r="AB12" s="7" t="inlineStr">
        <is>
          <t>^Warhead_MissileAP_Medium</t>
        </is>
      </c>
    </row>
    <row r="13">
      <c r="B13" s="7" t="inlineStr">
        <is>
          <t xml:space="preserve">  ↳ DepthCharge</t>
        </is>
      </c>
      <c r="C13" s="7" t="inlineStr">
        <is>
          <t>Armament@DC1</t>
        </is>
      </c>
      <c r="L13" s="6" t="n">
        <v>60000</v>
      </c>
      <c r="M13" s="6" t="n">
        <v>60</v>
      </c>
      <c r="N13" s="6" t="n">
        <v>1</v>
      </c>
      <c r="O13" s="6" t="n"/>
      <c r="P13" s="6" t="n">
        <v>6000</v>
      </c>
      <c r="Q13" s="6" t="n">
        <v>0.75</v>
      </c>
      <c r="R13">
        <f>M13+IF(N13&gt;1,N(O13)*(N13-1),0)</f>
        <v/>
      </c>
      <c r="S13">
        <f>IFERROR(L13*MAX(N13,1)/R13*IF(ISBLANK(K10),1,K10),0)</f>
        <v/>
      </c>
      <c r="AB13" s="7" t="inlineStr">
        <is>
          <t>^Warhead_Demolition_Light</t>
        </is>
      </c>
    </row>
    <row r="14">
      <c r="B14" s="7" t="inlineStr">
        <is>
          <t xml:space="preserve">  ↳ DepthCharge</t>
        </is>
      </c>
      <c r="C14" s="7" t="inlineStr">
        <is>
          <t>Armament@DC2</t>
        </is>
      </c>
      <c r="L14" s="6" t="n">
        <v>60000</v>
      </c>
      <c r="M14" s="6" t="n">
        <v>60</v>
      </c>
      <c r="N14" s="6" t="n">
        <v>1</v>
      </c>
      <c r="O14" s="6" t="n"/>
      <c r="P14" s="6" t="n">
        <v>6000</v>
      </c>
      <c r="Q14" s="6" t="n">
        <v>0.75</v>
      </c>
      <c r="R14">
        <f>M14+IF(N14&gt;1,N(O14)*(N14-1),0)</f>
        <v/>
      </c>
      <c r="S14">
        <f>IFERROR(L14*MAX(N14,1)/R14*IF(ISBLANK(K10),1,K10),0)</f>
        <v/>
      </c>
      <c r="AB14" s="7" t="inlineStr">
        <is>
          <t>^Warhead_Demolition_Light</t>
        </is>
      </c>
    </row>
    <row r="15">
      <c r="A15" t="inlineStr">
        <is>
          <t>tiberiandawn</t>
        </is>
      </c>
      <c r="B15" t="inlineStr">
        <is>
          <t>CNCSS</t>
        </is>
      </c>
      <c r="C15" t="inlineStr">
        <is>
          <t>Nod Attack Submarine</t>
        </is>
      </c>
      <c r="D15" s="6" t="inlineStr">
        <is>
          <t>ScoutShip</t>
        </is>
      </c>
      <c r="E15" s="6" t="n">
        <v>160000</v>
      </c>
      <c r="F15" s="6" t="n">
        <v>80</v>
      </c>
      <c r="G15" t="inlineStr">
        <is>
          <t>Heavy</t>
        </is>
      </c>
      <c r="H15" s="6" t="n">
        <v>1</v>
      </c>
      <c r="I15" s="6" t="n">
        <v>1</v>
      </c>
      <c r="J15" s="6" t="n">
        <v>1</v>
      </c>
      <c r="K15" s="6" t="n"/>
      <c r="P15">
        <f>MAX(P16,P17)</f>
        <v/>
      </c>
      <c r="S15">
        <f>S16+S17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1600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NodTorpTube</t>
        </is>
      </c>
      <c r="C16" s="7" t="inlineStr">
        <is>
          <t>Armament@PRIMARY</t>
        </is>
      </c>
      <c r="L16" s="6" t="n">
        <v>16000</v>
      </c>
      <c r="M16" s="6" t="n">
        <v>64</v>
      </c>
      <c r="N16" s="6" t="n">
        <v>2</v>
      </c>
      <c r="O16" s="6" t="n">
        <v>8</v>
      </c>
      <c r="P16" s="6" t="n">
        <v>8000</v>
      </c>
      <c r="Q16" s="6" t="n">
        <v>1</v>
      </c>
      <c r="R16">
        <f>M16+IF(N16&gt;1,N(O16)*(N16-1),0)</f>
        <v/>
      </c>
      <c r="S16">
        <f>IFERROR(L16*MAX(N16,1)/R16*IF(ISBLANK(K15),1,K15),0)</f>
        <v/>
      </c>
      <c r="AB16" s="7" t="inlineStr">
        <is>
          <t>^Warhead_Concussion_Light, ^Warhead_MissileHE_Heavy</t>
        </is>
      </c>
    </row>
    <row r="17">
      <c r="B17" s="7" t="inlineStr">
        <is>
          <t xml:space="preserve">  ↳ NodTorpTubeBlackMarket</t>
        </is>
      </c>
      <c r="C17" s="7" t="inlineStr">
        <is>
          <t>Armament@Upgrade</t>
        </is>
      </c>
      <c r="L17" s="6" t="n">
        <v>16000</v>
      </c>
      <c r="M17" s="6" t="n">
        <v>64</v>
      </c>
      <c r="N17" s="6" t="n">
        <v>2</v>
      </c>
      <c r="O17" s="6" t="n">
        <v>8</v>
      </c>
      <c r="P17" s="6" t="n">
        <v>8000</v>
      </c>
      <c r="Q17" s="6" t="n">
        <v>1.25</v>
      </c>
      <c r="R17">
        <f>M17+IF(N17&gt;1,N(O17)*(N17-1),0)</f>
        <v/>
      </c>
      <c r="S17">
        <f>IFERROR(L17*MAX(N17,1)/R17*IF(ISBLANK(K15),1,K15),0)</f>
        <v/>
      </c>
      <c r="AB17" s="7" t="inlineStr">
        <is>
          <t>^Warhead_Demolition_Heavy, ^Warhead_MissileHE_Heavy</t>
        </is>
      </c>
    </row>
    <row r="18">
      <c r="A18" t="inlineStr">
        <is>
          <t>shared</t>
        </is>
      </c>
      <c r="B18" t="inlineStr">
        <is>
          <t>japan_japanesespeedboat</t>
        </is>
      </c>
      <c r="C18" t="inlineStr">
        <is>
          <t>Japanese Speedboat</t>
        </is>
      </c>
      <c r="D18" s="6" t="inlineStr">
        <is>
          <t>ScoutShip</t>
        </is>
      </c>
      <c r="E18" s="6" t="n">
        <v>40000</v>
      </c>
      <c r="F18" s="6" t="n">
        <v>140</v>
      </c>
      <c r="G18" t="inlineStr">
        <is>
          <t>Light</t>
        </is>
      </c>
      <c r="H18" s="6" t="n">
        <v>1</v>
      </c>
      <c r="I18" s="6" t="n">
        <v>1</v>
      </c>
      <c r="J18" s="6" t="n">
        <v>1</v>
      </c>
      <c r="K18" s="6" t="n"/>
      <c r="P18">
        <f>MAX(P19,P20,P21,P22)</f>
        <v/>
      </c>
      <c r="S18">
        <f>S19+S20+S21+S22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1200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JapanSpeedBoatGun</t>
        </is>
      </c>
      <c r="C19" s="7" t="inlineStr">
        <is>
          <t>Armament@AG</t>
        </is>
      </c>
      <c r="L19" s="6" t="n">
        <v>4000</v>
      </c>
      <c r="M19" s="6" t="n">
        <v>4</v>
      </c>
      <c r="N19" s="6" t="n">
        <v>1</v>
      </c>
      <c r="O19" s="6" t="n"/>
      <c r="P19" s="6" t="n">
        <v>5750</v>
      </c>
      <c r="Q19" s="6" t="n">
        <v>0.875</v>
      </c>
      <c r="R19">
        <f>M19+IF(N19&gt;1,N(O19)*(N19-1),0)</f>
        <v/>
      </c>
      <c r="S19">
        <f>IFERROR(L19*MAX(N19,1)/R19*IF(ISBLANK(K18),1,K18),0)</f>
        <v/>
      </c>
      <c r="AB19" s="7" t="inlineStr">
        <is>
          <t>^Warhead_Bullet_Light, ^Warhead_Bullet_Medium</t>
        </is>
      </c>
    </row>
    <row r="20">
      <c r="B20" s="7" t="inlineStr">
        <is>
          <t xml:space="preserve">  ↳ JapanSpeedBoatGunWaveforce</t>
        </is>
      </c>
      <c r="C20" s="7" t="inlineStr">
        <is>
          <t>Armament@Upgrade</t>
        </is>
      </c>
      <c r="L20" s="6" t="n">
        <v>6000</v>
      </c>
      <c r="M20" s="6" t="n">
        <v>4</v>
      </c>
      <c r="N20" s="6" t="n">
        <v>1</v>
      </c>
      <c r="O20" s="6" t="n"/>
      <c r="P20" s="6" t="n">
        <v>5750</v>
      </c>
      <c r="Q20" s="6" t="n">
        <v>1</v>
      </c>
      <c r="R20">
        <f>M20+IF(N20&gt;1,N(O20)*(N20-1),0)</f>
        <v/>
      </c>
      <c r="S20">
        <f>IFERROR(L20*MAX(N20,1)/R20*IF(ISBLANK(K18),1,K18),0)</f>
        <v/>
      </c>
      <c r="AB20" s="7" t="inlineStr">
        <is>
          <t>^Warhead_Railgun_Heavy, ^Warhead_Bullet_Light, ^Warhead_Bullet_Medium</t>
        </is>
      </c>
    </row>
    <row r="21">
      <c r="B21" s="7" t="inlineStr">
        <is>
          <t xml:space="preserve">  ↳ DepthCharge</t>
        </is>
      </c>
      <c r="C21" s="7" t="inlineStr">
        <is>
          <t>Armament@DC1</t>
        </is>
      </c>
      <c r="L21" s="6" t="n">
        <v>60000</v>
      </c>
      <c r="M21" s="6" t="n">
        <v>60</v>
      </c>
      <c r="N21" s="6" t="n">
        <v>1</v>
      </c>
      <c r="O21" s="6" t="n"/>
      <c r="P21" s="6" t="n">
        <v>6000</v>
      </c>
      <c r="Q21" s="6" t="n">
        <v>0.75</v>
      </c>
      <c r="R21">
        <f>M21+IF(N21&gt;1,N(O21)*(N21-1),0)</f>
        <v/>
      </c>
      <c r="S21">
        <f>IFERROR(L21*MAX(N21,1)/R21*IF(ISBLANK(K18),1,K18),0)</f>
        <v/>
      </c>
      <c r="AB21" s="7" t="inlineStr">
        <is>
          <t>^Warhead_Demolition_Light</t>
        </is>
      </c>
    </row>
    <row r="22">
      <c r="B22" s="7" t="inlineStr">
        <is>
          <t xml:space="preserve">  ↳ DepthCharge</t>
        </is>
      </c>
      <c r="C22" s="7" t="inlineStr">
        <is>
          <t>Armament@DC2</t>
        </is>
      </c>
      <c r="L22" s="6" t="n">
        <v>60000</v>
      </c>
      <c r="M22" s="6" t="n">
        <v>60</v>
      </c>
      <c r="N22" s="6" t="n">
        <v>1</v>
      </c>
      <c r="O22" s="6" t="n"/>
      <c r="P22" s="6" t="n">
        <v>6000</v>
      </c>
      <c r="Q22" s="6" t="n">
        <v>0.75</v>
      </c>
      <c r="R22">
        <f>M22+IF(N22&gt;1,N(O22)*(N22-1),0)</f>
        <v/>
      </c>
      <c r="S22">
        <f>IFERROR(L22*MAX(N22,1)/R22*IF(ISBLANK(K18),1,K18),0)</f>
        <v/>
      </c>
      <c r="AB22" s="7" t="inlineStr">
        <is>
          <t>^Warhead_Demolition_Light</t>
        </is>
      </c>
    </row>
    <row r="23">
      <c r="A23" t="inlineStr">
        <is>
          <t>shared</t>
        </is>
      </c>
      <c r="B23" t="inlineStr">
        <is>
          <t>ra1_allies_gunboat</t>
        </is>
      </c>
      <c r="C23" t="inlineStr">
        <is>
          <t>Gunboat</t>
        </is>
      </c>
      <c r="D23" s="6" t="inlineStr">
        <is>
          <t>ScoutShip</t>
        </is>
      </c>
      <c r="E23" s="6" t="n">
        <v>60000</v>
      </c>
      <c r="F23" s="6" t="n">
        <v>120</v>
      </c>
      <c r="G23" t="inlineStr">
        <is>
          <t>Medium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1300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2Inch</t>
        </is>
      </c>
      <c r="C24" s="7" t="inlineStr">
        <is>
          <t>Armament@PRIMARY</t>
        </is>
      </c>
      <c r="L24" s="6" t="n">
        <v>30000</v>
      </c>
      <c r="M24" s="6" t="n">
        <v>30</v>
      </c>
      <c r="N24" s="6" t="n">
        <v>1</v>
      </c>
      <c r="O24" s="6" t="n"/>
      <c r="P24" s="6" t="n">
        <v>6000</v>
      </c>
      <c r="Q24" s="6" t="n">
        <v>0.75</v>
      </c>
      <c r="R24">
        <f>M24+IF(N24&gt;1,N(O24)*(N24-1),0)</f>
        <v/>
      </c>
      <c r="S24">
        <f>IFERROR(L24*MAX(N24,1)/R24*IF(ISBLANK(K23),1,K23),0)</f>
        <v/>
      </c>
      <c r="AB24" s="7" t="inlineStr">
        <is>
          <t>^Warhead_CannonAP_Light</t>
        </is>
      </c>
    </row>
    <row r="25">
      <c r="B25" s="7" t="inlineStr">
        <is>
          <t xml:space="preserve">  ↳ DepthCharge</t>
        </is>
      </c>
      <c r="C25" s="7" t="inlineStr">
        <is>
          <t>Armament@SECONDARY</t>
        </is>
      </c>
      <c r="L25" s="6" t="n">
        <v>60000</v>
      </c>
      <c r="M25" s="6" t="n">
        <v>60</v>
      </c>
      <c r="N25" s="6" t="n">
        <v>1</v>
      </c>
      <c r="O25" s="6" t="n"/>
      <c r="P25" s="6" t="n">
        <v>6000</v>
      </c>
      <c r="Q25" s="6" t="n">
        <v>0.75</v>
      </c>
      <c r="R25">
        <f>M25+IF(N25&gt;1,N(O25)*(N25-1),0)</f>
        <v/>
      </c>
      <c r="S25">
        <f>IFERROR(L25*MAX(N25,1)/R25*IF(ISBLANK(K23),1,K23),0)</f>
        <v/>
      </c>
      <c r="AB25" s="7" t="inlineStr">
        <is>
          <t>^Warhead_Demolition_Light</t>
        </is>
      </c>
    </row>
    <row r="26">
      <c r="A26" t="inlineStr">
        <is>
          <t>shared</t>
        </is>
      </c>
      <c r="B26" t="inlineStr">
        <is>
          <t>ra1_soviets_submarine</t>
        </is>
      </c>
      <c r="C26" t="inlineStr">
        <is>
          <t>Soviet Submarine</t>
        </is>
      </c>
      <c r="D26" s="6" t="inlineStr">
        <is>
          <t>ScoutShip</t>
        </is>
      </c>
      <c r="E26" s="6" t="n">
        <v>100000</v>
      </c>
      <c r="F26" s="6" t="n">
        <v>75</v>
      </c>
      <c r="G26" t="inlineStr">
        <is>
          <t>Heavy</t>
        </is>
      </c>
      <c r="H26" s="6" t="n">
        <v>1</v>
      </c>
      <c r="I26" s="6" t="n">
        <v>1</v>
      </c>
      <c r="J26" s="6" t="n">
        <v>1</v>
      </c>
      <c r="K26" s="6" t="n"/>
      <c r="P26">
        <f>MAX(P27,P28)</f>
        <v/>
      </c>
      <c r="S26">
        <f>S27+S28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1000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TorpTube</t>
        </is>
      </c>
      <c r="C27" s="7" t="inlineStr">
        <is>
          <t>Armament@PRIMARY</t>
        </is>
      </c>
      <c r="L27" s="6" t="n">
        <v>32000</v>
      </c>
      <c r="M27" s="6" t="n">
        <v>100</v>
      </c>
      <c r="N27" s="6" t="n">
        <v>1</v>
      </c>
      <c r="O27" s="6" t="n"/>
      <c r="P27" s="6" t="n">
        <v>10000</v>
      </c>
      <c r="Q27" s="6" t="n">
        <v>1</v>
      </c>
      <c r="R27">
        <f>M27+IF(N27&gt;1,N(O27)*(N27-1),0)</f>
        <v/>
      </c>
      <c r="S27">
        <f>IFERROR(L27*MAX(N27,1)/R27*IF(ISBLANK(K26),1,K26),0)</f>
        <v/>
      </c>
      <c r="AB27" s="7" t="inlineStr">
        <is>
          <t>^Warhead_Concussion_Light, ^Warhead_MissileHE_Heavy</t>
        </is>
      </c>
    </row>
    <row r="28">
      <c r="B28" s="7" t="inlineStr">
        <is>
          <t xml:space="preserve">  ↳ TorpTubeThermobaric</t>
        </is>
      </c>
      <c r="C28" s="7" t="inlineStr">
        <is>
          <t>Armament@Upgrade</t>
        </is>
      </c>
      <c r="L28" s="6" t="n">
        <v>32000</v>
      </c>
      <c r="M28" s="6" t="n">
        <v>100</v>
      </c>
      <c r="N28" s="6" t="n">
        <v>1</v>
      </c>
      <c r="O28" s="6" t="n"/>
      <c r="P28" s="6" t="n">
        <v>10000</v>
      </c>
      <c r="Q28" s="6" t="n">
        <v>1</v>
      </c>
      <c r="R28">
        <f>M28+IF(N28&gt;1,N(O28)*(N28-1),0)</f>
        <v/>
      </c>
      <c r="S28">
        <f>IFERROR(L28*MAX(N28,1)/R28*IF(ISBLANK(K26),1,K26),0)</f>
        <v/>
      </c>
      <c r="AB28" s="7" t="inlineStr">
        <is>
          <t>^NuclearWarhead, ^HeavyMissile</t>
        </is>
      </c>
    </row>
    <row r="29">
      <c r="A29" t="inlineStr">
        <is>
          <t>tiberiansun</t>
        </is>
      </c>
      <c r="B29" t="inlineStr">
        <is>
          <t>cabal_lazerboat</t>
        </is>
      </c>
      <c r="C29" t="inlineStr">
        <is>
          <t>Laser Hydroboat</t>
        </is>
      </c>
      <c r="D29" s="6" t="inlineStr">
        <is>
          <t>ScoutShip</t>
        </is>
      </c>
      <c r="E29" s="6" t="n">
        <v>60000</v>
      </c>
      <c r="F29" s="6" t="n">
        <v>110</v>
      </c>
      <c r="G29" t="inlineStr">
        <is>
          <t>Medium</t>
        </is>
      </c>
      <c r="H29" s="6" t="n">
        <v>1</v>
      </c>
      <c r="I29" s="6" t="n">
        <v>1</v>
      </c>
      <c r="J29" s="6" t="n">
        <v>1</v>
      </c>
      <c r="K29" s="6" t="n"/>
      <c r="P29">
        <f>MAX(P30,P31,P32)</f>
        <v/>
      </c>
      <c r="S29">
        <f>S30+S31+S32</f>
        <v/>
      </c>
      <c r="T29">
        <f>(E29/100000+F29/100+(P29/1000)*J29/5+S29/200)*200*I29*H29</f>
        <v/>
      </c>
      <c r="U29">
        <f>((E29*F29/25000)+((P29/1000)*J29*S29/2.5))*I29*H29</f>
        <v/>
      </c>
      <c r="V29">
        <f>(E29*F29*(P29/1000)*J29*S29*I29*H29)/12500000</f>
        <v/>
      </c>
      <c r="W29">
        <f>(T29+U29+V29)/3</f>
        <v/>
      </c>
      <c r="X29" s="6" t="n">
        <v>1500</v>
      </c>
      <c r="Y29">
        <f>IFERROR(W29-X29,"")</f>
        <v/>
      </c>
      <c r="Z29">
        <f>IFERROR(ABS(Y29)/MAX(X29,1),"")</f>
        <v/>
      </c>
      <c r="AA29">
        <f>IFERROR((X29-(((E29/100000+F29/100+S29/200)*200*I29*H29)+((E29*F29/25000)*I29*H29))/3)/(((J29/5)*200*I29*H29)+((J29*S29/2.5)*I29*H29)+((E29*F29*J29*S29*I29*H29)/12500000))/3*1000,"")</f>
        <v/>
      </c>
    </row>
    <row r="30">
      <c r="B30" s="7" t="inlineStr">
        <is>
          <t xml:space="preserve">  ↳ CabalLaserBoatLaser</t>
        </is>
      </c>
      <c r="C30" s="7" t="inlineStr">
        <is>
          <t>Armament@PRIMARY</t>
        </is>
      </c>
      <c r="L30" s="6" t="n">
        <v>40000</v>
      </c>
      <c r="M30" s="6" t="n">
        <v>90</v>
      </c>
      <c r="N30" s="6" t="n">
        <v>1</v>
      </c>
      <c r="O30" s="6" t="n"/>
      <c r="P30" s="6" t="n">
        <v>6147</v>
      </c>
      <c r="Q30" s="6" t="n">
        <v>1.25</v>
      </c>
      <c r="R30">
        <f>M30+IF(N30&gt;1,N(O30)*(N30-1),0)</f>
        <v/>
      </c>
      <c r="S30">
        <f>IFERROR(L30*MAX(N30,1)/R30*IF(ISBLANK(K29),1,K29),0)</f>
        <v/>
      </c>
      <c r="AB30" s="7" t="inlineStr">
        <is>
          <t>^Warhead_Laser_Heavy</t>
        </is>
      </c>
    </row>
    <row r="31">
      <c r="B31" s="7" t="inlineStr">
        <is>
          <t xml:space="preserve">  ↳ CabalLaserBoatLaserAA</t>
        </is>
      </c>
      <c r="C31" s="7" t="inlineStr">
        <is>
          <t>Armament@AA</t>
        </is>
      </c>
      <c r="L31" s="6" t="n">
        <v>36000</v>
      </c>
      <c r="M31" s="6" t="n">
        <v>90</v>
      </c>
      <c r="N31" s="6" t="n">
        <v>1</v>
      </c>
      <c r="O31" s="6" t="n"/>
      <c r="P31" s="6" t="n">
        <v>7000</v>
      </c>
      <c r="Q31" s="6" t="n">
        <v>1.25</v>
      </c>
      <c r="R31">
        <f>M31+IF(N31&gt;1,N(O31)*(N31-1),0)</f>
        <v/>
      </c>
      <c r="S31">
        <f>IFERROR(L31*MAX(N31,1)/R31*IF(ISBLANK(K29),1,K29),0)</f>
        <v/>
      </c>
      <c r="AB31" s="7" t="inlineStr">
        <is>
          <t>^Warhead_Laser_Heavy</t>
        </is>
      </c>
    </row>
    <row r="32">
      <c r="B32" s="7" t="inlineStr">
        <is>
          <t xml:space="preserve">  ↳ DepthCharge</t>
        </is>
      </c>
      <c r="C32" s="7" t="inlineStr">
        <is>
          <t>Armament@SECONDARY</t>
        </is>
      </c>
      <c r="L32" s="6" t="n">
        <v>60000</v>
      </c>
      <c r="M32" s="6" t="n">
        <v>60</v>
      </c>
      <c r="N32" s="6" t="n">
        <v>1</v>
      </c>
      <c r="O32" s="6" t="n"/>
      <c r="P32" s="6" t="n">
        <v>6000</v>
      </c>
      <c r="Q32" s="6" t="n">
        <v>0.75</v>
      </c>
      <c r="R32">
        <f>M32+IF(N32&gt;1,N(O32)*(N32-1),0)</f>
        <v/>
      </c>
      <c r="S32">
        <f>IFERROR(L32*MAX(N32,1)/R32*IF(ISBLANK(K29),1,K29),0)</f>
        <v/>
      </c>
      <c r="AB32" s="7" t="inlineStr">
        <is>
          <t>^Warhead_Demolition_Light</t>
        </is>
      </c>
    </row>
    <row r="33">
      <c r="A33" t="inlineStr">
        <is>
          <t>tiberiansun</t>
        </is>
      </c>
      <c r="B33" t="inlineStr">
        <is>
          <t>cabal_radar_cruiser</t>
        </is>
      </c>
      <c r="C33" t="inlineStr">
        <is>
          <t>CABAL Hacker Cruiser</t>
        </is>
      </c>
      <c r="D33" s="6" t="inlineStr">
        <is>
          <t>ScoutShip</t>
        </is>
      </c>
      <c r="E33" s="6" t="n">
        <v>200000</v>
      </c>
      <c r="F33" s="6" t="n">
        <v>60</v>
      </c>
      <c r="G33" t="inlineStr">
        <is>
          <t>Medium</t>
        </is>
      </c>
      <c r="H33" s="6" t="n">
        <v>0.6322</v>
      </c>
      <c r="I33" s="6" t="n">
        <v>1</v>
      </c>
      <c r="J33" s="6" t="n">
        <v>1</v>
      </c>
      <c r="K33" s="6" t="n"/>
      <c r="P33">
        <f>MAX(P34,P35)</f>
        <v/>
      </c>
      <c r="S33">
        <f>S34+S35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TSCABALCharge_EMP</t>
        </is>
      </c>
      <c r="C34" s="7" t="inlineStr">
        <is>
          <t>Armament@Anim</t>
        </is>
      </c>
      <c r="L34" s="6" t="n">
        <v>1</v>
      </c>
      <c r="M34" s="6" t="n">
        <v>6</v>
      </c>
      <c r="N34" s="6" t="n">
        <v>1</v>
      </c>
      <c r="O34" s="6" t="n"/>
      <c r="P34" s="6" t="n">
        <v>8000</v>
      </c>
      <c r="Q34" s="6" t="n">
        <v>1</v>
      </c>
      <c r="R34">
        <f>M34+IF(N34&gt;1,N(O34)*(N34-1),0)</f>
        <v/>
      </c>
      <c r="S34">
        <f>IFERROR(L34*MAX(N34,1)/R34*IF(ISBLANK(K33),1,K33),0)</f>
        <v/>
      </c>
      <c r="AB34" s="7" t="inlineStr"/>
    </row>
    <row r="35">
      <c r="B35" s="7" t="inlineStr">
        <is>
          <t xml:space="preserve">  ↳ TSCABALDisable_EMP</t>
        </is>
      </c>
      <c r="C35" s="7" t="inlineStr">
        <is>
          <t>Armament@End</t>
        </is>
      </c>
      <c r="L35" s="6" t="n">
        <v>2000</v>
      </c>
      <c r="M35" s="6" t="n">
        <v>8</v>
      </c>
      <c r="N35" s="6" t="n">
        <v>1</v>
      </c>
      <c r="O35" s="6" t="n"/>
      <c r="P35" s="6" t="n">
        <v>8000</v>
      </c>
      <c r="Q35" s="6" t="n">
        <v>1</v>
      </c>
      <c r="R35">
        <f>M35+IF(N35&gt;1,N(O35)*(N35-1),0)</f>
        <v/>
      </c>
      <c r="S35">
        <f>IFERROR(L35*MAX(N35,1)/R35*IF(ISBLANK(K33),1,K33),0)</f>
        <v/>
      </c>
      <c r="AB35" s="7" t="inlineStr">
        <is>
          <t>^Warhead_Tesla_Super</t>
        </is>
      </c>
    </row>
    <row r="36">
      <c r="A36" t="inlineStr">
        <is>
          <t>tiberiansun</t>
        </is>
      </c>
      <c r="B36" t="inlineStr">
        <is>
          <t>ts_nod_rayboat</t>
        </is>
      </c>
      <c r="C36" t="inlineStr">
        <is>
          <t>Stingray</t>
        </is>
      </c>
      <c r="D36" s="6" t="inlineStr">
        <is>
          <t>ScoutShip</t>
        </is>
      </c>
      <c r="E36" s="6" t="n">
        <v>80000</v>
      </c>
      <c r="F36" s="6" t="n">
        <v>110</v>
      </c>
      <c r="G36" t="inlineStr">
        <is>
          <t>Light</t>
        </is>
      </c>
      <c r="H36" s="6" t="n">
        <v>1</v>
      </c>
      <c r="I36" s="6" t="n">
        <v>1</v>
      </c>
      <c r="J36" s="6" t="n">
        <v>1</v>
      </c>
      <c r="K36" s="6" t="n"/>
      <c r="P36">
        <f>MAX(P37,P38)</f>
        <v/>
      </c>
      <c r="S36">
        <f>S37+S38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1300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TSSBoatTusk</t>
        </is>
      </c>
      <c r="C37" s="7" t="inlineStr">
        <is>
          <t>Armament@PRIMARY</t>
        </is>
      </c>
      <c r="L37" s="6" t="n">
        <v>18000</v>
      </c>
      <c r="M37" s="6" t="n">
        <v>60</v>
      </c>
      <c r="N37" s="6" t="n">
        <v>2</v>
      </c>
      <c r="O37" s="6" t="n">
        <v>4</v>
      </c>
      <c r="P37" s="6" t="n">
        <v>6385</v>
      </c>
      <c r="Q37" s="6" t="n">
        <v>1</v>
      </c>
      <c r="R37">
        <f>M37+IF(N37&gt;1,N(O37)*(N37-1),0)</f>
        <v/>
      </c>
      <c r="S37">
        <f>IFERROR(L37*MAX(N37,1)/R37*IF(ISBLANK(K36),1,K36),0)</f>
        <v/>
      </c>
      <c r="AB37" s="7" t="inlineStr">
        <is>
          <t>^Warhead_CannonHE_Medium, ^Warhead_MissileHE_Medium</t>
        </is>
      </c>
    </row>
    <row r="38">
      <c r="B38" s="7" t="inlineStr">
        <is>
          <t xml:space="preserve">  ↳ TSStankTibTusk</t>
        </is>
      </c>
      <c r="C38" s="7" t="inlineStr">
        <is>
          <t>Armament@ELITE</t>
        </is>
      </c>
      <c r="L38" s="6" t="n">
        <v>30000</v>
      </c>
      <c r="M38" s="6" t="n">
        <v>60</v>
      </c>
      <c r="N38" s="6" t="n">
        <v>2</v>
      </c>
      <c r="O38" s="6" t="n">
        <v>2</v>
      </c>
      <c r="P38" s="6" t="n">
        <v>6385</v>
      </c>
      <c r="Q38" s="6" t="n">
        <v>1</v>
      </c>
      <c r="R38">
        <f>M38+IF(N38&gt;1,N(O38)*(N38-1),0)</f>
        <v/>
      </c>
      <c r="S38">
        <f>IFERROR(L38*MAX(N38,1)/R38*IF(ISBLANK(K36),1,K36),0)</f>
        <v/>
      </c>
      <c r="AB38" s="7" t="inlineStr">
        <is>
          <t>^Warhead_CannonHE_Medium</t>
        </is>
      </c>
    </row>
    <row r="39">
      <c r="A39" t="inlineStr">
        <is>
          <t>tiberiansun</t>
        </is>
      </c>
      <c r="B39" t="inlineStr">
        <is>
          <t>ts_nod_submarine</t>
        </is>
      </c>
      <c r="C39" t="inlineStr">
        <is>
          <t>Strike Submarine</t>
        </is>
      </c>
      <c r="D39" s="6" t="inlineStr">
        <is>
          <t>ScoutShip</t>
        </is>
      </c>
      <c r="E39" s="6" t="n">
        <v>140000</v>
      </c>
      <c r="F39" s="6" t="n">
        <v>90</v>
      </c>
      <c r="G39" t="inlineStr">
        <is>
          <t>Heavy</t>
        </is>
      </c>
      <c r="H39" s="6" t="n">
        <v>1</v>
      </c>
      <c r="I39" s="6" t="n">
        <v>1</v>
      </c>
      <c r="J39" s="6" t="n">
        <v>1</v>
      </c>
      <c r="K39" s="6" t="n"/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1600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RA2TorpTube</t>
        </is>
      </c>
      <c r="C40" s="7" t="inlineStr">
        <is>
          <t>Armament@PRIMARY</t>
        </is>
      </c>
      <c r="L40" s="6" t="n">
        <v>36000</v>
      </c>
      <c r="M40" s="6" t="n">
        <v>90</v>
      </c>
      <c r="N40" s="6" t="n">
        <v>1</v>
      </c>
      <c r="O40" s="6" t="n"/>
      <c r="P40" s="6" t="n">
        <v>9000</v>
      </c>
      <c r="Q40" s="6" t="n">
        <v>1</v>
      </c>
      <c r="R40">
        <f>M40+IF(N40&gt;1,N(O40)*(N40-1),0)</f>
        <v/>
      </c>
      <c r="S40">
        <f>IFERROR(L40*MAX(N40,1)/R40*IF(ISBLANK(K39),1,K39),0)</f>
        <v/>
      </c>
      <c r="AB40" s="7" t="inlineStr">
        <is>
          <t>^Warhead_Demolition_Light, ^Warhead_MissileAP_Heavy</t>
        </is>
      </c>
    </row>
    <row r="41">
      <c r="B41" s="7" t="inlineStr">
        <is>
          <t xml:space="preserve">  ↳ RA2TorpTube_elite</t>
        </is>
      </c>
      <c r="C41" s="7" t="inlineStr">
        <is>
          <t>Armament@ELITE</t>
        </is>
      </c>
      <c r="L41" s="6" t="n">
        <v>36000</v>
      </c>
      <c r="M41" s="6" t="n">
        <v>90</v>
      </c>
      <c r="N41" s="6" t="n">
        <v>2</v>
      </c>
      <c r="O41" s="6" t="n">
        <v>3</v>
      </c>
      <c r="P41" s="6" t="n">
        <v>10000</v>
      </c>
      <c r="Q41" s="6" t="n">
        <v>1</v>
      </c>
      <c r="R41">
        <f>M41+IF(N41&gt;1,N(O41)*(N41-1),0)</f>
        <v/>
      </c>
      <c r="S41">
        <f>IFERROR(L41*MAX(N41,1)/R41*IF(ISBLANK(K39),1,K39),0)</f>
        <v/>
      </c>
      <c r="AB41" s="7" t="inlineStr">
        <is>
          <t>^Warhead_Demolition_Light, ^Warhead_MissileAP_Heavy</t>
        </is>
      </c>
    </row>
    <row r="42">
      <c r="A42" t="inlineStr">
        <is>
          <t>tiberiansun</t>
        </is>
      </c>
      <c r="B42" t="inlineStr">
        <is>
          <t>forgotten_juggerboat</t>
        </is>
      </c>
      <c r="C42" t="inlineStr">
        <is>
          <t>Juggerboat</t>
        </is>
      </c>
      <c r="D42" s="6" t="inlineStr">
        <is>
          <t>ScoutShip</t>
        </is>
      </c>
      <c r="E42" s="6" t="n">
        <v>60000</v>
      </c>
      <c r="F42" s="6" t="n">
        <v>120</v>
      </c>
      <c r="G42" t="inlineStr">
        <is>
          <t>Medium</t>
        </is>
      </c>
      <c r="H42" s="6" t="n">
        <v>1</v>
      </c>
      <c r="I42" s="6" t="n">
        <v>1</v>
      </c>
      <c r="J42" s="6" t="n">
        <v>1</v>
      </c>
      <c r="K42" s="6" t="n"/>
      <c r="P42">
        <f>MAX(P43,P44,P45,P46)</f>
        <v/>
      </c>
      <c r="S42">
        <f>S43+S44+S45+S46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1500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TSJuggerFlakAA_boat</t>
        </is>
      </c>
      <c r="C43" s="7" t="inlineStr">
        <is>
          <t>Armament@AA</t>
        </is>
      </c>
      <c r="L43" s="6" t="n">
        <v>10000</v>
      </c>
      <c r="M43" s="6" t="n">
        <v>69</v>
      </c>
      <c r="N43" s="6" t="n">
        <v>2</v>
      </c>
      <c r="O43" s="6" t="n">
        <v>3</v>
      </c>
      <c r="P43" s="6" t="n">
        <v>11234</v>
      </c>
      <c r="Q43" s="6" t="n">
        <v>1</v>
      </c>
      <c r="R43">
        <f>M43+IF(N43&gt;1,N(O43)*(N43-1),0)</f>
        <v/>
      </c>
      <c r="S43">
        <f>IFERROR(L43*MAX(N43,1)/R43*IF(ISBLANK(K42),1,K42),0)</f>
        <v/>
      </c>
      <c r="AB43" s="7" t="inlineStr">
        <is>
          <t>^Warhead_Flak_Medium</t>
        </is>
      </c>
    </row>
    <row r="44">
      <c r="B44" s="7" t="inlineStr">
        <is>
          <t xml:space="preserve">  ↳ TSJuggerboat90mm</t>
        </is>
      </c>
      <c r="C44" s="7" t="inlineStr">
        <is>
          <t>Armament@AG</t>
        </is>
      </c>
      <c r="L44" s="6" t="n">
        <v>20000</v>
      </c>
      <c r="M44" s="6" t="n">
        <v>69</v>
      </c>
      <c r="N44" s="6" t="n">
        <v>2</v>
      </c>
      <c r="O44" s="6" t="n">
        <v>3</v>
      </c>
      <c r="P44" s="6" t="n">
        <v>12834</v>
      </c>
      <c r="Q44" s="6" t="n">
        <v>1</v>
      </c>
      <c r="R44">
        <f>M44+IF(N44&gt;1,N(O44)*(N44-1),0)</f>
        <v/>
      </c>
      <c r="S44">
        <f>IFERROR(L44*MAX(N44,1)/R44*IF(ISBLANK(K42),1,K42),0)</f>
        <v/>
      </c>
      <c r="AB44" s="7" t="inlineStr">
        <is>
          <t>^Warhead_Concussion_Medium</t>
        </is>
      </c>
    </row>
    <row r="45">
      <c r="B45" s="7" t="inlineStr">
        <is>
          <t xml:space="preserve">  ↳ TSChemJuggerboat90mm</t>
        </is>
      </c>
      <c r="C45" s="7" t="inlineStr">
        <is>
          <t>Armament@UPGRADE</t>
        </is>
      </c>
      <c r="L45" s="6" t="n">
        <v>30000</v>
      </c>
      <c r="M45" s="6" t="n">
        <v>69</v>
      </c>
      <c r="N45" s="6" t="n">
        <v>2</v>
      </c>
      <c r="O45" s="6" t="n">
        <v>3</v>
      </c>
      <c r="P45" s="6" t="n">
        <v>12834</v>
      </c>
      <c r="Q45" s="6" t="n">
        <v>1</v>
      </c>
      <c r="R45">
        <f>M45+IF(N45&gt;1,N(O45)*(N45-1),0)</f>
        <v/>
      </c>
      <c r="S45">
        <f>IFERROR(L45*MAX(N45,1)/R45*IF(ISBLANK(K42),1,K42),0)</f>
        <v/>
      </c>
      <c r="AB45" s="7" t="inlineStr">
        <is>
          <t>^ShrapnelWeapon, ^MediumChemicalWeapon</t>
        </is>
      </c>
    </row>
    <row r="46">
      <c r="B46" s="7" t="inlineStr">
        <is>
          <t xml:space="preserve">  ↳ DepthCharge</t>
        </is>
      </c>
      <c r="C46" s="7" t="inlineStr">
        <is>
          <t>Armament@SECONDARY</t>
        </is>
      </c>
      <c r="L46" s="6" t="n">
        <v>60000</v>
      </c>
      <c r="M46" s="6" t="n">
        <v>60</v>
      </c>
      <c r="N46" s="6" t="n">
        <v>1</v>
      </c>
      <c r="O46" s="6" t="n"/>
      <c r="P46" s="6" t="n">
        <v>6000</v>
      </c>
      <c r="Q46" s="6" t="n">
        <v>0.75</v>
      </c>
      <c r="R46">
        <f>M46+IF(N46&gt;1,N(O46)*(N46-1),0)</f>
        <v/>
      </c>
      <c r="S46">
        <f>IFERROR(L46*MAX(N46,1)/R46*IF(ISBLANK(K42),1,K42),0)</f>
        <v/>
      </c>
      <c r="AB46" s="7" t="inlineStr">
        <is>
          <t>^Warhead_Demolition_Light</t>
        </is>
      </c>
    </row>
    <row r="47">
      <c r="A47" t="inlineStr">
        <is>
          <t>tiberiansun</t>
        </is>
      </c>
      <c r="B47" t="inlineStr">
        <is>
          <t>forgotten_lcraft</t>
        </is>
      </c>
      <c r="C47" t="inlineStr">
        <is>
          <t>Warrior Ferry</t>
        </is>
      </c>
      <c r="D47" s="6" t="inlineStr">
        <is>
          <t>ScoutShip</t>
        </is>
      </c>
      <c r="E47" s="6" t="n">
        <v>100000</v>
      </c>
      <c r="F47" s="6" t="n">
        <v>60</v>
      </c>
      <c r="G47" t="inlineStr">
        <is>
          <t>Heavy</t>
        </is>
      </c>
      <c r="H47" s="6" t="n">
        <v>1</v>
      </c>
      <c r="I47" s="6" t="n">
        <v>1</v>
      </c>
      <c r="J47" s="6" t="n">
        <v>1</v>
      </c>
      <c r="K47" s="6" t="n"/>
      <c r="P47">
        <f>MAX(P48,P49)</f>
        <v/>
      </c>
      <c r="S47">
        <f>S48+S49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1200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TSVanMissile</t>
        </is>
      </c>
      <c r="C48" s="7" t="inlineStr">
        <is>
          <t>Armament@PRIMARY</t>
        </is>
      </c>
      <c r="L48" s="6" t="n">
        <v>24000</v>
      </c>
      <c r="M48" s="6" t="n">
        <v>32</v>
      </c>
      <c r="N48" s="6" t="n">
        <v>2</v>
      </c>
      <c r="O48" s="6" t="n">
        <v>8</v>
      </c>
      <c r="P48" s="6" t="n">
        <v>10460</v>
      </c>
      <c r="Q48" s="6" t="n">
        <v>1</v>
      </c>
      <c r="R48">
        <f>M48+IF(N48&gt;1,N(O48)*(N48-1),0)</f>
        <v/>
      </c>
      <c r="S48">
        <f>IFERROR(L48*MAX(N48,1)/R48*IF(ISBLANK(K47),1,K47),0)</f>
        <v/>
      </c>
      <c r="AB48" s="7" t="inlineStr">
        <is>
          <t>^Warhead_Concussion_Medium</t>
        </is>
      </c>
    </row>
    <row r="49">
      <c r="B49" s="7" t="inlineStr">
        <is>
          <t xml:space="preserve">  ↳ TSChemVanMissile</t>
        </is>
      </c>
      <c r="C49" s="7" t="inlineStr">
        <is>
          <t>Armament@UPGRADE</t>
        </is>
      </c>
      <c r="L49" s="6" t="n">
        <v>36000</v>
      </c>
      <c r="M49" s="6" t="n">
        <v>32</v>
      </c>
      <c r="N49" s="6" t="n">
        <v>2</v>
      </c>
      <c r="O49" s="6" t="n">
        <v>8</v>
      </c>
      <c r="P49" s="6" t="n">
        <v>10460</v>
      </c>
      <c r="Q49" s="6" t="n">
        <v>1</v>
      </c>
      <c r="R49">
        <f>M49+IF(N49&gt;1,N(O49)*(N49-1),0)</f>
        <v/>
      </c>
      <c r="S49">
        <f>IFERROR(L49*MAX(N49,1)/R49*IF(ISBLANK(K47),1,K47),0)</f>
        <v/>
      </c>
      <c r="AB49" s="7" t="inlineStr">
        <is>
          <t>^MediumChemicalWeapon, ^ShrapnelWeapon</t>
        </is>
      </c>
    </row>
    <row r="50">
      <c r="A50" t="inlineStr">
        <is>
          <t>shared</t>
        </is>
      </c>
      <c r="B50" t="inlineStr">
        <is>
          <t>ra2dest</t>
        </is>
      </c>
      <c r="C50" t="inlineStr">
        <is>
          <t>actor_dest.name</t>
        </is>
      </c>
      <c r="D50" s="6" t="inlineStr">
        <is>
          <t>ScoutShip</t>
        </is>
      </c>
      <c r="E50" s="6" t="n">
        <v>160000</v>
      </c>
      <c r="F50" s="6" t="n">
        <v>70</v>
      </c>
      <c r="G50" t="inlineStr">
        <is>
          <t>Heavy</t>
        </is>
      </c>
      <c r="H50" s="6" t="n">
        <v>1</v>
      </c>
      <c r="I50" s="6" t="n">
        <v>1</v>
      </c>
      <c r="J50" s="6" t="n">
        <v>1</v>
      </c>
      <c r="K50" s="6" t="n"/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1700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RA2155mm</t>
        </is>
      </c>
      <c r="C51" s="7" t="inlineStr">
        <is>
          <t>Armament@PRIMARY</t>
        </is>
      </c>
      <c r="L51" s="6" t="n">
        <v>16000</v>
      </c>
      <c r="M51" s="6" t="n">
        <v>40</v>
      </c>
      <c r="N51" s="6" t="n">
        <v>1</v>
      </c>
      <c r="O51" s="6" t="n"/>
      <c r="P51" s="6" t="n">
        <v>8000</v>
      </c>
      <c r="Q51" s="6" t="n">
        <v>1.25</v>
      </c>
      <c r="R51">
        <f>M51+IF(N51&gt;1,N(O51)*(N51-1),0)</f>
        <v/>
      </c>
      <c r="S51">
        <f>IFERROR(L51*MAX(N51,1)/R51*IF(ISBLANK(K50),1,K50),0)</f>
        <v/>
      </c>
      <c r="AB51" s="7" t="inlineStr">
        <is>
          <t>^Warhead_CannonHE_Heavy</t>
        </is>
      </c>
    </row>
    <row r="52">
      <c r="B52" s="7" t="inlineStr">
        <is>
          <t xml:space="preserve">  ↳ RA2155mm_elite</t>
        </is>
      </c>
      <c r="C52" s="7" t="inlineStr">
        <is>
          <t>Armament@ELITE</t>
        </is>
      </c>
      <c r="L52" s="6" t="n">
        <v>16000</v>
      </c>
      <c r="M52" s="6" t="n">
        <v>40</v>
      </c>
      <c r="N52" s="6" t="n">
        <v>2</v>
      </c>
      <c r="O52" s="6" t="n">
        <v>3</v>
      </c>
      <c r="P52" s="6" t="n">
        <v>9000</v>
      </c>
      <c r="Q52" s="6" t="n">
        <v>1.25</v>
      </c>
      <c r="R52">
        <f>M52+IF(N52&gt;1,N(O52)*(N52-1),0)</f>
        <v/>
      </c>
      <c r="S52">
        <f>IFERROR(L52*MAX(N52,1)/R52*IF(ISBLANK(K50),1,K50),0)</f>
        <v/>
      </c>
      <c r="AB52" s="7" t="inlineStr">
        <is>
          <t>^Warhead_CannonHE_Heavy</t>
        </is>
      </c>
    </row>
    <row r="53">
      <c r="B53" s="7" t="inlineStr">
        <is>
          <t xml:space="preserve">  ↳ RA2OspreyTarget</t>
        </is>
      </c>
      <c r="C53" s="7" t="inlineStr">
        <is>
          <t>Armament@GenerateOsprey</t>
        </is>
      </c>
      <c r="L53" s="6" t="n"/>
      <c r="M53" s="6" t="n">
        <v>25</v>
      </c>
      <c r="N53" s="6" t="n">
        <v>1</v>
      </c>
      <c r="O53" s="6" t="n"/>
      <c r="P53" s="6" t="n">
        <v>12000</v>
      </c>
      <c r="Q53" s="6" t="n">
        <v>1</v>
      </c>
      <c r="R53">
        <f>M53+IF(N53&gt;1,N(O53)*(N53-1),0)</f>
        <v/>
      </c>
      <c r="S53">
        <f>IFERROR(L53*MAX(N53,1)/R53*IF(ISBLANK(K50),1,K50),0)</f>
        <v/>
      </c>
      <c r="AB53" s="7" t="inlineStr"/>
    </row>
    <row r="54">
      <c r="A54" t="inlineStr">
        <is>
          <t>shared</t>
        </is>
      </c>
      <c r="B54" t="inlineStr">
        <is>
          <t>ra2dlph</t>
        </is>
      </c>
      <c r="C54" t="inlineStr">
        <is>
          <t>actor_dlph.name</t>
        </is>
      </c>
      <c r="D54" s="6" t="inlineStr">
        <is>
          <t>ScoutShip</t>
        </is>
      </c>
      <c r="E54" s="6" t="n">
        <v>20000</v>
      </c>
      <c r="F54" s="6" t="n">
        <v>120</v>
      </c>
      <c r="G54" t="inlineStr">
        <is>
          <t>Light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500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SonicZap</t>
        </is>
      </c>
      <c r="C55" s="7" t="inlineStr">
        <is>
          <t>Armament@PRIMARY</t>
        </is>
      </c>
      <c r="L55" s="6" t="n">
        <v>3000</v>
      </c>
      <c r="M55" s="6" t="n">
        <v>60</v>
      </c>
      <c r="N55" s="6" t="n">
        <v>1</v>
      </c>
      <c r="O55" s="6" t="n"/>
      <c r="P55" s="6" t="n">
        <v>6000</v>
      </c>
      <c r="Q55" s="6" t="n">
        <v>1.25</v>
      </c>
      <c r="R55">
        <f>M55+IF(N55&gt;1,N(O55)*(N55-1),0)</f>
        <v/>
      </c>
      <c r="S55">
        <f>IFERROR(L55*MAX(N55,1)/R55*IF(ISBLANK(K54),1,K54),0)</f>
        <v/>
      </c>
      <c r="AB55" s="7" t="inlineStr">
        <is>
          <t>^Warhead_Magic_Heavy</t>
        </is>
      </c>
    </row>
    <row r="56">
      <c r="B56" s="7" t="inlineStr">
        <is>
          <t xml:space="preserve">  ↳ SonicZapFriendly</t>
        </is>
      </c>
      <c r="C56" s="7" t="inlineStr">
        <is>
          <t>Armament@SECONDARY</t>
        </is>
      </c>
      <c r="L56" s="6" t="n"/>
      <c r="M56" s="6" t="n">
        <v>60</v>
      </c>
      <c r="N56" s="6" t="n">
        <v>1</v>
      </c>
      <c r="O56" s="6" t="n"/>
      <c r="P56" s="6" t="n">
        <v>6000</v>
      </c>
      <c r="Q56" s="6" t="n">
        <v>1</v>
      </c>
      <c r="R56">
        <f>M56+IF(N56&gt;1,N(O56)*(N56-1),0)</f>
        <v/>
      </c>
      <c r="S56">
        <f>IFERROR(L56*MAX(N56,1)/R56*IF(ISBLANK(K54),1,K54),0)</f>
        <v/>
      </c>
      <c r="AB56" s="7" t="inlineStr"/>
    </row>
    <row r="57">
      <c r="A57" t="inlineStr">
        <is>
          <t>shared</t>
        </is>
      </c>
      <c r="B57" t="inlineStr">
        <is>
          <t>ra2sqd</t>
        </is>
      </c>
      <c r="C57" t="inlineStr">
        <is>
          <t>actor_sqd.name</t>
        </is>
      </c>
      <c r="D57" s="6" t="inlineStr">
        <is>
          <t>ScoutShip</t>
        </is>
      </c>
      <c r="E57" s="6" t="n">
        <v>30000</v>
      </c>
      <c r="F57" s="6" t="n">
        <v>120</v>
      </c>
      <c r="G57" t="inlineStr">
        <is>
          <t>Medium</t>
        </is>
      </c>
      <c r="H57" s="6" t="n">
        <v>1</v>
      </c>
      <c r="I57" s="6" t="n">
        <v>1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1000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SquidPunch</t>
        </is>
      </c>
      <c r="C58" s="7" t="inlineStr">
        <is>
          <t>Armament@PRIMARY</t>
        </is>
      </c>
      <c r="L58" s="6" t="n">
        <v>10000</v>
      </c>
      <c r="M58" s="6" t="n">
        <v>32</v>
      </c>
      <c r="N58" s="6" t="n">
        <v>1</v>
      </c>
      <c r="O58" s="6" t="n"/>
      <c r="P58" s="6" t="n">
        <v>1880</v>
      </c>
      <c r="Q58" s="6" t="n">
        <v>1</v>
      </c>
      <c r="R58">
        <f>M58+IF(N58&gt;1,N(O58)*(N58-1),0)</f>
        <v/>
      </c>
      <c r="S58">
        <f>IFERROR(L58*MAX(N58,1)/R58*IF(ISBLANK(K57),1,K57),0)</f>
        <v/>
      </c>
      <c r="AB58" s="7" t="inlineStr"/>
    </row>
    <row r="59">
      <c r="B59" s="7" t="inlineStr">
        <is>
          <t xml:space="preserve">  ↳ SquidGrab</t>
        </is>
      </c>
      <c r="C59" s="7" t="inlineStr">
        <is>
          <t>Armament@SECONDARY</t>
        </is>
      </c>
      <c r="L59" s="6" t="n"/>
      <c r="M59" s="6" t="n">
        <v>32</v>
      </c>
      <c r="N59" s="6" t="n">
        <v>1</v>
      </c>
      <c r="O59" s="6" t="n"/>
      <c r="P59" s="6" t="n">
        <v>1880</v>
      </c>
      <c r="Q59" s="6" t="n">
        <v>1</v>
      </c>
      <c r="R59">
        <f>M59+IF(N59&gt;1,N(O59)*(N59-1),0)</f>
        <v/>
      </c>
      <c r="S59">
        <f>IFERROR(L59*MAX(N59,1)/R59*IF(ISBLANK(K57),1,K57),0)</f>
        <v/>
      </c>
      <c r="AB59" s="7" t="inlineStr"/>
    </row>
    <row r="60">
      <c r="A60" t="inlineStr">
        <is>
          <t>shared</t>
        </is>
      </c>
      <c r="B60" t="inlineStr">
        <is>
          <t>ra2sub</t>
        </is>
      </c>
      <c r="C60" t="inlineStr">
        <is>
          <t>actor_ra2sub.name</t>
        </is>
      </c>
      <c r="D60" s="6" t="inlineStr">
        <is>
          <t>ScoutShip</t>
        </is>
      </c>
      <c r="E60" s="6" t="n">
        <v>120000</v>
      </c>
      <c r="F60" s="6" t="n">
        <v>90</v>
      </c>
      <c r="G60" t="inlineStr">
        <is>
          <t>Heavy</t>
        </is>
      </c>
      <c r="H60" s="6" t="n">
        <v>1</v>
      </c>
      <c r="I60" s="6" t="n">
        <v>1</v>
      </c>
      <c r="J60" s="6" t="n">
        <v>1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1500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RA2TorpTube</t>
        </is>
      </c>
      <c r="C61" s="7" t="inlineStr">
        <is>
          <t>Armament@PRIMARY</t>
        </is>
      </c>
      <c r="L61" s="6" t="n">
        <v>36000</v>
      </c>
      <c r="M61" s="6" t="n">
        <v>90</v>
      </c>
      <c r="N61" s="6" t="n">
        <v>1</v>
      </c>
      <c r="O61" s="6" t="n"/>
      <c r="P61" s="6" t="n">
        <v>9000</v>
      </c>
      <c r="Q61" s="6" t="n">
        <v>1</v>
      </c>
      <c r="R61">
        <f>M61+IF(N61&gt;1,N(O61)*(N61-1),0)</f>
        <v/>
      </c>
      <c r="S61">
        <f>IFERROR(L61*MAX(N61,1)/R61*IF(ISBLANK(K60),1,K60),0)</f>
        <v/>
      </c>
      <c r="AB61" s="7" t="inlineStr">
        <is>
          <t>^Warhead_Demolition_Light, ^Warhead_MissileAP_Heavy</t>
        </is>
      </c>
    </row>
    <row r="62">
      <c r="B62" s="7" t="inlineStr">
        <is>
          <t xml:space="preserve">  ↳ RA2TorpTube_elite</t>
        </is>
      </c>
      <c r="C62" s="7" t="inlineStr">
        <is>
          <t>Armament@ELITE</t>
        </is>
      </c>
      <c r="L62" s="6" t="n">
        <v>36000</v>
      </c>
      <c r="M62" s="6" t="n">
        <v>90</v>
      </c>
      <c r="N62" s="6" t="n">
        <v>2</v>
      </c>
      <c r="O62" s="6" t="n">
        <v>3</v>
      </c>
      <c r="P62" s="6" t="n">
        <v>10000</v>
      </c>
      <c r="Q62" s="6" t="n">
        <v>1</v>
      </c>
      <c r="R62">
        <f>M62+IF(N62&gt;1,N(O62)*(N62-1),0)</f>
        <v/>
      </c>
      <c r="S62">
        <f>IFERROR(L62*MAX(N62,1)/R62*IF(ISBLANK(K60),1,K60),0)</f>
        <v/>
      </c>
      <c r="AB62" s="7" t="inlineStr">
        <is>
          <t>^Warhead_Demolition_Light, ^Warhead_MissileAP_Heavy</t>
        </is>
      </c>
    </row>
    <row r="63">
      <c r="A63" t="inlineStr">
        <is>
          <t>redalert2mod</t>
        </is>
      </c>
      <c r="B63" t="inlineStr">
        <is>
          <t>gunb.asian</t>
        </is>
      </c>
      <c r="C63" t="inlineStr">
        <is>
          <t>Asian Gun Boat</t>
        </is>
      </c>
      <c r="D63" s="6" t="inlineStr">
        <is>
          <t>ScoutShip</t>
        </is>
      </c>
      <c r="E63" s="6" t="n">
        <v>90000</v>
      </c>
      <c r="F63" s="6" t="n">
        <v>90</v>
      </c>
      <c r="G63" t="inlineStr">
        <is>
          <t>Medium</t>
        </is>
      </c>
      <c r="H63" s="6" t="n">
        <v>0.7857</v>
      </c>
      <c r="I63" s="6" t="n">
        <v>1</v>
      </c>
      <c r="J63" s="6" t="n">
        <v>1</v>
      </c>
      <c r="K63" s="6" t="n"/>
      <c r="P63">
        <f>MAX(P64,P65,P66,P67,P68,P69)</f>
        <v/>
      </c>
      <c r="S63">
        <f>S64+S65+S66+S67+S68+S69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1400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AAGunBoatCannon</t>
        </is>
      </c>
      <c r="C64" s="7" t="inlineStr">
        <is>
          <t>Armament@PRIMARY</t>
        </is>
      </c>
      <c r="L64" s="6" t="n">
        <v>16000</v>
      </c>
      <c r="M64" s="6" t="n">
        <v>40</v>
      </c>
      <c r="N64" s="6" t="n">
        <v>1</v>
      </c>
      <c r="O64" s="6" t="n"/>
      <c r="P64" s="6" t="n">
        <v>9000</v>
      </c>
      <c r="Q64" s="6" t="n">
        <v>1.25</v>
      </c>
      <c r="R64">
        <f>M64+IF(N64&gt;1,N(O64)*(N64-1),0)</f>
        <v/>
      </c>
      <c r="S64">
        <f>IFERROR(L64*MAX(N64,1)/R64*IF(ISBLANK(K63),1,K63),0)</f>
        <v/>
      </c>
      <c r="AB64" s="7" t="inlineStr">
        <is>
          <t>^Warhead_CannonHE_Heavy</t>
        </is>
      </c>
    </row>
    <row r="65">
      <c r="B65" s="7" t="inlineStr">
        <is>
          <t xml:space="preserve">  ↳ AAGunBoatCannon_elite</t>
        </is>
      </c>
      <c r="C65" s="7" t="inlineStr">
        <is>
          <t>Armament@ELITE</t>
        </is>
      </c>
      <c r="L65" s="6" t="n">
        <v>16000</v>
      </c>
      <c r="M65" s="6" t="n">
        <v>40</v>
      </c>
      <c r="N65" s="6" t="n">
        <v>2</v>
      </c>
      <c r="O65" s="6" t="n">
        <v>3</v>
      </c>
      <c r="P65" s="6" t="n">
        <v>10000</v>
      </c>
      <c r="Q65" s="6" t="n">
        <v>1.25</v>
      </c>
      <c r="R65">
        <f>M65+IF(N65&gt;1,N(O65)*(N65-1),0)</f>
        <v/>
      </c>
      <c r="S65">
        <f>IFERROR(L65*MAX(N65,1)/R65*IF(ISBLANK(K63),1,K63),0)</f>
        <v/>
      </c>
      <c r="AB65" s="7" t="inlineStr">
        <is>
          <t>^Warhead_CannonHE_Heavy</t>
        </is>
      </c>
    </row>
    <row r="66">
      <c r="B66" s="7" t="inlineStr">
        <is>
          <t xml:space="preserve">  ↳ AAGunBoatFlak</t>
        </is>
      </c>
      <c r="C66" s="7" t="inlineStr">
        <is>
          <t>Armament@AA</t>
        </is>
      </c>
      <c r="L66" s="6" t="n">
        <v>8000</v>
      </c>
      <c r="M66" s="6" t="n">
        <v>18</v>
      </c>
      <c r="N66" s="6" t="n">
        <v>2</v>
      </c>
      <c r="O66" s="6" t="n">
        <v>3</v>
      </c>
      <c r="P66" s="6" t="n">
        <v>9000</v>
      </c>
      <c r="Q66" s="6" t="n">
        <v>1</v>
      </c>
      <c r="R66">
        <f>M66+IF(N66&gt;1,N(O66)*(N66-1),0)</f>
        <v/>
      </c>
      <c r="S66">
        <f>IFERROR(L66*MAX(N66,1)/R66*IF(ISBLANK(K63),1,K63),0)</f>
        <v/>
      </c>
      <c r="AB66" s="7" t="inlineStr">
        <is>
          <t>^Warhead_Flak_Medium</t>
        </is>
      </c>
    </row>
    <row r="67">
      <c r="B67" s="7" t="inlineStr">
        <is>
          <t xml:space="preserve">  ↳ AAGunBoatFlak_elite</t>
        </is>
      </c>
      <c r="C67" s="7" t="inlineStr">
        <is>
          <t>Armament@EliteAA</t>
        </is>
      </c>
      <c r="L67" s="6" t="n">
        <v>8000</v>
      </c>
      <c r="M67" s="6" t="n">
        <v>18</v>
      </c>
      <c r="N67" s="6" t="n">
        <v>4</v>
      </c>
      <c r="O67" s="6" t="n">
        <v>3</v>
      </c>
      <c r="P67" s="6" t="n">
        <v>10000</v>
      </c>
      <c r="Q67" s="6" t="n">
        <v>1</v>
      </c>
      <c r="R67">
        <f>M67+IF(N67&gt;1,N(O67)*(N67-1),0)</f>
        <v/>
      </c>
      <c r="S67">
        <f>IFERROR(L67*MAX(N67,1)/R67*IF(ISBLANK(K63),1,K63),0)</f>
        <v/>
      </c>
      <c r="AB67" s="7" t="inlineStr">
        <is>
          <t>^Warhead_Flak_Medium</t>
        </is>
      </c>
    </row>
    <row r="68">
      <c r="B68" s="7" t="inlineStr">
        <is>
          <t xml:space="preserve">  ↳ DepthCharge</t>
        </is>
      </c>
      <c r="C68" s="7" t="inlineStr">
        <is>
          <t>Armament@AntiSub</t>
        </is>
      </c>
      <c r="L68" s="6" t="n">
        <v>60000</v>
      </c>
      <c r="M68" s="6" t="n">
        <v>60</v>
      </c>
      <c r="N68" s="6" t="n">
        <v>1</v>
      </c>
      <c r="O68" s="6" t="n"/>
      <c r="P68" s="6" t="n">
        <v>6000</v>
      </c>
      <c r="Q68" s="6" t="n">
        <v>0.75</v>
      </c>
      <c r="R68">
        <f>M68+IF(N68&gt;1,N(O68)*(N68-1),0)</f>
        <v/>
      </c>
      <c r="S68">
        <f>IFERROR(L68*MAX(N68,1)/R68*IF(ISBLANK(K63),1,K63),0)</f>
        <v/>
      </c>
      <c r="AB68" s="7" t="inlineStr">
        <is>
          <t>^Warhead_Demolition_Light</t>
        </is>
      </c>
    </row>
    <row r="69">
      <c r="B69" s="7" t="inlineStr">
        <is>
          <t xml:space="preserve">  ↳ DepthCharge</t>
        </is>
      </c>
      <c r="C69" s="7" t="inlineStr">
        <is>
          <t>Armament@AntiSubElite</t>
        </is>
      </c>
      <c r="L69" s="6" t="n">
        <v>60000</v>
      </c>
      <c r="M69" s="6" t="n">
        <v>60</v>
      </c>
      <c r="N69" s="6" t="n">
        <v>1</v>
      </c>
      <c r="O69" s="6" t="n"/>
      <c r="P69" s="6" t="n">
        <v>6000</v>
      </c>
      <c r="Q69" s="6" t="n">
        <v>0.75</v>
      </c>
      <c r="R69">
        <f>M69+IF(N69&gt;1,N(O69)*(N69-1),0)</f>
        <v/>
      </c>
      <c r="S69">
        <f>IFERROR(L69*MAX(N69,1)/R69*IF(ISBLANK(K63),1,K63),0)</f>
        <v/>
      </c>
      <c r="AB69" s="7" t="inlineStr">
        <is>
          <t>^Warhead_Demolition_Light</t>
        </is>
      </c>
    </row>
    <row r="70">
      <c r="A70" t="inlineStr">
        <is>
          <t>redalert2mod</t>
        </is>
      </c>
      <c r="B70" t="inlineStr">
        <is>
          <t>ksub.asian</t>
        </is>
      </c>
      <c r="C70" t="inlineStr">
        <is>
          <t>Kamikaze Submarine</t>
        </is>
      </c>
      <c r="D70" s="6" t="inlineStr">
        <is>
          <t>ScoutShip</t>
        </is>
      </c>
      <c r="E70" s="6" t="n">
        <v>25000</v>
      </c>
      <c r="F70" s="6" t="n">
        <v>125</v>
      </c>
      <c r="G70" t="inlineStr">
        <is>
          <t>Medium</t>
        </is>
      </c>
      <c r="H70" s="6" t="n">
        <v>0.7857</v>
      </c>
      <c r="I70" s="6" t="n">
        <v>1</v>
      </c>
      <c r="J70" s="6" t="n">
        <v>1</v>
      </c>
      <c r="K70" s="6" t="n"/>
      <c r="X70" s="6" t="n">
        <v>500</v>
      </c>
    </row>
    <row r="71">
      <c r="B71" s="7" t="inlineStr">
        <is>
          <t xml:space="preserve">  ↳ AsianDemoSubTargeting</t>
        </is>
      </c>
      <c r="C71" s="7" t="inlineStr">
        <is>
          <t>Armament@PRIMARY</t>
        </is>
      </c>
      <c r="L71" s="6" t="n"/>
      <c r="M71" s="6" t="n"/>
      <c r="N71" s="6" t="n">
        <v>1</v>
      </c>
      <c r="O71" s="6" t="n"/>
      <c r="P71" s="6" t="n">
        <v>1250</v>
      </c>
      <c r="Q71" s="6" t="n">
        <v>1</v>
      </c>
      <c r="R71">
        <f>M71+IF(N71&gt;1,N(O71)*(N71-1),0)</f>
        <v/>
      </c>
      <c r="S71">
        <f>IFERROR(L71*MAX(N71,1)/R71*IF(ISBLANK(K70),1,K70),0)</f>
        <v/>
      </c>
      <c r="AB71" s="7" t="inlineStr"/>
    </row>
    <row r="72">
      <c r="A72" t="inlineStr">
        <is>
          <t>redalert2mod</t>
        </is>
      </c>
      <c r="B72" t="inlineStr">
        <is>
          <t>lsub.asian</t>
        </is>
      </c>
      <c r="C72" t="inlineStr">
        <is>
          <t>Leviathan</t>
        </is>
      </c>
      <c r="D72" s="6" t="inlineStr">
        <is>
          <t>ScoutShip</t>
        </is>
      </c>
      <c r="E72" s="6" t="n">
        <v>240000</v>
      </c>
      <c r="F72" s="6" t="n">
        <v>60</v>
      </c>
      <c r="G72" t="inlineStr">
        <is>
          <t>Heavy</t>
        </is>
      </c>
      <c r="H72" s="6" t="n">
        <v>0.6346000000000001</v>
      </c>
      <c r="I72" s="6" t="n">
        <v>1</v>
      </c>
      <c r="J72" s="6" t="n">
        <v>1</v>
      </c>
      <c r="K72" s="6" t="n"/>
      <c r="P72">
        <f>MAX(P73)</f>
        <v/>
      </c>
      <c r="S72">
        <f>S73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2400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AsianSmallTorpedo</t>
        </is>
      </c>
      <c r="C73" s="7" t="inlineStr">
        <is>
          <t>Armament@Torp</t>
        </is>
      </c>
      <c r="L73" s="6" t="n">
        <v>24000</v>
      </c>
      <c r="M73" s="6" t="n">
        <v>120</v>
      </c>
      <c r="N73" s="6" t="n">
        <v>2</v>
      </c>
      <c r="O73" s="6" t="n">
        <v>8</v>
      </c>
      <c r="P73" s="6" t="n">
        <v>12000</v>
      </c>
      <c r="Q73" s="6" t="n">
        <v>1</v>
      </c>
      <c r="R73">
        <f>M73+IF(N73&gt;1,N(O73)*(N73-1),0)</f>
        <v/>
      </c>
      <c r="S73">
        <f>IFERROR(L73*MAX(N73,1)/R73*IF(ISBLANK(K72),1,K72),0)</f>
        <v/>
      </c>
      <c r="AB73" s="7" t="inlineStr">
        <is>
          <t>^Warhead_Demolition_Light, ^Warhead_MissileAP_Heavy</t>
        </is>
      </c>
    </row>
    <row r="74">
      <c r="A74" t="inlineStr">
        <is>
          <t>redalert2mod</t>
        </is>
      </c>
      <c r="B74" t="inlineStr">
        <is>
          <t>panth.asian</t>
        </is>
      </c>
      <c r="C74" t="inlineStr">
        <is>
          <t>Enforcer Transport</t>
        </is>
      </c>
      <c r="D74" s="6" t="inlineStr">
        <is>
          <t>ScoutShip</t>
        </is>
      </c>
      <c r="E74" s="6" t="n">
        <v>100000</v>
      </c>
      <c r="F74" s="6" t="n">
        <v>60</v>
      </c>
      <c r="G74" t="inlineStr">
        <is>
          <t>Heavy</t>
        </is>
      </c>
      <c r="H74" s="6" t="n">
        <v>0.7857</v>
      </c>
      <c r="I74" s="6" t="n">
        <v>1</v>
      </c>
      <c r="J74" s="6" t="n">
        <v>1</v>
      </c>
      <c r="K74" s="6" t="n"/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1000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RA2120mm</t>
        </is>
      </c>
      <c r="C75" s="7" t="inlineStr">
        <is>
          <t>Armament</t>
        </is>
      </c>
      <c r="L75" s="6" t="n">
        <v>10000</v>
      </c>
      <c r="M75" s="6" t="n">
        <v>54</v>
      </c>
      <c r="N75" s="6" t="n">
        <v>1</v>
      </c>
      <c r="O75" s="6" t="n"/>
      <c r="P75" s="6" t="n">
        <v>5374</v>
      </c>
      <c r="Q75" s="6" t="n">
        <v>1</v>
      </c>
      <c r="R75">
        <f>M75+IF(N75&gt;1,N(O75)*(N75-1),0)</f>
        <v/>
      </c>
      <c r="S75">
        <f>IFERROR(L75*MAX(N75,1)/R75*IF(ISBLANK(K74),1,K74),0)</f>
        <v/>
      </c>
      <c r="AB75" s="7" t="inlineStr">
        <is>
          <t>^Warhead_CannonHE_Medium</t>
        </is>
      </c>
    </row>
    <row r="76">
      <c r="B76" s="7" t="inlineStr">
        <is>
          <t xml:space="preserve">  ↳ RA2120mm_elite</t>
        </is>
      </c>
      <c r="C76" s="7" t="inlineStr">
        <is>
          <t>Armament@elite</t>
        </is>
      </c>
      <c r="L76" s="6" t="n">
        <v>10000</v>
      </c>
      <c r="M76" s="6" t="n">
        <v>54</v>
      </c>
      <c r="N76" s="6" t="n">
        <v>2</v>
      </c>
      <c r="O76" s="6" t="n">
        <v>3</v>
      </c>
      <c r="P76" s="6" t="n">
        <v>6374</v>
      </c>
      <c r="Q76" s="6" t="n">
        <v>1</v>
      </c>
      <c r="R76">
        <f>M76+IF(N76&gt;1,N(O76)*(N76-1),0)</f>
        <v/>
      </c>
      <c r="S76">
        <f>IFERROR(L76*MAX(N76,1)/R76*IF(ISBLANK(K74),1,K74),0)</f>
        <v/>
      </c>
      <c r="AB76" s="7" t="inlineStr">
        <is>
          <t>^Warhead_CannonHE_Medium</t>
        </is>
      </c>
    </row>
    <row r="77">
      <c r="A77" t="inlineStr">
        <is>
          <t>redalert2mod</t>
        </is>
      </c>
      <c r="B77" t="inlineStr">
        <is>
          <t>rammax.latin</t>
        </is>
      </c>
      <c r="C77" t="inlineStr">
        <is>
          <t>Rammax Drone</t>
        </is>
      </c>
      <c r="D77" s="6" t="inlineStr">
        <is>
          <t>ScoutShip</t>
        </is>
      </c>
      <c r="E77" s="6" t="n">
        <v>47500</v>
      </c>
      <c r="F77" s="6" t="n">
        <v>125</v>
      </c>
      <c r="G77" t="inlineStr">
        <is>
          <t>Medium</t>
        </is>
      </c>
      <c r="H77" s="6" t="n">
        <v>0.9429</v>
      </c>
      <c r="I77" s="6" t="n">
        <v>1</v>
      </c>
      <c r="J77" s="6" t="n">
        <v>1</v>
      </c>
      <c r="K77" s="6" t="n"/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800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Rammax_Sabot</t>
        </is>
      </c>
      <c r="C78" s="7" t="inlineStr">
        <is>
          <t>Armament@PRIMARY</t>
        </is>
      </c>
      <c r="L78" s="6" t="n">
        <v>14000</v>
      </c>
      <c r="M78" s="6" t="n">
        <v>15</v>
      </c>
      <c r="N78" s="6" t="n">
        <v>1</v>
      </c>
      <c r="O78" s="6" t="n"/>
      <c r="P78" s="6" t="n">
        <v>3072</v>
      </c>
      <c r="Q78" s="6" t="n">
        <v>1</v>
      </c>
      <c r="R78">
        <f>M78+IF(N78&gt;1,N(O78)*(N78-1),0)</f>
        <v/>
      </c>
      <c r="S78">
        <f>IFERROR(L78*MAX(N78,1)/R78*IF(ISBLANK(K77),1,K77),0)</f>
        <v/>
      </c>
      <c r="AB78" s="7" t="inlineStr">
        <is>
          <t>^Chaingun, ^LaserWeapon, ^TeslaWeapon, ^TSLaserEffect</t>
        </is>
      </c>
    </row>
    <row r="79">
      <c r="B79" s="7" t="inlineStr">
        <is>
          <t xml:space="preserve">  ↳ Rammax_Sabot</t>
        </is>
      </c>
      <c r="C79" s="7" t="inlineStr">
        <is>
          <t>Armament@ELITE</t>
        </is>
      </c>
      <c r="L79" s="6" t="n">
        <v>14000</v>
      </c>
      <c r="M79" s="6" t="n">
        <v>15</v>
      </c>
      <c r="N79" s="6" t="n">
        <v>1</v>
      </c>
      <c r="O79" s="6" t="n"/>
      <c r="P79" s="6" t="n">
        <v>3072</v>
      </c>
      <c r="Q79" s="6" t="n">
        <v>1</v>
      </c>
      <c r="R79">
        <f>M79+IF(N79&gt;1,N(O79)*(N79-1),0)</f>
        <v/>
      </c>
      <c r="S79">
        <f>IFERROR(L79*MAX(N79,1)/R79*IF(ISBLANK(K77),1,K77),0)</f>
        <v/>
      </c>
      <c r="AB79" s="7" t="inlineStr">
        <is>
          <t>^Chaingun, ^LaserWeapon, ^TeslaWeapon, ^TSLaserEffect</t>
        </is>
      </c>
    </row>
    <row r="80">
      <c r="A80" t="inlineStr">
        <is>
          <t>redalert2mod</t>
        </is>
      </c>
      <c r="B80" t="inlineStr">
        <is>
          <t>sub.latin</t>
        </is>
      </c>
      <c r="C80" t="inlineStr">
        <is>
          <t>Akula</t>
        </is>
      </c>
      <c r="D80" s="6" t="inlineStr">
        <is>
          <t>ScoutShip</t>
        </is>
      </c>
      <c r="E80" s="6" t="n">
        <v>240000</v>
      </c>
      <c r="F80" s="6" t="n">
        <v>55</v>
      </c>
      <c r="G80" t="inlineStr">
        <is>
          <t>Heavy</t>
        </is>
      </c>
      <c r="H80" s="6" t="n">
        <v>0.4286</v>
      </c>
      <c r="I80" s="6" t="n">
        <v>1</v>
      </c>
      <c r="J80" s="6" t="n">
        <v>1</v>
      </c>
      <c r="K80" s="6" t="n">
        <v>0.02</v>
      </c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3600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RA2AkulaRockets</t>
        </is>
      </c>
      <c r="C81" s="7" t="inlineStr">
        <is>
          <t>Armament@ARTILLERY</t>
        </is>
      </c>
      <c r="L81" s="6" t="n">
        <v>24000</v>
      </c>
      <c r="M81" s="6" t="n">
        <v>500</v>
      </c>
      <c r="N81" s="6" t="n">
        <v>8</v>
      </c>
      <c r="O81" s="6" t="n">
        <v>15</v>
      </c>
      <c r="P81" s="6" t="n">
        <v>24000</v>
      </c>
      <c r="Q81" s="6" t="n">
        <v>1</v>
      </c>
      <c r="R81">
        <f>M81+IF(N81&gt;1,N(O81)*(N81-1),0)</f>
        <v/>
      </c>
      <c r="S81">
        <f>IFERROR(L81*MAX(N81,1)/R81*IF(ISBLANK(K80),1,K80),0)</f>
        <v/>
      </c>
      <c r="AB81" s="7" t="inlineStr">
        <is>
          <t>^Warhead_Demolition_Heavy, ^Warhead_Demolition_Light, ^Warhead_MissileAP_Medium</t>
        </is>
      </c>
    </row>
    <row r="82">
      <c r="A82" t="inlineStr">
        <is>
          <t>redalert2mod</t>
        </is>
      </c>
      <c r="B82" t="inlineStr">
        <is>
          <t>tuboat.nax</t>
        </is>
      </c>
      <c r="C82" t="inlineStr">
        <is>
          <t>Torpedo U boat</t>
        </is>
      </c>
      <c r="D82" s="6" t="inlineStr">
        <is>
          <t>ScoutShip</t>
        </is>
      </c>
      <c r="E82" s="6" t="n">
        <v>120000</v>
      </c>
      <c r="F82" s="6" t="n">
        <v>78</v>
      </c>
      <c r="G82" t="inlineStr">
        <is>
          <t>Heavy</t>
        </is>
      </c>
      <c r="H82" s="6" t="n">
        <v>0.9649</v>
      </c>
      <c r="I82" s="6" t="n">
        <v>1</v>
      </c>
      <c r="J82" s="6" t="n">
        <v>1</v>
      </c>
      <c r="K82" s="6" t="n"/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1200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AsianSmallTorpedo</t>
        </is>
      </c>
      <c r="C83" s="7" t="inlineStr">
        <is>
          <t>Armament@Torp</t>
        </is>
      </c>
      <c r="L83" s="6" t="n">
        <v>24000</v>
      </c>
      <c r="M83" s="6" t="n">
        <v>120</v>
      </c>
      <c r="N83" s="6" t="n">
        <v>2</v>
      </c>
      <c r="O83" s="6" t="n">
        <v>8</v>
      </c>
      <c r="P83" s="6" t="n">
        <v>12000</v>
      </c>
      <c r="Q83" s="6" t="n">
        <v>1</v>
      </c>
      <c r="R83">
        <f>M83+IF(N83&gt;1,N(O83)*(N83-1),0)</f>
        <v/>
      </c>
      <c r="S83">
        <f>IFERROR(L83*MAX(N83,1)/R83*IF(ISBLANK(K82),1,K82),0)</f>
        <v/>
      </c>
      <c r="AB83" s="7" t="inlineStr">
        <is>
          <t>^Warhead_Demolition_Light, ^Warhead_MissileAP_Heavy</t>
        </is>
      </c>
    </row>
    <row r="84">
      <c r="A84" s="4" t="inlineStr">
        <is>
          <t>BattleShip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>
      <c r="A85" t="inlineStr">
        <is>
          <t>tiberiandawn</t>
        </is>
      </c>
      <c r="B85" t="inlineStr">
        <is>
          <t>CNCCA</t>
        </is>
      </c>
      <c r="C85" t="inlineStr">
        <is>
          <t>Railgun Battleship</t>
        </is>
      </c>
      <c r="D85" s="6" t="inlineStr">
        <is>
          <t>BattleShip</t>
        </is>
      </c>
      <c r="E85" s="6" t="n">
        <v>167500</v>
      </c>
      <c r="F85" s="6" t="n">
        <v>50</v>
      </c>
      <c r="G85" t="inlineStr">
        <is>
          <t>Superheavy</t>
        </is>
      </c>
      <c r="H85" s="6" t="n">
        <v>0.6471</v>
      </c>
      <c r="I85" s="6" t="n">
        <v>1</v>
      </c>
      <c r="J85" s="6" t="n">
        <v>1</v>
      </c>
      <c r="K85" s="6" t="n"/>
      <c r="P85">
        <f>MAX(P86,P87)</f>
        <v/>
      </c>
      <c r="S85">
        <f>S86+S87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2600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GDIBattleshipRailgun</t>
        </is>
      </c>
      <c r="C86" s="7" t="inlineStr">
        <is>
          <t>Armament@PRIMARY</t>
        </is>
      </c>
      <c r="L86" s="6" t="n">
        <v>50000</v>
      </c>
      <c r="M86" s="6" t="n">
        <v>100</v>
      </c>
      <c r="N86" s="6" t="n">
        <v>1</v>
      </c>
      <c r="O86" s="6" t="n"/>
      <c r="P86" s="6" t="n">
        <v>10000</v>
      </c>
      <c r="Q86" s="6" t="n">
        <v>1.25</v>
      </c>
      <c r="R86">
        <f>M86+IF(N86&gt;1,N(O86)*(N86-1),0)</f>
        <v/>
      </c>
      <c r="S86">
        <f>IFERROR(L86*MAX(N86,1)/R86*IF(ISBLANK(K85),1,K85),0)</f>
        <v/>
      </c>
      <c r="AB86" s="7" t="inlineStr">
        <is>
          <t>^Warhead_Railgun_Heavy</t>
        </is>
      </c>
    </row>
    <row r="87">
      <c r="B87" s="7" t="inlineStr">
        <is>
          <t xml:space="preserve">  ↳ GDIBattleshipRailgun</t>
        </is>
      </c>
      <c r="C87" s="7" t="inlineStr">
        <is>
          <t>Armament@SECONDARY</t>
        </is>
      </c>
      <c r="L87" s="6" t="n">
        <v>50000</v>
      </c>
      <c r="M87" s="6" t="n">
        <v>100</v>
      </c>
      <c r="N87" s="6" t="n">
        <v>1</v>
      </c>
      <c r="O87" s="6" t="n"/>
      <c r="P87" s="6" t="n">
        <v>10000</v>
      </c>
      <c r="Q87" s="6" t="n">
        <v>1.25</v>
      </c>
      <c r="R87">
        <f>M87+IF(N87&gt;1,N(O87)*(N87-1),0)</f>
        <v/>
      </c>
      <c r="S87">
        <f>IFERROR(L87*MAX(N87,1)/R87*IF(ISBLANK(K85),1,K85),0)</f>
        <v/>
      </c>
      <c r="AB87" s="7" t="inlineStr">
        <is>
          <t>^Warhead_Railgun_Heavy</t>
        </is>
      </c>
    </row>
    <row r="88">
      <c r="A88" t="inlineStr">
        <is>
          <t>tiberiandawn</t>
        </is>
      </c>
      <c r="B88" t="inlineStr">
        <is>
          <t>nodlasercorvette</t>
        </is>
      </c>
      <c r="C88" t="inlineStr">
        <is>
          <t>Nod Laser Corvette</t>
        </is>
      </c>
      <c r="D88" s="6" t="inlineStr">
        <is>
          <t>BattleShip</t>
        </is>
      </c>
      <c r="E88" s="6" t="n">
        <v>150000</v>
      </c>
      <c r="F88" s="6" t="n">
        <v>60</v>
      </c>
      <c r="G88" t="inlineStr">
        <is>
          <t>Medium</t>
        </is>
      </c>
      <c r="H88" s="6" t="n">
        <v>0.4015</v>
      </c>
      <c r="I88" s="6" t="n">
        <v>1</v>
      </c>
      <c r="J88" s="6" t="n">
        <v>1</v>
      </c>
      <c r="K88" s="6" t="n"/>
      <c r="P88">
        <f>MAX(P89,P90)</f>
        <v/>
      </c>
      <c r="S88">
        <f>S89+S90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2300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CorvetteLaserObelisk</t>
        </is>
      </c>
      <c r="C89" s="7" t="inlineStr">
        <is>
          <t>Armament@PRIMARY</t>
        </is>
      </c>
      <c r="L89" s="6" t="n">
        <v>120000</v>
      </c>
      <c r="M89" s="6" t="n">
        <v>90</v>
      </c>
      <c r="N89" s="6" t="n">
        <v>1</v>
      </c>
      <c r="O89" s="6" t="n"/>
      <c r="P89" s="6" t="n">
        <v>9550</v>
      </c>
      <c r="Q89" s="6" t="n">
        <v>1.25</v>
      </c>
      <c r="R89">
        <f>M89+IF(N89&gt;1,N(O89)*(N89-1),0)</f>
        <v/>
      </c>
      <c r="S89">
        <f>IFERROR(L89*MAX(N89,1)/R89*IF(ISBLANK(K88),1,K88),0)</f>
        <v/>
      </c>
      <c r="AB89" s="7" t="inlineStr">
        <is>
          <t>^Warhead_Laser_Heavy</t>
        </is>
      </c>
    </row>
    <row r="90">
      <c r="B90" s="7" t="inlineStr">
        <is>
          <t xml:space="preserve">  ↳ CorvetteDragon</t>
        </is>
      </c>
      <c r="C90" s="7" t="inlineStr">
        <is>
          <t>Armament@SECONDARY</t>
        </is>
      </c>
      <c r="L90" s="6" t="n">
        <v>10000</v>
      </c>
      <c r="M90" s="6" t="n">
        <v>35</v>
      </c>
      <c r="N90" s="6" t="n">
        <v>2</v>
      </c>
      <c r="O90" s="6" t="n">
        <v>7</v>
      </c>
      <c r="P90" s="6" t="n">
        <v>9550</v>
      </c>
      <c r="Q90" s="6" t="n">
        <v>1.25</v>
      </c>
      <c r="R90">
        <f>M90+IF(N90&gt;1,N(O90)*(N90-1),0)</f>
        <v/>
      </c>
      <c r="S90">
        <f>IFERROR(L90*MAX(N90,1)/R90*IF(ISBLANK(K88),1,K88),0)</f>
        <v/>
      </c>
      <c r="AB90" s="7" t="inlineStr">
        <is>
          <t>^Warhead_MissileAP_Heavy</t>
        </is>
      </c>
    </row>
    <row r="91">
      <c r="A91" t="inlineStr">
        <is>
          <t>shared</t>
        </is>
      </c>
      <c r="B91" t="inlineStr">
        <is>
          <t>japan_yamatobattleship</t>
        </is>
      </c>
      <c r="C91" t="inlineStr">
        <is>
          <t>Yamato Battleship</t>
        </is>
      </c>
      <c r="D91" s="6" t="inlineStr">
        <is>
          <t>BattleShip</t>
        </is>
      </c>
      <c r="E91" s="6" t="n">
        <v>250000</v>
      </c>
      <c r="F91" s="6" t="n">
        <v>35</v>
      </c>
      <c r="G91" t="inlineStr">
        <is>
          <t>Superheavy</t>
        </is>
      </c>
      <c r="H91" s="6" t="n">
        <v>1</v>
      </c>
      <c r="I91" s="6" t="n">
        <v>1</v>
      </c>
      <c r="J91" s="6" t="n">
        <v>1</v>
      </c>
      <c r="K91" s="6" t="n"/>
      <c r="P91">
        <f>MAX(P92,P93,P94)</f>
        <v/>
      </c>
      <c r="S91">
        <f>S92+S93+S94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2200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YamatoCannon</t>
        </is>
      </c>
      <c r="C92" s="7" t="inlineStr">
        <is>
          <t>Armament@PRIMARY</t>
        </is>
      </c>
      <c r="L92" s="6" t="n">
        <v>40000</v>
      </c>
      <c r="M92" s="6" t="n">
        <v>125</v>
      </c>
      <c r="N92" s="6" t="n">
        <v>2</v>
      </c>
      <c r="O92" s="6" t="n"/>
      <c r="P92" s="6" t="n">
        <v>12500</v>
      </c>
      <c r="Q92" s="6" t="n">
        <v>1.25</v>
      </c>
      <c r="R92">
        <f>M92+IF(N92&gt;1,N(O92)*(N92-1),0)</f>
        <v/>
      </c>
      <c r="S92">
        <f>IFERROR(L92*MAX(N92,1)/R92*IF(ISBLANK(K91),1,K91),0)</f>
        <v/>
      </c>
      <c r="AB92" s="7" t="inlineStr">
        <is>
          <t>^Warhead_Demolition_Heavy, ^Warhead_CannonHE_Heavy</t>
        </is>
      </c>
    </row>
    <row r="93">
      <c r="B93" s="7" t="inlineStr">
        <is>
          <t xml:space="preserve">  ↳ YamatoCannon</t>
        </is>
      </c>
      <c r="C93" s="7" t="inlineStr">
        <is>
          <t>Armament@SECONDARY</t>
        </is>
      </c>
      <c r="L93" s="6" t="n">
        <v>40000</v>
      </c>
      <c r="M93" s="6" t="n">
        <v>125</v>
      </c>
      <c r="N93" s="6" t="n">
        <v>2</v>
      </c>
      <c r="O93" s="6" t="n"/>
      <c r="P93" s="6" t="n">
        <v>12500</v>
      </c>
      <c r="Q93" s="6" t="n">
        <v>1.25</v>
      </c>
      <c r="R93">
        <f>M93+IF(N93&gt;1,N(O93)*(N93-1),0)</f>
        <v/>
      </c>
      <c r="S93">
        <f>IFERROR(L93*MAX(N93,1)/R93*IF(ISBLANK(K91),1,K91),0)</f>
        <v/>
      </c>
      <c r="AB93" s="7" t="inlineStr">
        <is>
          <t>^Warhead_Demolition_Heavy, ^Warhead_CannonHE_Heavy</t>
        </is>
      </c>
    </row>
    <row r="94">
      <c r="B94" s="7" t="inlineStr">
        <is>
          <t xml:space="preserve">  ↳ YamatoFlak</t>
        </is>
      </c>
      <c r="C94" s="7" t="inlineStr">
        <is>
          <t>Armament@AA</t>
        </is>
      </c>
      <c r="L94" s="6" t="n">
        <v>2000</v>
      </c>
      <c r="M94" s="6" t="n">
        <v>4</v>
      </c>
      <c r="N94" s="6" t="n">
        <v>1</v>
      </c>
      <c r="O94" s="6" t="n"/>
      <c r="P94" s="6" t="n">
        <v>12500</v>
      </c>
      <c r="Q94" s="6" t="n">
        <v>1</v>
      </c>
      <c r="R94">
        <f>M94+IF(N94&gt;1,N(O94)*(N94-1),0)</f>
        <v/>
      </c>
      <c r="S94">
        <f>IFERROR(L94*MAX(N94,1)/R94*IF(ISBLANK(K91),1,K91),0)</f>
        <v/>
      </c>
      <c r="AB94" s="7" t="inlineStr">
        <is>
          <t>^Warhead_Flak_Medium</t>
        </is>
      </c>
    </row>
    <row r="95">
      <c r="A95" t="inlineStr">
        <is>
          <t>shared</t>
        </is>
      </c>
      <c r="B95" t="inlineStr">
        <is>
          <t>ra1_allies_destroyer</t>
        </is>
      </c>
      <c r="C95" t="inlineStr">
        <is>
          <t>Destroyer</t>
        </is>
      </c>
      <c r="D95" s="6" t="inlineStr">
        <is>
          <t>BattleShip</t>
        </is>
      </c>
      <c r="E95" s="6" t="n">
        <v>125000</v>
      </c>
      <c r="F95" s="6" t="n">
        <v>85</v>
      </c>
      <c r="G95" t="inlineStr">
        <is>
          <t>Heavy</t>
        </is>
      </c>
      <c r="H95" s="6" t="n">
        <v>1</v>
      </c>
      <c r="I95" s="6" t="n">
        <v>1</v>
      </c>
      <c r="J95" s="6" t="n">
        <v>1</v>
      </c>
      <c r="K95" s="6" t="n"/>
      <c r="P95">
        <f>MAX(P96,P97,P98,P99)</f>
        <v/>
      </c>
      <c r="S95">
        <f>S96+S97+S98+S99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1600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Stinger</t>
        </is>
      </c>
      <c r="C96" s="7" t="inlineStr">
        <is>
          <t>Armament</t>
        </is>
      </c>
      <c r="L96" s="6" t="n">
        <v>10000</v>
      </c>
      <c r="M96" s="6" t="n">
        <v>27</v>
      </c>
      <c r="N96" s="6" t="n">
        <v>2</v>
      </c>
      <c r="O96" s="6" t="n">
        <v>7</v>
      </c>
      <c r="P96" s="6" t="n">
        <v>8000</v>
      </c>
      <c r="Q96" s="6" t="n">
        <v>1.25</v>
      </c>
      <c r="R96">
        <f>M96+IF(N96&gt;1,N(O96)*(N96-1),0)</f>
        <v/>
      </c>
      <c r="S96">
        <f>IFERROR(L96*MAX(N96,1)/R96*IF(ISBLANK(K95),1,K95),0)</f>
        <v/>
      </c>
      <c r="AB96" s="7" t="inlineStr">
        <is>
          <t>^Warhead_MissileAP_Heavy</t>
        </is>
      </c>
    </row>
    <row r="97">
      <c r="B97" s="7" t="inlineStr">
        <is>
          <t xml:space="preserve">  ↳ StingerCryo</t>
        </is>
      </c>
      <c r="C97" s="7" t="inlineStr">
        <is>
          <t>Armament@Upgrade</t>
        </is>
      </c>
      <c r="L97" s="6" t="n">
        <v>10000</v>
      </c>
      <c r="M97" s="6" t="n">
        <v>27</v>
      </c>
      <c r="N97" s="6" t="n">
        <v>2</v>
      </c>
      <c r="O97" s="6" t="n">
        <v>7</v>
      </c>
      <c r="P97" s="6" t="n">
        <v>8000</v>
      </c>
      <c r="Q97" s="6" t="n">
        <v>1.25</v>
      </c>
      <c r="R97">
        <f>M97+IF(N97&gt;1,N(O97)*(N97-1),0)</f>
        <v/>
      </c>
      <c r="S97">
        <f>IFERROR(L97*MAX(N97,1)/R97*IF(ISBLANK(K95),1,K95),0)</f>
        <v/>
      </c>
      <c r="AB97" s="7" t="inlineStr">
        <is>
          <t>^Warhead_MissileAP_Heavy</t>
        </is>
      </c>
    </row>
    <row r="98">
      <c r="B98" s="7" t="inlineStr">
        <is>
          <t xml:space="preserve">  ↳ DepthCharge</t>
        </is>
      </c>
      <c r="C98" s="7" t="inlineStr">
        <is>
          <t>Armament@DC1</t>
        </is>
      </c>
      <c r="L98" s="6" t="n">
        <v>60000</v>
      </c>
      <c r="M98" s="6" t="n">
        <v>60</v>
      </c>
      <c r="N98" s="6" t="n">
        <v>1</v>
      </c>
      <c r="O98" s="6" t="n"/>
      <c r="P98" s="6" t="n">
        <v>6000</v>
      </c>
      <c r="Q98" s="6" t="n">
        <v>0.75</v>
      </c>
      <c r="R98">
        <f>M98+IF(N98&gt;1,N(O98)*(N98-1),0)</f>
        <v/>
      </c>
      <c r="S98">
        <f>IFERROR(L98*MAX(N98,1)/R98*IF(ISBLANK(K95),1,K95),0)</f>
        <v/>
      </c>
      <c r="AB98" s="7" t="inlineStr">
        <is>
          <t>^Warhead_Demolition_Light</t>
        </is>
      </c>
    </row>
    <row r="99">
      <c r="B99" s="7" t="inlineStr">
        <is>
          <t xml:space="preserve">  ↳ DepthCharge</t>
        </is>
      </c>
      <c r="C99" s="7" t="inlineStr">
        <is>
          <t>Armament@DC2</t>
        </is>
      </c>
      <c r="L99" s="6" t="n">
        <v>60000</v>
      </c>
      <c r="M99" s="6" t="n">
        <v>60</v>
      </c>
      <c r="N99" s="6" t="n">
        <v>1</v>
      </c>
      <c r="O99" s="6" t="n"/>
      <c r="P99" s="6" t="n">
        <v>6000</v>
      </c>
      <c r="Q99" s="6" t="n">
        <v>0.75</v>
      </c>
      <c r="R99">
        <f>M99+IF(N99&gt;1,N(O99)*(N99-1),0)</f>
        <v/>
      </c>
      <c r="S99">
        <f>IFERROR(L99*MAX(N99,1)/R99*IF(ISBLANK(K95),1,K95),0)</f>
        <v/>
      </c>
      <c r="AB99" s="7" t="inlineStr">
        <is>
          <t>^Warhead_Demolition_Light</t>
        </is>
      </c>
    </row>
    <row r="100">
      <c r="A100" t="inlineStr">
        <is>
          <t>tiberiansun</t>
        </is>
      </c>
      <c r="B100" t="inlineStr">
        <is>
          <t>ts_gdi_destroyer</t>
        </is>
      </c>
      <c r="C100" t="inlineStr">
        <is>
          <t>GDI Destroyer</t>
        </is>
      </c>
      <c r="D100" s="6" t="inlineStr">
        <is>
          <t>BattleShip</t>
        </is>
      </c>
      <c r="E100" s="6" t="n">
        <v>125000</v>
      </c>
      <c r="F100" s="6" t="n">
        <v>85</v>
      </c>
      <c r="G100" t="inlineStr">
        <is>
          <t>Heavy</t>
        </is>
      </c>
      <c r="H100" s="6" t="n">
        <v>1</v>
      </c>
      <c r="I100" s="6" t="n">
        <v>1</v>
      </c>
      <c r="J100" s="6" t="n">
        <v>1</v>
      </c>
      <c r="K100" s="6" t="n"/>
      <c r="P100">
        <f>MAX(P101,P102,P103)</f>
        <v/>
      </c>
      <c r="S100">
        <f>S101+S102+S103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1600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TSDestroyerMissiles</t>
        </is>
      </c>
      <c r="C101" s="7" t="inlineStr">
        <is>
          <t>Armament</t>
        </is>
      </c>
      <c r="L101" s="6" t="n">
        <v>12000</v>
      </c>
      <c r="M101" s="6" t="n">
        <v>60</v>
      </c>
      <c r="N101" s="6" t="n">
        <v>4</v>
      </c>
      <c r="O101" s="6" t="n">
        <v>4</v>
      </c>
      <c r="P101" s="6" t="n">
        <v>8159</v>
      </c>
      <c r="Q101" s="6" t="n">
        <v>1</v>
      </c>
      <c r="R101">
        <f>M101+IF(N101&gt;1,N(O101)*(N101-1),0)</f>
        <v/>
      </c>
      <c r="S101">
        <f>IFERROR(L101*MAX(N101,1)/R101*IF(ISBLANK(K100),1,K100),0)</f>
        <v/>
      </c>
      <c r="AB101" s="7" t="inlineStr">
        <is>
          <t>^FlakWeapon, ^MediumMissile, ^ShrapnelWeapon</t>
        </is>
      </c>
    </row>
    <row r="102">
      <c r="B102" s="7" t="inlineStr">
        <is>
          <t xml:space="preserve">  ↳ DepthCharge</t>
        </is>
      </c>
      <c r="C102" s="7" t="inlineStr">
        <is>
          <t>Armament@DC1</t>
        </is>
      </c>
      <c r="L102" s="6" t="n">
        <v>60000</v>
      </c>
      <c r="M102" s="6" t="n">
        <v>60</v>
      </c>
      <c r="N102" s="6" t="n">
        <v>1</v>
      </c>
      <c r="O102" s="6" t="n"/>
      <c r="P102" s="6" t="n">
        <v>6000</v>
      </c>
      <c r="Q102" s="6" t="n">
        <v>0.75</v>
      </c>
      <c r="R102">
        <f>M102+IF(N102&gt;1,N(O102)*(N102-1),0)</f>
        <v/>
      </c>
      <c r="S102">
        <f>IFERROR(L102*MAX(N102,1)/R102*IF(ISBLANK(K100),1,K100),0)</f>
        <v/>
      </c>
      <c r="AB102" s="7" t="inlineStr">
        <is>
          <t>^Warhead_Demolition_Light</t>
        </is>
      </c>
    </row>
    <row r="103">
      <c r="B103" s="7" t="inlineStr">
        <is>
          <t xml:space="preserve">  ↳ DepthCharge</t>
        </is>
      </c>
      <c r="C103" s="7" t="inlineStr">
        <is>
          <t>Armament@DC2</t>
        </is>
      </c>
      <c r="L103" s="6" t="n">
        <v>60000</v>
      </c>
      <c r="M103" s="6" t="n">
        <v>60</v>
      </c>
      <c r="N103" s="6" t="n">
        <v>1</v>
      </c>
      <c r="O103" s="6" t="n"/>
      <c r="P103" s="6" t="n">
        <v>6000</v>
      </c>
      <c r="Q103" s="6" t="n">
        <v>0.75</v>
      </c>
      <c r="R103">
        <f>M103+IF(N103&gt;1,N(O103)*(N103-1),0)</f>
        <v/>
      </c>
      <c r="S103">
        <f>IFERROR(L103*MAX(N103,1)/R103*IF(ISBLANK(K100),1,K100),0)</f>
        <v/>
      </c>
      <c r="AB103" s="7" t="inlineStr">
        <is>
          <t>^Warhead_Demolition_Light</t>
        </is>
      </c>
    </row>
    <row r="104">
      <c r="A104" t="inlineStr">
        <is>
          <t>tiberiansun</t>
        </is>
      </c>
      <c r="B104" t="inlineStr">
        <is>
          <t>forgotten_cannonboat</t>
        </is>
      </c>
      <c r="C104" t="inlineStr">
        <is>
          <t>Cannon Tug</t>
        </is>
      </c>
      <c r="D104" s="6" t="inlineStr">
        <is>
          <t>BattleShip</t>
        </is>
      </c>
      <c r="E104" s="6" t="n">
        <v>125000</v>
      </c>
      <c r="F104" s="6" t="n">
        <v>85</v>
      </c>
      <c r="G104" t="inlineStr">
        <is>
          <t>Heavy</t>
        </is>
      </c>
      <c r="H104" s="6" t="n">
        <v>1</v>
      </c>
      <c r="I104" s="6" t="n">
        <v>1</v>
      </c>
      <c r="J104" s="6" t="n">
        <v>1</v>
      </c>
      <c r="K104" s="6" t="n"/>
      <c r="P104">
        <f>MAX(P105,P106,P107,P108)</f>
        <v/>
      </c>
      <c r="S104">
        <f>S105+S106+S107+S108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1600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TSBoatcannon</t>
        </is>
      </c>
      <c r="C105" s="7" t="inlineStr">
        <is>
          <t>Armament</t>
        </is>
      </c>
      <c r="L105" s="6" t="n">
        <v>18000</v>
      </c>
      <c r="M105" s="6" t="n">
        <v>80</v>
      </c>
      <c r="N105" s="6" t="n">
        <v>2</v>
      </c>
      <c r="O105" s="6" t="n">
        <v>3</v>
      </c>
      <c r="P105" s="6" t="n">
        <v>8000</v>
      </c>
      <c r="Q105" s="6" t="n">
        <v>1.125</v>
      </c>
      <c r="R105">
        <f>M105+IF(N105&gt;1,N(O105)*(N105-1),0)</f>
        <v/>
      </c>
      <c r="S105">
        <f>IFERROR(L105*MAX(N105,1)/R105*IF(ISBLANK(K104),1,K104),0)</f>
        <v/>
      </c>
      <c r="AB105" s="7" t="inlineStr">
        <is>
          <t>^Warhead_Concussion_Medium, ^Warhead_Demolition_Heavy</t>
        </is>
      </c>
    </row>
    <row r="106">
      <c r="B106" s="7" t="inlineStr">
        <is>
          <t xml:space="preserve">  ↳ TSChemBoatcannon</t>
        </is>
      </c>
      <c r="C106" s="7" t="inlineStr">
        <is>
          <t>Armament@UPGRADE</t>
        </is>
      </c>
      <c r="L106" s="6" t="n">
        <v>25000</v>
      </c>
      <c r="M106" s="6" t="n">
        <v>80</v>
      </c>
      <c r="N106" s="6" t="n">
        <v>2</v>
      </c>
      <c r="O106" s="6" t="n">
        <v>3</v>
      </c>
      <c r="P106" s="6" t="n">
        <v>8000</v>
      </c>
      <c r="Q106" s="6" t="n">
        <v>1</v>
      </c>
      <c r="R106">
        <f>M106+IF(N106&gt;1,N(O106)*(N106-1),0)</f>
        <v/>
      </c>
      <c r="S106">
        <f>IFERROR(L106*MAX(N106,1)/R106*IF(ISBLANK(K104),1,K104),0)</f>
        <v/>
      </c>
      <c r="AB106" s="7" t="inlineStr">
        <is>
          <t>^ShrapnelWeapon, ^HeavyBomb, ^MediumChemicalWeapon</t>
        </is>
      </c>
    </row>
    <row r="107">
      <c r="B107" s="7" t="inlineStr">
        <is>
          <t xml:space="preserve">  ↳ DepthCharge</t>
        </is>
      </c>
      <c r="C107" s="7" t="inlineStr">
        <is>
          <t>Armament@DC1</t>
        </is>
      </c>
      <c r="L107" s="6" t="n">
        <v>60000</v>
      </c>
      <c r="M107" s="6" t="n">
        <v>60</v>
      </c>
      <c r="N107" s="6" t="n">
        <v>1</v>
      </c>
      <c r="O107" s="6" t="n"/>
      <c r="P107" s="6" t="n">
        <v>6000</v>
      </c>
      <c r="Q107" s="6" t="n">
        <v>0.75</v>
      </c>
      <c r="R107">
        <f>M107+IF(N107&gt;1,N(O107)*(N107-1),0)</f>
        <v/>
      </c>
      <c r="S107">
        <f>IFERROR(L107*MAX(N107,1)/R107*IF(ISBLANK(K104),1,K104),0)</f>
        <v/>
      </c>
      <c r="AB107" s="7" t="inlineStr">
        <is>
          <t>^Warhead_Demolition_Light</t>
        </is>
      </c>
    </row>
    <row r="108">
      <c r="B108" s="7" t="inlineStr">
        <is>
          <t xml:space="preserve">  ↳ DepthCharge</t>
        </is>
      </c>
      <c r="C108" s="7" t="inlineStr">
        <is>
          <t>Armament@DC2</t>
        </is>
      </c>
      <c r="L108" s="6" t="n">
        <v>60000</v>
      </c>
      <c r="M108" s="6" t="n">
        <v>60</v>
      </c>
      <c r="N108" s="6" t="n">
        <v>1</v>
      </c>
      <c r="O108" s="6" t="n"/>
      <c r="P108" s="6" t="n">
        <v>6000</v>
      </c>
      <c r="Q108" s="6" t="n">
        <v>0.75</v>
      </c>
      <c r="R108">
        <f>M108+IF(N108&gt;1,N(O108)*(N108-1),0)</f>
        <v/>
      </c>
      <c r="S108">
        <f>IFERROR(L108*MAX(N108,1)/R108*IF(ISBLANK(K104),1,K104),0)</f>
        <v/>
      </c>
      <c r="AB108" s="7" t="inlineStr">
        <is>
          <t>^Warhead_Demolition_Light</t>
        </is>
      </c>
    </row>
    <row r="109">
      <c r="A109" t="inlineStr">
        <is>
          <t>redalert2</t>
        </is>
      </c>
      <c r="B109" t="inlineStr">
        <is>
          <t>ra2_allies_aegiscruiser</t>
        </is>
      </c>
      <c r="C109" t="inlineStr">
        <is>
          <t>actor_aegis.name</t>
        </is>
      </c>
      <c r="D109" s="6" t="inlineStr">
        <is>
          <t>BattleShip</t>
        </is>
      </c>
      <c r="E109" s="6" t="n">
        <v>90000</v>
      </c>
      <c r="F109" s="6" t="n">
        <v>90</v>
      </c>
      <c r="G109" t="inlineStr">
        <is>
          <t>Medium</t>
        </is>
      </c>
      <c r="H109" s="6" t="n">
        <v>0.8639</v>
      </c>
      <c r="I109" s="6" t="n">
        <v>1</v>
      </c>
      <c r="J109" s="6" t="n">
        <v>1</v>
      </c>
      <c r="K109" s="6" t="n"/>
      <c r="P109">
        <f>MAX(P110,P111)</f>
        <v/>
      </c>
      <c r="S109">
        <f>S110+S111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1500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RA2Medusa_AA</t>
        </is>
      </c>
      <c r="C110" s="7" t="inlineStr">
        <is>
          <t>Armament@AA</t>
        </is>
      </c>
      <c r="L110" s="6" t="n">
        <v>30000</v>
      </c>
      <c r="M110" s="6" t="n">
        <v>100</v>
      </c>
      <c r="N110" s="6" t="n">
        <v>3</v>
      </c>
      <c r="O110" s="6" t="n">
        <v>13</v>
      </c>
      <c r="P110" s="6" t="n">
        <v>13500</v>
      </c>
      <c r="Q110" s="6" t="n">
        <v>1</v>
      </c>
      <c r="R110">
        <f>M110+IF(N110&gt;1,N(O110)*(N110-1),0)</f>
        <v/>
      </c>
      <c r="S110">
        <f>IFERROR(L110*MAX(N110,1)/R110*IF(ISBLANK(K109),1,K109),0)</f>
        <v/>
      </c>
      <c r="AB110" s="7" t="inlineStr">
        <is>
          <t>^Warhead_MissileAP_Medium</t>
        </is>
      </c>
    </row>
    <row r="111">
      <c r="B111" s="7" t="inlineStr">
        <is>
          <t xml:space="preserve">  ↳ RA2MedusaAG</t>
        </is>
      </c>
      <c r="C111" s="7" t="inlineStr">
        <is>
          <t>Armament@AG</t>
        </is>
      </c>
      <c r="L111" s="6" t="n">
        <v>30000</v>
      </c>
      <c r="M111" s="6" t="n">
        <v>100</v>
      </c>
      <c r="N111" s="6" t="n">
        <v>3</v>
      </c>
      <c r="O111" s="6" t="n">
        <v>13</v>
      </c>
      <c r="P111" s="6" t="n">
        <v>9000</v>
      </c>
      <c r="Q111" s="6" t="n">
        <v>1</v>
      </c>
      <c r="R111">
        <f>M111+IF(N111&gt;1,N(O111)*(N111-1),0)</f>
        <v/>
      </c>
      <c r="S111">
        <f>IFERROR(L111*MAX(N111,1)/R111*IF(ISBLANK(K109),1,K109),0)</f>
        <v/>
      </c>
      <c r="AB111" s="7" t="inlineStr">
        <is>
          <t>^Warhead_MissileAP_Medium</t>
        </is>
      </c>
    </row>
    <row r="112">
      <c r="A112" t="inlineStr">
        <is>
          <t>redalert2</t>
        </is>
      </c>
      <c r="B112" t="inlineStr">
        <is>
          <t>ra2_soviets_seascorpion</t>
        </is>
      </c>
      <c r="C112" t="inlineStr">
        <is>
          <t>actor_hyd.name</t>
        </is>
      </c>
      <c r="D112" s="6" t="inlineStr">
        <is>
          <t>BattleShip</t>
        </is>
      </c>
      <c r="E112" s="6" t="n">
        <v>25000</v>
      </c>
      <c r="F112" s="6" t="n">
        <v>120</v>
      </c>
      <c r="G112" t="inlineStr">
        <is>
          <t>Light</t>
        </is>
      </c>
      <c r="H112" s="6" t="n">
        <v>0.9322</v>
      </c>
      <c r="I112" s="6" t="n">
        <v>1</v>
      </c>
      <c r="J112" s="6" t="n">
        <v>1</v>
      </c>
      <c r="K112" s="6" t="n"/>
      <c r="P112">
        <f>MAX(P113,P114)</f>
        <v/>
      </c>
      <c r="S112">
        <f>S113+S114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600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SeaScorpion_AA</t>
        </is>
      </c>
      <c r="C113" s="7" t="inlineStr">
        <is>
          <t>Armament@AA</t>
        </is>
      </c>
      <c r="L113" s="6" t="n">
        <v>8000</v>
      </c>
      <c r="M113" s="6" t="n">
        <v>17</v>
      </c>
      <c r="N113" s="6" t="n">
        <v>1</v>
      </c>
      <c r="O113" s="6" t="n"/>
      <c r="P113" s="6" t="n">
        <v>13500</v>
      </c>
      <c r="Q113" s="6" t="n">
        <v>1</v>
      </c>
      <c r="R113">
        <f>M113+IF(N113&gt;1,N(O113)*(N113-1),0)</f>
        <v/>
      </c>
      <c r="S113">
        <f>IFERROR(L113*MAX(N113,1)/R113*IF(ISBLANK(K112),1,K112),0)</f>
        <v/>
      </c>
      <c r="AB113" s="7" t="inlineStr">
        <is>
          <t>^Warhead_Flak_Medium</t>
        </is>
      </c>
    </row>
    <row r="114">
      <c r="B114" s="7" t="inlineStr">
        <is>
          <t xml:space="preserve">  ↳ RA2FlakTrackGun</t>
        </is>
      </c>
      <c r="C114" s="7" t="inlineStr">
        <is>
          <t>Armament@AG</t>
        </is>
      </c>
      <c r="L114" s="6" t="n">
        <v>8000</v>
      </c>
      <c r="M114" s="6" t="n">
        <v>18</v>
      </c>
      <c r="N114" s="6" t="n">
        <v>1</v>
      </c>
      <c r="O114" s="6" t="n"/>
      <c r="P114" s="6" t="n">
        <v>5528</v>
      </c>
      <c r="Q114" s="6" t="n">
        <v>1</v>
      </c>
      <c r="R114">
        <f>M114+IF(N114&gt;1,N(O114)*(N114-1),0)</f>
        <v/>
      </c>
      <c r="S114">
        <f>IFERROR(L114*MAX(N114,1)/R114*IF(ISBLANK(K112),1,K112),0)</f>
        <v/>
      </c>
      <c r="AB114" s="7" t="inlineStr">
        <is>
          <t>^Warhead_Flak_Medium</t>
        </is>
      </c>
    </row>
    <row r="115">
      <c r="A115" t="inlineStr">
        <is>
          <t>redalert2mod</t>
        </is>
      </c>
      <c r="B115" t="inlineStr">
        <is>
          <t>quasfrig.asian</t>
        </is>
      </c>
      <c r="C115" t="inlineStr">
        <is>
          <t>Quasar Frigate</t>
        </is>
      </c>
      <c r="D115" s="6" t="inlineStr">
        <is>
          <t>BattleShip</t>
        </is>
      </c>
      <c r="E115" s="6" t="n">
        <v>137500</v>
      </c>
      <c r="F115" s="6" t="n">
        <v>75</v>
      </c>
      <c r="G115" t="inlineStr">
        <is>
          <t>Heavy</t>
        </is>
      </c>
      <c r="H115" s="6" t="n">
        <v>0.6346000000000001</v>
      </c>
      <c r="I115" s="6" t="n">
        <v>1</v>
      </c>
      <c r="J115" s="6" t="n">
        <v>1</v>
      </c>
      <c r="K115" s="6" t="n"/>
      <c r="P115">
        <f>MAX(P116,P117,P118,P119)</f>
        <v/>
      </c>
      <c r="S115">
        <f>S116+S117+S118+S119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(T115+U115+V115)/3</f>
        <v/>
      </c>
      <c r="X115" s="6" t="n">
        <v>2000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AsianQuasarBoatAG</t>
        </is>
      </c>
      <c r="C116" s="7" t="inlineStr">
        <is>
          <t>Armament@AG</t>
        </is>
      </c>
      <c r="L116" s="6" t="n">
        <v>8000</v>
      </c>
      <c r="M116" s="6" t="n">
        <v>22</v>
      </c>
      <c r="N116" s="6" t="n">
        <v>3</v>
      </c>
      <c r="O116" s="6" t="n">
        <v>3</v>
      </c>
      <c r="P116" s="6" t="n">
        <v>7168</v>
      </c>
      <c r="Q116" s="6" t="n">
        <v>1</v>
      </c>
      <c r="R116">
        <f>M116+IF(N116&gt;1,N(O116)*(N116-1),0)</f>
        <v/>
      </c>
      <c r="S116">
        <f>IFERROR(L116*MAX(N116,1)/R116*IF(ISBLANK(K115),1,K115),0)</f>
        <v/>
      </c>
      <c r="AB116" s="7" t="inlineStr">
        <is>
          <t>AsianPhotonCannon</t>
        </is>
      </c>
    </row>
    <row r="117">
      <c r="B117" s="7" t="inlineStr">
        <is>
          <t xml:space="preserve">  ↳ AsianQuasarBoatAG_EMP</t>
        </is>
      </c>
      <c r="C117" s="7" t="inlineStr">
        <is>
          <t>Armament@UpgradeAG</t>
        </is>
      </c>
      <c r="L117" s="6" t="n">
        <v>8000</v>
      </c>
      <c r="M117" s="6" t="n">
        <v>22</v>
      </c>
      <c r="N117" s="6" t="n">
        <v>3</v>
      </c>
      <c r="O117" s="6" t="n">
        <v>3</v>
      </c>
      <c r="P117" s="6" t="n">
        <v>7168</v>
      </c>
      <c r="Q117" s="6" t="n">
        <v>1</v>
      </c>
      <c r="R117">
        <f>M117+IF(N117&gt;1,N(O117)*(N117-1),0)</f>
        <v/>
      </c>
      <c r="S117">
        <f>IFERROR(L117*MAX(N117,1)/R117*IF(ISBLANK(K115),1,K115),0)</f>
        <v/>
      </c>
      <c r="AB117" s="7" t="inlineStr">
        <is>
          <t>AsianQuasarBoatAG</t>
        </is>
      </c>
    </row>
    <row r="118">
      <c r="B118" s="7" t="inlineStr">
        <is>
          <t xml:space="preserve">  ↳ AsianQuasarBoat_AA</t>
        </is>
      </c>
      <c r="C118" s="7" t="inlineStr">
        <is>
          <t>Armament@AA</t>
        </is>
      </c>
      <c r="L118" s="6" t="n">
        <v>8000</v>
      </c>
      <c r="M118" s="6" t="n">
        <v>22</v>
      </c>
      <c r="N118" s="6" t="n">
        <v>3</v>
      </c>
      <c r="O118" s="6" t="n">
        <v>3</v>
      </c>
      <c r="P118" s="6" t="n">
        <v>7168</v>
      </c>
      <c r="Q118" s="6" t="n">
        <v>1</v>
      </c>
      <c r="R118">
        <f>M118+IF(N118&gt;1,N(O118)*(N118-1),0)</f>
        <v/>
      </c>
      <c r="S118">
        <f>IFERROR(L118*MAX(N118,1)/R118*IF(ISBLANK(K115),1,K115),0)</f>
        <v/>
      </c>
      <c r="AB118" s="7" t="inlineStr">
        <is>
          <t>AsianPhotonCannon</t>
        </is>
      </c>
    </row>
    <row r="119">
      <c r="B119" s="7" t="inlineStr">
        <is>
          <t xml:space="preserve">  ↳ AsianQuasarBoat_EMP_AA</t>
        </is>
      </c>
      <c r="C119" s="7" t="inlineStr">
        <is>
          <t>Armament@UpgradeAA</t>
        </is>
      </c>
      <c r="L119" s="6" t="n">
        <v>8000</v>
      </c>
      <c r="M119" s="6" t="n">
        <v>22</v>
      </c>
      <c r="N119" s="6" t="n">
        <v>3</v>
      </c>
      <c r="O119" s="6" t="n">
        <v>3</v>
      </c>
      <c r="P119" s="6" t="n">
        <v>7168</v>
      </c>
      <c r="Q119" s="6" t="n">
        <v>1</v>
      </c>
      <c r="R119">
        <f>M119+IF(N119&gt;1,N(O119)*(N119-1),0)</f>
        <v/>
      </c>
      <c r="S119">
        <f>IFERROR(L119*MAX(N119,1)/R119*IF(ISBLANK(K115),1,K115),0)</f>
        <v/>
      </c>
      <c r="AB119" s="7" t="inlineStr">
        <is>
          <t>AsianQuasarBoat_AA</t>
        </is>
      </c>
    </row>
    <row r="120">
      <c r="A120" t="inlineStr">
        <is>
          <t>redalert2mod</t>
        </is>
      </c>
      <c r="B120" t="inlineStr">
        <is>
          <t>triton.latin</t>
        </is>
      </c>
      <c r="C120" t="inlineStr">
        <is>
          <t>Triton Speedboat</t>
        </is>
      </c>
      <c r="D120" s="6" t="inlineStr">
        <is>
          <t>BattleShip</t>
        </is>
      </c>
      <c r="E120" s="6" t="n">
        <v>37500</v>
      </c>
      <c r="F120" s="6" t="n">
        <v>125</v>
      </c>
      <c r="G120" t="inlineStr">
        <is>
          <t>Light</t>
        </is>
      </c>
      <c r="H120" s="6" t="n">
        <v>0.9429</v>
      </c>
      <c r="I120" s="6" t="n">
        <v>1</v>
      </c>
      <c r="J120" s="6" t="n">
        <v>1</v>
      </c>
      <c r="K120" s="6" t="n"/>
      <c r="P120">
        <f>MAX(P121,P122)</f>
        <v/>
      </c>
      <c r="S120">
        <f>S121+S122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700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LatinSentryMG</t>
        </is>
      </c>
      <c r="C121" s="7" t="inlineStr">
        <is>
          <t>Armament@PRIMARY</t>
        </is>
      </c>
      <c r="L121" s="6" t="n">
        <v>6000</v>
      </c>
      <c r="M121" s="6" t="n">
        <v>30</v>
      </c>
      <c r="N121" s="6" t="n">
        <v>3</v>
      </c>
      <c r="O121" s="6" t="n">
        <v>3</v>
      </c>
      <c r="P121" s="6" t="n">
        <v>6666</v>
      </c>
      <c r="Q121" s="6" t="n">
        <v>1</v>
      </c>
      <c r="R121">
        <f>M121+IF(N121&gt;1,N(O121)*(N121-1),0)</f>
        <v/>
      </c>
      <c r="S121">
        <f>IFERROR(L121*MAX(N121,1)/R121*IF(ISBLANK(K120),1,K120),0)</f>
        <v/>
      </c>
      <c r="AB121" s="7" t="inlineStr">
        <is>
          <t>^Warhead_CannonHE_Heavy, ^Warhead_Bullet_Light, ^Warhead_Bullet_Medium</t>
        </is>
      </c>
    </row>
    <row r="122">
      <c r="B122" s="7" t="inlineStr">
        <is>
          <t xml:space="preserve">  ↳ LatinSentryMG_elite</t>
        </is>
      </c>
      <c r="C122" s="7" t="inlineStr">
        <is>
          <t>Armament@ELITE</t>
        </is>
      </c>
      <c r="L122" s="6" t="n">
        <v>6000</v>
      </c>
      <c r="M122" s="6" t="n">
        <v>30</v>
      </c>
      <c r="N122" s="6" t="n">
        <v>3</v>
      </c>
      <c r="O122" s="6" t="n">
        <v>3</v>
      </c>
      <c r="P122" s="6" t="n">
        <v>7777</v>
      </c>
      <c r="Q122" s="6" t="n">
        <v>1</v>
      </c>
      <c r="R122">
        <f>M122+IF(N122&gt;1,N(O122)*(N122-1),0)</f>
        <v/>
      </c>
      <c r="S122">
        <f>IFERROR(L122*MAX(N122,1)/R122*IF(ISBLANK(K120),1,K120),0)</f>
        <v/>
      </c>
      <c r="AB122" s="7" t="inlineStr">
        <is>
          <t>^Warhead_CannonHE_Heavy, ^Warhead_Bullet_Light, ^Warhead_Bullet_Medium</t>
        </is>
      </c>
    </row>
    <row r="123">
      <c r="A123" s="4" t="inlineStr">
        <is>
          <t>ArtilleryShip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</row>
    <row r="124">
      <c r="A124" t="inlineStr">
        <is>
          <t>tiberiandawn</t>
        </is>
      </c>
      <c r="B124" t="inlineStr">
        <is>
          <t>gdicarrier</t>
        </is>
      </c>
      <c r="C124" t="inlineStr">
        <is>
          <t>GDI Super Carrier</t>
        </is>
      </c>
      <c r="D124" s="6" t="inlineStr">
        <is>
          <t>ArtilleryShip</t>
        </is>
      </c>
      <c r="E124" s="6" t="n">
        <v>300000</v>
      </c>
      <c r="F124" s="6" t="n">
        <v>50</v>
      </c>
      <c r="G124" t="inlineStr">
        <is>
          <t>Superheavy</t>
        </is>
      </c>
      <c r="H124" s="6" t="n">
        <v>0.3626</v>
      </c>
      <c r="I124" s="6" t="n">
        <v>1</v>
      </c>
      <c r="J124" s="6" t="n">
        <v>1</v>
      </c>
      <c r="K124" s="6" t="n"/>
      <c r="X124" s="6" t="n">
        <v>4000</v>
      </c>
    </row>
    <row r="125">
      <c r="B125" s="7" t="inlineStr">
        <is>
          <t xml:space="preserve">  ↳ JapanCarrierTarget</t>
        </is>
      </c>
      <c r="C125" s="7" t="inlineStr">
        <is>
          <t>Armament@PRIMARY</t>
        </is>
      </c>
      <c r="L125" s="6" t="n"/>
      <c r="M125" s="6" t="n">
        <v>25</v>
      </c>
      <c r="N125" s="6" t="n">
        <v>1</v>
      </c>
      <c r="O125" s="6" t="n"/>
      <c r="P125" s="6" t="n">
        <v>20000</v>
      </c>
      <c r="Q125" s="6" t="n">
        <v>1</v>
      </c>
      <c r="R125">
        <f>M125+IF(N125&gt;1,N(O125)*(N125-1),0)</f>
        <v/>
      </c>
      <c r="S125">
        <f>IFERROR(L125*MAX(N125,1)/R125*IF(ISBLANK(K124),1,K124),0)</f>
        <v/>
      </c>
      <c r="AB125" s="7" t="inlineStr"/>
    </row>
    <row r="126">
      <c r="A126" t="inlineStr">
        <is>
          <t>tiberiandawn</t>
        </is>
      </c>
      <c r="B126" t="inlineStr">
        <is>
          <t>ssmsub</t>
        </is>
      </c>
      <c r="C126" t="inlineStr">
        <is>
          <t>Ballistic Missile Submarine</t>
        </is>
      </c>
      <c r="D126" s="6" t="inlineStr">
        <is>
          <t>ArtilleryShip</t>
        </is>
      </c>
      <c r="E126" s="6" t="n">
        <v>200000</v>
      </c>
      <c r="F126" s="6" t="n">
        <v>60</v>
      </c>
      <c r="G126" t="inlineStr">
        <is>
          <t>Medium</t>
        </is>
      </c>
      <c r="H126" s="6" t="n">
        <v>0.782</v>
      </c>
      <c r="I126" s="6" t="n">
        <v>1</v>
      </c>
      <c r="J126" s="6" t="n">
        <v>1</v>
      </c>
      <c r="K126" s="6" t="n">
        <v>0.02</v>
      </c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2800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HonestJohn</t>
        </is>
      </c>
      <c r="C127" s="7" t="inlineStr">
        <is>
          <t>Armament</t>
        </is>
      </c>
      <c r="L127" s="6" t="n">
        <v>50000</v>
      </c>
      <c r="M127" s="6" t="n">
        <v>225</v>
      </c>
      <c r="N127" s="6" t="n">
        <v>2</v>
      </c>
      <c r="O127" s="6" t="n">
        <v>25</v>
      </c>
      <c r="P127" s="6" t="n">
        <v>8940</v>
      </c>
      <c r="Q127" s="6" t="n">
        <v>1.25</v>
      </c>
      <c r="R127">
        <f>M127+IF(N127&gt;1,N(O127)*(N127-1),0)</f>
        <v/>
      </c>
      <c r="S127">
        <f>IFERROR(L127*MAX(N127,1)/R127*IF(ISBLANK(K126),1,K126),0)</f>
        <v/>
      </c>
      <c r="AB127" s="7" t="inlineStr">
        <is>
          <t>^Warhead_FireMissile_Heavy</t>
        </is>
      </c>
    </row>
    <row r="128">
      <c r="A128" t="inlineStr">
        <is>
          <t>shared</t>
        </is>
      </c>
      <c r="B128" t="inlineStr">
        <is>
          <t>japan_japanesecarrier</t>
        </is>
      </c>
      <c r="C128" t="inlineStr">
        <is>
          <t>actor_japan_japanesecarrier.name</t>
        </is>
      </c>
      <c r="D128" s="6" t="inlineStr">
        <is>
          <t>ArtilleryShip</t>
        </is>
      </c>
      <c r="E128" s="6" t="n">
        <v>225000</v>
      </c>
      <c r="F128" s="6" t="n">
        <v>45</v>
      </c>
      <c r="G128" t="inlineStr">
        <is>
          <t>Superheavy</t>
        </is>
      </c>
      <c r="H128" s="6" t="n">
        <v>1</v>
      </c>
      <c r="I128" s="6" t="n">
        <v>1</v>
      </c>
      <c r="J128" s="6" t="n">
        <v>1</v>
      </c>
      <c r="K128" s="6" t="n"/>
      <c r="X128" s="6" t="n">
        <v>3000</v>
      </c>
    </row>
    <row r="129">
      <c r="B129" s="7" t="inlineStr">
        <is>
          <t xml:space="preserve">  ↳ JapanCarrierTarget</t>
        </is>
      </c>
      <c r="C129" s="7" t="inlineStr">
        <is>
          <t>Armament@PRIMARY</t>
        </is>
      </c>
      <c r="L129" s="6" t="n"/>
      <c r="M129" s="6" t="n">
        <v>25</v>
      </c>
      <c r="N129" s="6" t="n">
        <v>1</v>
      </c>
      <c r="O129" s="6" t="n"/>
      <c r="P129" s="6" t="n">
        <v>20000</v>
      </c>
      <c r="Q129" s="6" t="n">
        <v>1</v>
      </c>
      <c r="R129">
        <f>M129+IF(N129&gt;1,N(O129)*(N129-1),0)</f>
        <v/>
      </c>
      <c r="S129">
        <f>IFERROR(L129*MAX(N129,1)/R129*IF(ISBLANK(K128),1,K128),0)</f>
        <v/>
      </c>
      <c r="AB129" s="7" t="inlineStr"/>
    </row>
    <row r="130">
      <c r="A130" t="inlineStr">
        <is>
          <t>shared</t>
        </is>
      </c>
      <c r="B130" t="inlineStr">
        <is>
          <t>ra1_allies_cruiser</t>
        </is>
      </c>
      <c r="C130" t="inlineStr">
        <is>
          <t>Cruiser</t>
        </is>
      </c>
      <c r="D130" s="6" t="inlineStr">
        <is>
          <t>ArtilleryShip</t>
        </is>
      </c>
      <c r="E130" s="6" t="n">
        <v>225000</v>
      </c>
      <c r="F130" s="6" t="n">
        <v>40</v>
      </c>
      <c r="G130" t="inlineStr">
        <is>
          <t>Superheavy</t>
        </is>
      </c>
      <c r="H130" s="6" t="n">
        <v>1</v>
      </c>
      <c r="I130" s="6" t="n">
        <v>1</v>
      </c>
      <c r="J130" s="6" t="n">
        <v>1</v>
      </c>
      <c r="K130" s="6" t="n"/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3000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8Inch</t>
        </is>
      </c>
      <c r="C131" s="7" t="inlineStr">
        <is>
          <t>Armament@PRIMARY</t>
        </is>
      </c>
      <c r="L131" s="6" t="n">
        <v>80000</v>
      </c>
      <c r="M131" s="6" t="n">
        <v>250</v>
      </c>
      <c r="N131" s="6" t="n">
        <v>2</v>
      </c>
      <c r="O131" s="6" t="n"/>
      <c r="P131" s="6" t="n">
        <v>15000</v>
      </c>
      <c r="Q131" s="6" t="n">
        <v>1</v>
      </c>
      <c r="R131">
        <f>M131+IF(N131&gt;1,N(O131)*(N131-1),0)</f>
        <v/>
      </c>
      <c r="S131">
        <f>IFERROR(L131*MAX(N131,1)/R131*IF(ISBLANK(K130),1,K130),0)</f>
        <v/>
      </c>
      <c r="AB131" s="7" t="inlineStr">
        <is>
          <t>^Warhead_Demolition_Heavy, ^Warhead_Demolition_Light</t>
        </is>
      </c>
    </row>
    <row r="132">
      <c r="B132" s="7" t="inlineStr">
        <is>
          <t xml:space="preserve">  ↳ 8Inch</t>
        </is>
      </c>
      <c r="C132" s="7" t="inlineStr">
        <is>
          <t>Armament@SECONDARY</t>
        </is>
      </c>
      <c r="L132" s="6" t="n">
        <v>80000</v>
      </c>
      <c r="M132" s="6" t="n">
        <v>250</v>
      </c>
      <c r="N132" s="6" t="n">
        <v>2</v>
      </c>
      <c r="O132" s="6" t="n"/>
      <c r="P132" s="6" t="n">
        <v>15000</v>
      </c>
      <c r="Q132" s="6" t="n">
        <v>1</v>
      </c>
      <c r="R132">
        <f>M132+IF(N132&gt;1,N(O132)*(N132-1),0)</f>
        <v/>
      </c>
      <c r="S132">
        <f>IFERROR(L132*MAX(N132,1)/R132*IF(ISBLANK(K130),1,K130),0)</f>
        <v/>
      </c>
      <c r="AB132" s="7" t="inlineStr">
        <is>
          <t>^Warhead_Demolition_Heavy, ^Warhead_Demolition_Light</t>
        </is>
      </c>
    </row>
    <row r="133">
      <c r="A133" t="inlineStr">
        <is>
          <t>shared</t>
        </is>
      </c>
      <c r="B133" t="inlineStr">
        <is>
          <t>ra1_soviets_missilesubmarine</t>
        </is>
      </c>
      <c r="C133" t="inlineStr">
        <is>
          <t>Missile Submarine</t>
        </is>
      </c>
      <c r="D133" s="6" t="inlineStr">
        <is>
          <t>ArtilleryShip</t>
        </is>
      </c>
      <c r="E133" s="6" t="n">
        <v>70000</v>
      </c>
      <c r="F133" s="6" t="n">
        <v>60</v>
      </c>
      <c r="G133" t="inlineStr">
        <is>
          <t>Medium</t>
        </is>
      </c>
      <c r="H133" s="6" t="n">
        <v>1</v>
      </c>
      <c r="I133" s="6" t="n">
        <v>1</v>
      </c>
      <c r="J133" s="6" t="n">
        <v>1</v>
      </c>
      <c r="K133" s="6" t="n">
        <v>0.02</v>
      </c>
      <c r="P133">
        <f>MAX(P134)</f>
        <v/>
      </c>
      <c r="S133">
        <f>S134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3000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227mm</t>
        </is>
      </c>
      <c r="C134" s="7" t="inlineStr">
        <is>
          <t>Armament@PRIMARY</t>
        </is>
      </c>
      <c r="L134" s="6" t="n">
        <v>8000</v>
      </c>
      <c r="M134" s="6" t="n">
        <v>111</v>
      </c>
      <c r="N134" s="6" t="n">
        <v>6</v>
      </c>
      <c r="O134" s="6" t="n">
        <v>5</v>
      </c>
      <c r="P134" s="6" t="n">
        <v>9920</v>
      </c>
      <c r="Q134" s="6" t="n">
        <v>1</v>
      </c>
      <c r="R134">
        <f>M134+IF(N134&gt;1,N(O134)*(N134-1),0)</f>
        <v/>
      </c>
      <c r="S134">
        <f>IFERROR(L134*MAX(N134,1)/R134*IF(ISBLANK(K133),1,K133),0)</f>
        <v/>
      </c>
      <c r="AB134" s="7" t="inlineStr">
        <is>
          <t>^FlakWeapon, ^Grenade, ^HeavyMissile, ^MediumMissile</t>
        </is>
      </c>
    </row>
    <row r="135">
      <c r="A135" t="inlineStr">
        <is>
          <t>tiberiansun</t>
        </is>
      </c>
      <c r="B135" t="inlineStr">
        <is>
          <t>cabal_plasmasub</t>
        </is>
      </c>
      <c r="C135" t="inlineStr">
        <is>
          <t>Plasma Submarine</t>
        </is>
      </c>
      <c r="D135" s="6" t="inlineStr">
        <is>
          <t>ArtilleryShip</t>
        </is>
      </c>
      <c r="E135" s="6" t="n">
        <v>200000</v>
      </c>
      <c r="F135" s="6" t="n">
        <v>60</v>
      </c>
      <c r="G135" t="inlineStr">
        <is>
          <t>Medium</t>
        </is>
      </c>
      <c r="H135" s="6" t="n">
        <v>1</v>
      </c>
      <c r="I135" s="6" t="n">
        <v>1</v>
      </c>
      <c r="J135" s="6" t="n">
        <v>1</v>
      </c>
      <c r="K135" s="6" t="n">
        <v>0.02</v>
      </c>
      <c r="P135">
        <f>MAX(P136)</f>
        <v/>
      </c>
      <c r="S135">
        <f>S136</f>
        <v/>
      </c>
      <c r="T135">
        <f>(E135/100000+F135/100+(P135/1000)*J135/5+S135/200)*200*I135*H135</f>
        <v/>
      </c>
      <c r="U135">
        <f>((E135*F135/25000)+((P135/1000)*J135*S135/2.5))*I135*H135</f>
        <v/>
      </c>
      <c r="V135">
        <f>(E135*F135*(P135/1000)*J135*S135*I135*H135)/12500000</f>
        <v/>
      </c>
      <c r="W135">
        <f>(T135+U135+V135)/3</f>
        <v/>
      </c>
      <c r="X135" s="6" t="n">
        <v>2500</v>
      </c>
      <c r="Y135">
        <f>IFERROR(W135-X135,"")</f>
        <v/>
      </c>
      <c r="Z135">
        <f>IFERROR(ABS(Y135)/MAX(X135,1),"")</f>
        <v/>
      </c>
      <c r="AA135">
        <f>IFERROR((X135-(((E135/100000+F135/100+S135/200)*200*I135*H135)+((E135*F135/25000)*I135*H135))/3)/(((J135/5)*200*I135*H135)+((J135*S135/2.5)*I135*H135)+((E135*F135*J135*S135*I135*H135)/12500000))/3*1000,"")</f>
        <v/>
      </c>
    </row>
    <row r="136">
      <c r="B136" s="7" t="inlineStr">
        <is>
          <t xml:space="preserve">  ↳ CabalSubmarinePlasma</t>
        </is>
      </c>
      <c r="C136" s="7" t="inlineStr">
        <is>
          <t>Armament</t>
        </is>
      </c>
      <c r="L136" s="6" t="n">
        <v>75000</v>
      </c>
      <c r="M136" s="6" t="n">
        <v>45</v>
      </c>
      <c r="N136" s="6" t="n">
        <v>1</v>
      </c>
      <c r="O136" s="6" t="n"/>
      <c r="P136" s="6" t="n">
        <v>12000</v>
      </c>
      <c r="Q136" s="6" t="n">
        <v>1</v>
      </c>
      <c r="R136">
        <f>M136+IF(N136&gt;1,N(O136)*(N136-1),0)</f>
        <v/>
      </c>
      <c r="S136">
        <f>IFERROR(L136*MAX(N136,1)/R136*IF(ISBLANK(K135),1,K135),0)</f>
        <v/>
      </c>
      <c r="AB136" s="7" t="inlineStr">
        <is>
          <t>^HeavyCannon, ^MediumFlameWeapon, ^MediumChemicalWeapon</t>
        </is>
      </c>
    </row>
    <row r="137">
      <c r="A137" t="inlineStr">
        <is>
          <t>tiberiansun</t>
        </is>
      </c>
      <c r="B137" t="inlineStr">
        <is>
          <t>ts_nod_cruiser</t>
        </is>
      </c>
      <c r="C137" t="inlineStr">
        <is>
          <t>Nod Battleship</t>
        </is>
      </c>
      <c r="D137" s="6" t="inlineStr">
        <is>
          <t>ArtilleryShip</t>
        </is>
      </c>
      <c r="E137" s="6" t="n">
        <v>350000</v>
      </c>
      <c r="F137" s="6" t="n">
        <v>40</v>
      </c>
      <c r="G137" t="inlineStr">
        <is>
          <t>Superheavy</t>
        </is>
      </c>
      <c r="H137" s="6" t="n">
        <v>0.5749</v>
      </c>
      <c r="I137" s="6" t="n">
        <v>1</v>
      </c>
      <c r="J137" s="6" t="n">
        <v>1</v>
      </c>
      <c r="K137" s="6" t="n"/>
      <c r="P137">
        <f>MAX(P138,P139,P140,P141,P142)</f>
        <v/>
      </c>
      <c r="S137">
        <f>S138+S139+S140+S141+S142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4000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8Inch</t>
        </is>
      </c>
      <c r="C138" s="7" t="inlineStr">
        <is>
          <t>Armament@PRIMARY</t>
        </is>
      </c>
      <c r="L138" s="6" t="n">
        <v>80000</v>
      </c>
      <c r="M138" s="6" t="n">
        <v>250</v>
      </c>
      <c r="N138" s="6" t="n">
        <v>2</v>
      </c>
      <c r="O138" s="6" t="n"/>
      <c r="P138" s="6" t="n">
        <v>15000</v>
      </c>
      <c r="Q138" s="6" t="n">
        <v>1</v>
      </c>
      <c r="R138">
        <f>M138+IF(N138&gt;1,N(O138)*(N138-1),0)</f>
        <v/>
      </c>
      <c r="S138">
        <f>IFERROR(L138*MAX(N138,1)/R138*IF(ISBLANK(K137),1,K137),0)</f>
        <v/>
      </c>
      <c r="AB138" s="7" t="inlineStr">
        <is>
          <t>^Warhead_Demolition_Heavy, ^Warhead_Demolition_Light</t>
        </is>
      </c>
    </row>
    <row r="139">
      <c r="B139" s="7" t="inlineStr">
        <is>
          <t xml:space="preserve">  ↳ 8Inch</t>
        </is>
      </c>
      <c r="C139" s="7" t="inlineStr">
        <is>
          <t>Armament@SECONDARY</t>
        </is>
      </c>
      <c r="L139" s="6" t="n">
        <v>80000</v>
      </c>
      <c r="M139" s="6" t="n">
        <v>250</v>
      </c>
      <c r="N139" s="6" t="n">
        <v>2</v>
      </c>
      <c r="O139" s="6" t="n"/>
      <c r="P139" s="6" t="n">
        <v>15000</v>
      </c>
      <c r="Q139" s="6" t="n">
        <v>1</v>
      </c>
      <c r="R139">
        <f>M139+IF(N139&gt;1,N(O139)*(N139-1),0)</f>
        <v/>
      </c>
      <c r="S139">
        <f>IFERROR(L139*MAX(N139,1)/R139*IF(ISBLANK(K137),1,K137),0)</f>
        <v/>
      </c>
      <c r="AB139" s="7" t="inlineStr">
        <is>
          <t>^Warhead_Demolition_Heavy, ^Warhead_Demolition_Light</t>
        </is>
      </c>
    </row>
    <row r="140">
      <c r="B140" s="7" t="inlineStr">
        <is>
          <t xml:space="preserve">  ↳ 8Inch</t>
        </is>
      </c>
      <c r="C140" s="7" t="inlineStr">
        <is>
          <t>Armament@TERCERA</t>
        </is>
      </c>
      <c r="L140" s="6" t="n">
        <v>80000</v>
      </c>
      <c r="M140" s="6" t="n">
        <v>250</v>
      </c>
      <c r="N140" s="6" t="n">
        <v>2</v>
      </c>
      <c r="O140" s="6" t="n"/>
      <c r="P140" s="6" t="n">
        <v>15000</v>
      </c>
      <c r="Q140" s="6" t="n">
        <v>1</v>
      </c>
      <c r="R140">
        <f>M140+IF(N140&gt;1,N(O140)*(N140-1),0)</f>
        <v/>
      </c>
      <c r="S140">
        <f>IFERROR(L140*MAX(N140,1)/R140*IF(ISBLANK(K137),1,K137),0)</f>
        <v/>
      </c>
      <c r="AB140" s="7" t="inlineStr">
        <is>
          <t>^Warhead_Demolition_Heavy, ^Warhead_Demolition_Light</t>
        </is>
      </c>
    </row>
    <row r="141">
      <c r="B141" s="7" t="inlineStr">
        <is>
          <t xml:space="preserve">  ↳ 8Inch</t>
        </is>
      </c>
      <c r="C141" s="7" t="inlineStr">
        <is>
          <t>Armament@CUARTA</t>
        </is>
      </c>
      <c r="L141" s="6" t="n">
        <v>80000</v>
      </c>
      <c r="M141" s="6" t="n">
        <v>250</v>
      </c>
      <c r="N141" s="6" t="n">
        <v>2</v>
      </c>
      <c r="O141" s="6" t="n"/>
      <c r="P141" s="6" t="n">
        <v>15000</v>
      </c>
      <c r="Q141" s="6" t="n">
        <v>1</v>
      </c>
      <c r="R141">
        <f>M141+IF(N141&gt;1,N(O141)*(N141-1),0)</f>
        <v/>
      </c>
      <c r="S141">
        <f>IFERROR(L141*MAX(N141,1)/R141*IF(ISBLANK(K137),1,K137),0)</f>
        <v/>
      </c>
      <c r="AB141" s="7" t="inlineStr">
        <is>
          <t>^Warhead_Demolition_Heavy, ^Warhead_Demolition_Light</t>
        </is>
      </c>
    </row>
    <row r="142">
      <c r="B142" s="7" t="inlineStr">
        <is>
          <t xml:space="preserve">  ↳ 8Inch</t>
        </is>
      </c>
      <c r="C142" s="7" t="inlineStr">
        <is>
          <t>Armament@QUINTA</t>
        </is>
      </c>
      <c r="L142" s="6" t="n">
        <v>80000</v>
      </c>
      <c r="M142" s="6" t="n">
        <v>250</v>
      </c>
      <c r="N142" s="6" t="n">
        <v>2</v>
      </c>
      <c r="O142" s="6" t="n"/>
      <c r="P142" s="6" t="n">
        <v>15000</v>
      </c>
      <c r="Q142" s="6" t="n">
        <v>1</v>
      </c>
      <c r="R142">
        <f>M142+IF(N142&gt;1,N(O142)*(N142-1),0)</f>
        <v/>
      </c>
      <c r="S142">
        <f>IFERROR(L142*MAX(N142,1)/R142*IF(ISBLANK(K137),1,K137),0)</f>
        <v/>
      </c>
      <c r="AB142" s="7" t="inlineStr">
        <is>
          <t>^Warhead_Demolition_Heavy, ^Warhead_Demolition_Light</t>
        </is>
      </c>
    </row>
    <row r="143">
      <c r="A143" t="inlineStr">
        <is>
          <t>tiberiansun</t>
        </is>
      </c>
      <c r="B143" t="inlineStr">
        <is>
          <t>ts_gdi_carrier</t>
        </is>
      </c>
      <c r="C143" t="inlineStr">
        <is>
          <t>GDI Carrier</t>
        </is>
      </c>
      <c r="D143" s="6" t="inlineStr">
        <is>
          <t>ArtilleryShip</t>
        </is>
      </c>
      <c r="E143" s="6" t="n">
        <v>350000</v>
      </c>
      <c r="F143" s="6" t="n">
        <v>40</v>
      </c>
      <c r="G143" t="inlineStr">
        <is>
          <t>Superheavy</t>
        </is>
      </c>
      <c r="H143" s="6" t="n">
        <v>0.5789</v>
      </c>
      <c r="I143" s="6" t="n">
        <v>1</v>
      </c>
      <c r="J143" s="6" t="n">
        <v>1</v>
      </c>
      <c r="K143" s="6" t="n"/>
      <c r="P143">
        <f>MAX(P144,P145,P146,P147)</f>
        <v/>
      </c>
      <c r="S143">
        <f>S144+S145+S146+S147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4000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APCGun</t>
        </is>
      </c>
      <c r="C144" s="7" t="inlineStr">
        <is>
          <t>Armament@PRIMARY</t>
        </is>
      </c>
      <c r="L144" s="6" t="n">
        <v>4000</v>
      </c>
      <c r="M144" s="6" t="n">
        <v>10</v>
      </c>
      <c r="N144" s="6" t="n">
        <v>1</v>
      </c>
      <c r="O144" s="6" t="n"/>
      <c r="P144" s="6" t="n">
        <v>5668</v>
      </c>
      <c r="Q144" s="6" t="n">
        <v>1</v>
      </c>
      <c r="R144">
        <f>M144+IF(N144&gt;1,N(O144)*(N144-1),0)</f>
        <v/>
      </c>
      <c r="S144">
        <f>IFERROR(L144*MAX(N144,1)/R144*IF(ISBLANK(K143),1,K143),0)</f>
        <v/>
      </c>
      <c r="AB144" s="7" t="inlineStr">
        <is>
          <t>^Warhead_Bullet_Medium, ^Warhead_Flak_Medium</t>
        </is>
      </c>
    </row>
    <row r="145">
      <c r="B145" s="7" t="inlineStr">
        <is>
          <t xml:space="preserve">  ↳ APCGun</t>
        </is>
      </c>
      <c r="C145" s="7" t="inlineStr">
        <is>
          <t>Armament@SECONDARY</t>
        </is>
      </c>
      <c r="L145" s="6" t="n">
        <v>4000</v>
      </c>
      <c r="M145" s="6" t="n">
        <v>10</v>
      </c>
      <c r="N145" s="6" t="n">
        <v>1</v>
      </c>
      <c r="O145" s="6" t="n"/>
      <c r="P145" s="6" t="n">
        <v>5668</v>
      </c>
      <c r="Q145" s="6" t="n">
        <v>1</v>
      </c>
      <c r="R145">
        <f>M145+IF(N145&gt;1,N(O145)*(N145-1),0)</f>
        <v/>
      </c>
      <c r="S145">
        <f>IFERROR(L145*MAX(N145,1)/R145*IF(ISBLANK(K143),1,K143),0)</f>
        <v/>
      </c>
      <c r="AB145" s="7" t="inlineStr">
        <is>
          <t>^Warhead_Bullet_Medium, ^Warhead_Flak_Medium</t>
        </is>
      </c>
    </row>
    <row r="146">
      <c r="B146" s="7" t="inlineStr">
        <is>
          <t xml:space="preserve">  ↳ APCGun</t>
        </is>
      </c>
      <c r="C146" s="7" t="inlineStr">
        <is>
          <t>Armament@TERCERA</t>
        </is>
      </c>
      <c r="L146" s="6" t="n">
        <v>4000</v>
      </c>
      <c r="M146" s="6" t="n">
        <v>10</v>
      </c>
      <c r="N146" s="6" t="n">
        <v>1</v>
      </c>
      <c r="O146" s="6" t="n"/>
      <c r="P146" s="6" t="n">
        <v>5668</v>
      </c>
      <c r="Q146" s="6" t="n">
        <v>1</v>
      </c>
      <c r="R146">
        <f>M146+IF(N146&gt;1,N(O146)*(N146-1),0)</f>
        <v/>
      </c>
      <c r="S146">
        <f>IFERROR(L146*MAX(N146,1)/R146*IF(ISBLANK(K143),1,K143),0)</f>
        <v/>
      </c>
      <c r="AB146" s="7" t="inlineStr">
        <is>
          <t>^Warhead_Bullet_Medium, ^Warhead_Flak_Medium</t>
        </is>
      </c>
    </row>
    <row r="147">
      <c r="B147" s="7" t="inlineStr">
        <is>
          <t xml:space="preserve">  ↳ APCGun</t>
        </is>
      </c>
      <c r="C147" s="7" t="inlineStr">
        <is>
          <t>Armament@CUARTA</t>
        </is>
      </c>
      <c r="L147" s="6" t="n">
        <v>4000</v>
      </c>
      <c r="M147" s="6" t="n">
        <v>10</v>
      </c>
      <c r="N147" s="6" t="n">
        <v>1</v>
      </c>
      <c r="O147" s="6" t="n"/>
      <c r="P147" s="6" t="n">
        <v>5668</v>
      </c>
      <c r="Q147" s="6" t="n">
        <v>1</v>
      </c>
      <c r="R147">
        <f>M147+IF(N147&gt;1,N(O147)*(N147-1),0)</f>
        <v/>
      </c>
      <c r="S147">
        <f>IFERROR(L147*MAX(N147,1)/R147*IF(ISBLANK(K143),1,K143),0)</f>
        <v/>
      </c>
      <c r="AB147" s="7" t="inlineStr">
        <is>
          <t>^Warhead_Bullet_Medium, ^Warhead_Flak_Medium</t>
        </is>
      </c>
    </row>
    <row r="148">
      <c r="B148" s="7" t="inlineStr">
        <is>
          <t xml:space="preserve">  ↳ RA2CarrierTarget</t>
        </is>
      </c>
      <c r="C148" s="7" t="inlineStr">
        <is>
          <t>Armament@QUINTA</t>
        </is>
      </c>
      <c r="L148" s="6" t="n"/>
      <c r="M148" s="6" t="n">
        <v>50</v>
      </c>
      <c r="N148" s="6" t="n">
        <v>1</v>
      </c>
      <c r="O148" s="6" t="n"/>
      <c r="P148" s="6" t="n">
        <v>17500</v>
      </c>
      <c r="Q148" s="6" t="n">
        <v>1</v>
      </c>
      <c r="R148">
        <f>M148+IF(N148&gt;1,N(O148)*(N148-1),0)</f>
        <v/>
      </c>
      <c r="S148">
        <f>IFERROR(L148*MAX(N148,1)/R148*IF(ISBLANK(K143),1,K143),0)</f>
        <v/>
      </c>
      <c r="AB148" s="7" t="inlineStr"/>
    </row>
    <row r="149">
      <c r="A149" t="inlineStr">
        <is>
          <t>tiberiansun</t>
        </is>
      </c>
      <c r="B149" t="inlineStr">
        <is>
          <t>ts_gdi_cruiser</t>
        </is>
      </c>
      <c r="C149" t="inlineStr">
        <is>
          <t>GDI Battleship</t>
        </is>
      </c>
      <c r="D149" s="6" t="inlineStr">
        <is>
          <t>ArtilleryShip</t>
        </is>
      </c>
      <c r="E149" s="6" t="n">
        <v>350000</v>
      </c>
      <c r="F149" s="6" t="n">
        <v>40</v>
      </c>
      <c r="G149" t="inlineStr">
        <is>
          <t>Superheavy</t>
        </is>
      </c>
      <c r="H149" s="6" t="n">
        <v>0.5789</v>
      </c>
      <c r="I149" s="6" t="n">
        <v>1</v>
      </c>
      <c r="J149" s="6" t="n">
        <v>1</v>
      </c>
      <c r="K149" s="6" t="n"/>
      <c r="P149">
        <f>MAX(P150,P151,P152,P153,P154,P155)</f>
        <v/>
      </c>
      <c r="S149">
        <f>S150+S151+S152+S153+S154+S155</f>
        <v/>
      </c>
      <c r="T149">
        <f>(E149/100000+F149/100+(P149/1000)*J149/5+S149/200)*200*I149*H149</f>
        <v/>
      </c>
      <c r="U149">
        <f>((E149*F149/25000)+((P149/1000)*J149*S149/2.5))*I149*H149</f>
        <v/>
      </c>
      <c r="V149">
        <f>(E149*F149*(P149/1000)*J149*S149*I149*H149)/12500000</f>
        <v/>
      </c>
      <c r="W149">
        <f>(T149+U149+V149)/3</f>
        <v/>
      </c>
      <c r="X149" s="6" t="n">
        <v>4000</v>
      </c>
      <c r="Y149">
        <f>IFERROR(W149-X149,"")</f>
        <v/>
      </c>
      <c r="Z149">
        <f>IFERROR(ABS(Y149)/MAX(X149,1),"")</f>
        <v/>
      </c>
      <c r="AA149">
        <f>IFERROR((X149-(((E149/100000+F149/100+S149/200)*200*I149*H149)+((E149*F149/25000)*I149*H149))/3)/(((J149/5)*200*I149*H149)+((J149*S149/2.5)*I149*H149)+((E149*F149*J149*S149*I149*H149)/12500000))/3*1000,"")</f>
        <v/>
      </c>
    </row>
    <row r="150">
      <c r="B150" s="7" t="inlineStr">
        <is>
          <t xml:space="preserve">  ↳ 8Inch</t>
        </is>
      </c>
      <c r="C150" s="7" t="inlineStr">
        <is>
          <t>Armament@PRIMARY</t>
        </is>
      </c>
      <c r="L150" s="6" t="n">
        <v>80000</v>
      </c>
      <c r="M150" s="6" t="n">
        <v>250</v>
      </c>
      <c r="N150" s="6" t="n">
        <v>2</v>
      </c>
      <c r="O150" s="6" t="n"/>
      <c r="P150" s="6" t="n">
        <v>15000</v>
      </c>
      <c r="Q150" s="6" t="n">
        <v>1</v>
      </c>
      <c r="R150">
        <f>M150+IF(N150&gt;1,N(O150)*(N150-1),0)</f>
        <v/>
      </c>
      <c r="S150">
        <f>IFERROR(L150*MAX(N150,1)/R150*IF(ISBLANK(K149),1,K149),0)</f>
        <v/>
      </c>
      <c r="AB150" s="7" t="inlineStr">
        <is>
          <t>^Warhead_Demolition_Heavy, ^Warhead_Demolition_Light</t>
        </is>
      </c>
    </row>
    <row r="151">
      <c r="B151" s="7" t="inlineStr">
        <is>
          <t xml:space="preserve">  ↳ 8Inch</t>
        </is>
      </c>
      <c r="C151" s="7" t="inlineStr">
        <is>
          <t>Armament@SECONDARY</t>
        </is>
      </c>
      <c r="L151" s="6" t="n">
        <v>80000</v>
      </c>
      <c r="M151" s="6" t="n">
        <v>250</v>
      </c>
      <c r="N151" s="6" t="n">
        <v>2</v>
      </c>
      <c r="O151" s="6" t="n"/>
      <c r="P151" s="6" t="n">
        <v>15000</v>
      </c>
      <c r="Q151" s="6" t="n">
        <v>1</v>
      </c>
      <c r="R151">
        <f>M151+IF(N151&gt;1,N(O151)*(N151-1),0)</f>
        <v/>
      </c>
      <c r="S151">
        <f>IFERROR(L151*MAX(N151,1)/R151*IF(ISBLANK(K149),1,K149),0)</f>
        <v/>
      </c>
      <c r="AB151" s="7" t="inlineStr">
        <is>
          <t>^Warhead_Demolition_Heavy, ^Warhead_Demolition_Light</t>
        </is>
      </c>
    </row>
    <row r="152">
      <c r="B152" s="7" t="inlineStr">
        <is>
          <t xml:space="preserve">  ↳ 8Inch</t>
        </is>
      </c>
      <c r="C152" s="7" t="inlineStr">
        <is>
          <t>Armament@TERCERA</t>
        </is>
      </c>
      <c r="L152" s="6" t="n">
        <v>80000</v>
      </c>
      <c r="M152" s="6" t="n">
        <v>250</v>
      </c>
      <c r="N152" s="6" t="n">
        <v>2</v>
      </c>
      <c r="O152" s="6" t="n"/>
      <c r="P152" s="6" t="n">
        <v>15000</v>
      </c>
      <c r="Q152" s="6" t="n">
        <v>1</v>
      </c>
      <c r="R152">
        <f>M152+IF(N152&gt;1,N(O152)*(N152-1),0)</f>
        <v/>
      </c>
      <c r="S152">
        <f>IFERROR(L152*MAX(N152,1)/R152*IF(ISBLANK(K149),1,K149),0)</f>
        <v/>
      </c>
      <c r="AB152" s="7" t="inlineStr">
        <is>
          <t>^Warhead_Demolition_Heavy, ^Warhead_Demolition_Light</t>
        </is>
      </c>
    </row>
    <row r="153">
      <c r="B153" s="7" t="inlineStr">
        <is>
          <t xml:space="preserve">  ↳ 8Inch</t>
        </is>
      </c>
      <c r="C153" s="7" t="inlineStr">
        <is>
          <t>Armament@CUARTA</t>
        </is>
      </c>
      <c r="L153" s="6" t="n">
        <v>80000</v>
      </c>
      <c r="M153" s="6" t="n">
        <v>250</v>
      </c>
      <c r="N153" s="6" t="n">
        <v>2</v>
      </c>
      <c r="O153" s="6" t="n"/>
      <c r="P153" s="6" t="n">
        <v>15000</v>
      </c>
      <c r="Q153" s="6" t="n">
        <v>1</v>
      </c>
      <c r="R153">
        <f>M153+IF(N153&gt;1,N(O153)*(N153-1),0)</f>
        <v/>
      </c>
      <c r="S153">
        <f>IFERROR(L153*MAX(N153,1)/R153*IF(ISBLANK(K149),1,K149),0)</f>
        <v/>
      </c>
      <c r="AB153" s="7" t="inlineStr">
        <is>
          <t>^Warhead_Demolition_Heavy, ^Warhead_Demolition_Light</t>
        </is>
      </c>
    </row>
    <row r="154">
      <c r="B154" s="7" t="inlineStr">
        <is>
          <t xml:space="preserve">  ↳ TSHoverMissile</t>
        </is>
      </c>
      <c r="C154" s="7" t="inlineStr">
        <is>
          <t>Armament@QUINTA</t>
        </is>
      </c>
      <c r="L154" s="6" t="n">
        <v>12000</v>
      </c>
      <c r="M154" s="6" t="n">
        <v>60</v>
      </c>
      <c r="N154" s="6" t="n">
        <v>2</v>
      </c>
      <c r="O154" s="6" t="n">
        <v>8</v>
      </c>
      <c r="P154" s="6" t="n">
        <v>8159</v>
      </c>
      <c r="Q154" s="6" t="n">
        <v>1</v>
      </c>
      <c r="R154">
        <f>M154+IF(N154&gt;1,N(O154)*(N154-1),0)</f>
        <v/>
      </c>
      <c r="S154">
        <f>IFERROR(L154*MAX(N154,1)/R154*IF(ISBLANK(K149),1,K149),0)</f>
        <v/>
      </c>
      <c r="AB154" s="7" t="inlineStr">
        <is>
          <t>^FlakWeapon, ^MediumMissile, ^ShrapnelWeapon</t>
        </is>
      </c>
    </row>
    <row r="155">
      <c r="B155" s="7" t="inlineStr">
        <is>
          <t xml:space="preserve">  ↳ TSHoverMissile</t>
        </is>
      </c>
      <c r="C155" s="7" t="inlineStr">
        <is>
          <t>Armament@SEXTA</t>
        </is>
      </c>
      <c r="L155" s="6" t="n">
        <v>12000</v>
      </c>
      <c r="M155" s="6" t="n">
        <v>60</v>
      </c>
      <c r="N155" s="6" t="n">
        <v>2</v>
      </c>
      <c r="O155" s="6" t="n">
        <v>8</v>
      </c>
      <c r="P155" s="6" t="n">
        <v>8159</v>
      </c>
      <c r="Q155" s="6" t="n">
        <v>1</v>
      </c>
      <c r="R155">
        <f>M155+IF(N155&gt;1,N(O155)*(N155-1),0)</f>
        <v/>
      </c>
      <c r="S155">
        <f>IFERROR(L155*MAX(N155,1)/R155*IF(ISBLANK(K149),1,K149),0)</f>
        <v/>
      </c>
      <c r="AB155" s="7" t="inlineStr">
        <is>
          <t>^FlakWeapon, ^MediumMissile, ^ShrapnelWeapon</t>
        </is>
      </c>
    </row>
    <row r="156">
      <c r="A156" t="inlineStr">
        <is>
          <t>shared</t>
        </is>
      </c>
      <c r="B156" t="inlineStr">
        <is>
          <t>ra2carrier</t>
        </is>
      </c>
      <c r="C156" t="inlineStr">
        <is>
          <t>actor_ra2carrier.name</t>
        </is>
      </c>
      <c r="D156" s="6" t="inlineStr">
        <is>
          <t>ArtilleryShip</t>
        </is>
      </c>
      <c r="E156" s="6" t="n">
        <v>250000</v>
      </c>
      <c r="F156" s="6" t="n">
        <v>40</v>
      </c>
      <c r="G156" t="inlineStr">
        <is>
          <t>Superheavy</t>
        </is>
      </c>
      <c r="H156" s="6" t="n">
        <v>1</v>
      </c>
      <c r="I156" s="6" t="n">
        <v>1</v>
      </c>
      <c r="J156" s="6" t="n">
        <v>1</v>
      </c>
      <c r="K156" s="6" t="n"/>
      <c r="X156" s="6" t="n">
        <v>2500</v>
      </c>
    </row>
    <row r="157">
      <c r="B157" s="7" t="inlineStr">
        <is>
          <t xml:space="preserve">  ↳ RA2CarrierTarget</t>
        </is>
      </c>
      <c r="C157" s="7" t="inlineStr">
        <is>
          <t>Armament@PRIMARY</t>
        </is>
      </c>
      <c r="L157" s="6" t="n"/>
      <c r="M157" s="6" t="n">
        <v>50</v>
      </c>
      <c r="N157" s="6" t="n">
        <v>1</v>
      </c>
      <c r="O157" s="6" t="n"/>
      <c r="P157" s="6" t="n">
        <v>17500</v>
      </c>
      <c r="Q157" s="6" t="n">
        <v>1</v>
      </c>
      <c r="R157">
        <f>M157+IF(N157&gt;1,N(O157)*(N157-1),0)</f>
        <v/>
      </c>
      <c r="S157">
        <f>IFERROR(L157*MAX(N157,1)/R157*IF(ISBLANK(K156),1,K156),0)</f>
        <v/>
      </c>
      <c r="AB157" s="7" t="inlineStr"/>
    </row>
    <row r="158">
      <c r="A158" t="inlineStr">
        <is>
          <t>shared</t>
        </is>
      </c>
      <c r="B158" t="inlineStr">
        <is>
          <t>ra2dred</t>
        </is>
      </c>
      <c r="C158" t="inlineStr">
        <is>
          <t>actor_dred.name</t>
        </is>
      </c>
      <c r="D158" s="6" t="inlineStr">
        <is>
          <t>ArtilleryShip</t>
        </is>
      </c>
      <c r="E158" s="6" t="n">
        <v>250000</v>
      </c>
      <c r="F158" s="6" t="n">
        <v>50</v>
      </c>
      <c r="G158" t="inlineStr">
        <is>
          <t>Superheavy</t>
        </is>
      </c>
      <c r="H158" s="6" t="n">
        <v>1</v>
      </c>
      <c r="I158" s="6" t="n">
        <v>1</v>
      </c>
      <c r="J158" s="6" t="n">
        <v>1</v>
      </c>
      <c r="K158" s="6" t="n">
        <v>0.0125</v>
      </c>
      <c r="X158" s="6" t="n">
        <v>4000</v>
      </c>
    </row>
    <row r="159">
      <c r="B159" s="7" t="inlineStr">
        <is>
          <t xml:space="preserve">  ↳ DreadnoughtLaunch</t>
        </is>
      </c>
      <c r="C159" s="7" t="inlineStr">
        <is>
          <t>Armament@AG</t>
        </is>
      </c>
      <c r="L159" s="6" t="n"/>
      <c r="M159" s="6" t="n">
        <v>75</v>
      </c>
      <c r="N159" s="6" t="n">
        <v>2</v>
      </c>
      <c r="O159" s="6" t="n">
        <v>10</v>
      </c>
      <c r="P159" s="6" t="n">
        <v>25000</v>
      </c>
      <c r="Q159" s="6" t="n">
        <v>1</v>
      </c>
      <c r="R159">
        <f>M159+IF(N159&gt;1,N(O159)*(N159-1),0)</f>
        <v/>
      </c>
      <c r="S159">
        <f>IFERROR(L159*MAX(N159,1)/R159*IF(ISBLANK(K158),1,K158),0)</f>
        <v/>
      </c>
      <c r="AB159" s="7" t="inlineStr">
        <is>
          <t>V3Launch</t>
        </is>
      </c>
    </row>
    <row r="160">
      <c r="A160" t="inlineStr">
        <is>
          <t>redalert2</t>
        </is>
      </c>
      <c r="B160" t="inlineStr">
        <is>
          <t>yuri_boomersubmarine</t>
        </is>
      </c>
      <c r="C160" t="inlineStr">
        <is>
          <t>actor_bsub.name</t>
        </is>
      </c>
      <c r="D160" s="6" t="inlineStr">
        <is>
          <t>ArtilleryShip</t>
        </is>
      </c>
      <c r="E160" s="6" t="n">
        <v>100000</v>
      </c>
      <c r="F160" s="6" t="n">
        <v>50</v>
      </c>
      <c r="G160" t="inlineStr">
        <is>
          <t>Medium</t>
        </is>
      </c>
      <c r="H160" s="6" t="n">
        <v>0.8824</v>
      </c>
      <c r="I160" s="6" t="n">
        <v>1</v>
      </c>
      <c r="J160" s="6" t="n">
        <v>1</v>
      </c>
      <c r="K160" s="6" t="n">
        <v>0.0125</v>
      </c>
      <c r="P160">
        <f>MAX(P161)</f>
        <v/>
      </c>
      <c r="S160">
        <f>S161</f>
        <v/>
      </c>
      <c r="T160">
        <f>(E160/100000+F160/100+(P160/1000)*J160/5+S160/200)*200*I160*H160</f>
        <v/>
      </c>
      <c r="U160">
        <f>((E160*F160/25000)+((P160/1000)*J160*S160/2.5))*I160*H160</f>
        <v/>
      </c>
      <c r="V160">
        <f>(E160*F160*(P160/1000)*J160*S160*I160*H160)/12500000</f>
        <v/>
      </c>
      <c r="W160">
        <f>(T160+U160+V160)/3</f>
        <v/>
      </c>
      <c r="X160" s="6" t="n">
        <v>3350</v>
      </c>
      <c r="Y160">
        <f>IFERROR(W160-X160,"")</f>
        <v/>
      </c>
      <c r="Z160">
        <f>IFERROR(ABS(Y160)/MAX(X160,1),"")</f>
        <v/>
      </c>
      <c r="AA160">
        <f>IFERROR((X160-(((E160/100000+F160/100+S160/200)*200*I160*H160)+((E160*F160/25000)*I160*H160))/3)/(((J160/5)*200*I160*H160)+((J160*S160/2.5)*I160*H160)+((E160*F160*J160*S160*I160*H160)/12500000))/3*1000,"")</f>
        <v/>
      </c>
    </row>
    <row r="161">
      <c r="B161" s="7" t="inlineStr">
        <is>
          <t xml:space="preserve">  ↳ YRBoomerTorpedo</t>
        </is>
      </c>
      <c r="C161" s="7" t="inlineStr">
        <is>
          <t>Armament@PRIMARY</t>
        </is>
      </c>
      <c r="L161" s="6" t="n">
        <v>40000</v>
      </c>
      <c r="M161" s="6" t="n">
        <v>176</v>
      </c>
      <c r="N161" s="6" t="n">
        <v>4</v>
      </c>
      <c r="O161" s="6" t="n">
        <v>8</v>
      </c>
      <c r="P161" s="6" t="n">
        <v>15000</v>
      </c>
      <c r="Q161" s="6" t="n">
        <v>1</v>
      </c>
      <c r="R161">
        <f>M161+IF(N161&gt;1,N(O161)*(N161-1),0)</f>
        <v/>
      </c>
      <c r="S161">
        <f>IFERROR(L161*MAX(N161,1)/R161*IF(ISBLANK(K160),1,K160),0)</f>
        <v/>
      </c>
      <c r="AB161" s="7" t="inlineStr">
        <is>
          <t>^Warhead_Demolition_Light, ^Warhead_MissileAP_Heavy</t>
        </is>
      </c>
    </row>
    <row r="162">
      <c r="B162" s="7" t="inlineStr">
        <is>
          <t xml:space="preserve">  ↳ BoomerLaunch</t>
        </is>
      </c>
      <c r="C162" s="7" t="inlineStr">
        <is>
          <t>Armament@LAUNCH</t>
        </is>
      </c>
      <c r="L162" s="6" t="n"/>
      <c r="M162" s="6" t="n">
        <v>50</v>
      </c>
      <c r="N162" s="6" t="n">
        <v>2</v>
      </c>
      <c r="O162" s="6" t="n">
        <v>8</v>
      </c>
      <c r="P162" s="6" t="n">
        <v>15000</v>
      </c>
      <c r="Q162" s="6" t="n">
        <v>1</v>
      </c>
      <c r="R162">
        <f>M162+IF(N162&gt;1,N(O162)*(N162-1),0)</f>
        <v/>
      </c>
      <c r="S162">
        <f>IFERROR(L162*MAX(N162,1)/R162*IF(ISBLANK(K160),1,K160),0)</f>
        <v/>
      </c>
      <c r="AB162" s="7" t="inlineStr">
        <is>
          <t>V3Launch</t>
        </is>
      </c>
    </row>
    <row r="163">
      <c r="A163" t="inlineStr">
        <is>
          <t>redalert2mod</t>
        </is>
      </c>
      <c r="B163" t="inlineStr">
        <is>
          <t>karrier.asian</t>
        </is>
      </c>
      <c r="C163" t="inlineStr">
        <is>
          <t>Kamikaze Carrier</t>
        </is>
      </c>
      <c r="D163" s="6" t="inlineStr">
        <is>
          <t>ArtilleryShip</t>
        </is>
      </c>
      <c r="E163" s="6" t="n">
        <v>175000</v>
      </c>
      <c r="F163" s="6" t="n">
        <v>55</v>
      </c>
      <c r="G163" t="inlineStr">
        <is>
          <t>Heavy</t>
        </is>
      </c>
      <c r="H163" s="6" t="n">
        <v>0.4583</v>
      </c>
      <c r="I163" s="6" t="n">
        <v>1</v>
      </c>
      <c r="J163" s="6" t="n">
        <v>1</v>
      </c>
      <c r="K163" s="6" t="n"/>
      <c r="X163" s="6" t="n">
        <v>1750</v>
      </c>
    </row>
    <row r="164">
      <c r="B164" s="7" t="inlineStr">
        <is>
          <t xml:space="preserve">  ↳ KamikazeCarrierTarget</t>
        </is>
      </c>
      <c r="C164" s="7" t="inlineStr">
        <is>
          <t>Armament@PRIMARY</t>
        </is>
      </c>
      <c r="L164" s="6" t="n"/>
      <c r="M164" s="6" t="n">
        <v>25</v>
      </c>
      <c r="N164" s="6" t="n">
        <v>1</v>
      </c>
      <c r="O164" s="6" t="n"/>
      <c r="P164" s="6" t="n">
        <v>17500</v>
      </c>
      <c r="Q164" s="6" t="n">
        <v>1</v>
      </c>
      <c r="R164">
        <f>M164+IF(N164&gt;1,N(O164)*(N164-1),0)</f>
        <v/>
      </c>
      <c r="S164">
        <f>IFERROR(L164*MAX(N164,1)/R164*IF(ISBLANK(K163),1,K163),0)</f>
        <v/>
      </c>
      <c r="AB164" s="7" t="inlineStr"/>
    </row>
    <row r="165">
      <c r="A165" t="inlineStr">
        <is>
          <t>redalert2mod</t>
        </is>
      </c>
      <c r="B165" t="inlineStr">
        <is>
          <t>tsun.asian</t>
        </is>
      </c>
      <c r="C165" t="inlineStr">
        <is>
          <t>Tsunami Carrier</t>
        </is>
      </c>
      <c r="D165" s="6" t="inlineStr">
        <is>
          <t>ArtilleryShip</t>
        </is>
      </c>
      <c r="E165" s="6" t="n">
        <v>275000</v>
      </c>
      <c r="F165" s="6" t="n">
        <v>65</v>
      </c>
      <c r="G165" t="inlineStr">
        <is>
          <t>Superheavy</t>
        </is>
      </c>
      <c r="H165" s="6" t="n">
        <v>0.3587</v>
      </c>
      <c r="I165" s="6" t="n">
        <v>1</v>
      </c>
      <c r="J165" s="6" t="n">
        <v>1</v>
      </c>
      <c r="K165" s="6" t="n"/>
      <c r="X165" s="6" t="n">
        <v>4500</v>
      </c>
    </row>
    <row r="166">
      <c r="B166" s="7" t="inlineStr">
        <is>
          <t xml:space="preserve">  ↳ TsunamiCarrierTarget</t>
        </is>
      </c>
      <c r="C166" s="7" t="inlineStr">
        <is>
          <t>Armament@PRIMARY</t>
        </is>
      </c>
      <c r="L166" s="6" t="n"/>
      <c r="M166" s="6" t="n">
        <v>25</v>
      </c>
      <c r="N166" s="6" t="n">
        <v>1</v>
      </c>
      <c r="O166" s="6" t="n"/>
      <c r="P166" s="6" t="n">
        <v>17500</v>
      </c>
      <c r="Q166" s="6" t="n">
        <v>1</v>
      </c>
      <c r="R166">
        <f>M166+IF(N166&gt;1,N(O166)*(N166-1),0)</f>
        <v/>
      </c>
      <c r="S166">
        <f>IFERROR(L166*MAX(N166,1)/R166*IF(ISBLANK(K165),1,K165),0)</f>
        <v/>
      </c>
      <c r="AB166" s="7" t="inlineStr"/>
    </row>
    <row r="167">
      <c r="A167" t="inlineStr">
        <is>
          <t>redalert2mod</t>
        </is>
      </c>
      <c r="B167" t="inlineStr">
        <is>
          <t>muboat.nax</t>
        </is>
      </c>
      <c r="C167" t="inlineStr">
        <is>
          <t>Heavy Missile U boat</t>
        </is>
      </c>
      <c r="D167" s="6" t="inlineStr">
        <is>
          <t>ArtilleryShip</t>
        </is>
      </c>
      <c r="E167" s="6" t="n">
        <v>200000</v>
      </c>
      <c r="F167" s="6" t="n">
        <v>60</v>
      </c>
      <c r="G167" t="inlineStr">
        <is>
          <t>Medium</t>
        </is>
      </c>
      <c r="H167" s="6" t="n">
        <v>0.4331</v>
      </c>
      <c r="I167" s="6" t="n">
        <v>1</v>
      </c>
      <c r="J167" s="6" t="n">
        <v>1</v>
      </c>
      <c r="K167" s="6" t="n">
        <v>0.02</v>
      </c>
      <c r="P167">
        <f>MAX(P168)</f>
        <v/>
      </c>
      <c r="S167">
        <f>S168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2400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NaxiMissileUboat</t>
        </is>
      </c>
      <c r="C168" s="7" t="inlineStr">
        <is>
          <t>Armament</t>
        </is>
      </c>
      <c r="L168" s="6" t="n">
        <v>48000</v>
      </c>
      <c r="M168" s="6" t="n">
        <v>125</v>
      </c>
      <c r="N168" s="6" t="n">
        <v>2</v>
      </c>
      <c r="O168" s="6" t="n">
        <v>6</v>
      </c>
      <c r="P168" s="6" t="n">
        <v>15000</v>
      </c>
      <c r="Q168" s="6" t="n">
        <v>1</v>
      </c>
      <c r="R168">
        <f>M168+IF(N168&gt;1,N(O168)*(N168-1),0)</f>
        <v/>
      </c>
      <c r="S168">
        <f>IFERROR(L168*MAX(N168,1)/R168*IF(ISBLANK(K167),1,K167),0)</f>
        <v/>
      </c>
      <c r="AB168" s="7" t="inlineStr">
        <is>
          <t>^Warhead_Demolition_Light, ^Warhead_Demolition_Heavy, ^Warhead_MissileAP_Medium</t>
        </is>
      </c>
    </row>
    <row r="169">
      <c r="A169" t="inlineStr">
        <is>
          <t>redalert2mod</t>
        </is>
      </c>
      <c r="B169" t="inlineStr">
        <is>
          <t>nax_bitsmark</t>
        </is>
      </c>
      <c r="C169" t="inlineStr">
        <is>
          <t>Bitsmark Cruiser</t>
        </is>
      </c>
      <c r="D169" s="6" t="inlineStr">
        <is>
          <t>ArtilleryShip</t>
        </is>
      </c>
      <c r="E169" s="6" t="n">
        <v>335000</v>
      </c>
      <c r="F169" s="6" t="n">
        <v>40</v>
      </c>
      <c r="G169" t="inlineStr">
        <is>
          <t>Superheavy</t>
        </is>
      </c>
      <c r="H169" s="6" t="n">
        <v>0.4331</v>
      </c>
      <c r="I169" s="6" t="n">
        <v>1</v>
      </c>
      <c r="J169" s="6" t="n">
        <v>1</v>
      </c>
      <c r="K169" s="6" t="n"/>
      <c r="P169">
        <f>MAX(P170,P171,P172,P173)</f>
        <v/>
      </c>
      <c r="S169">
        <f>S170+S171+S172+S173</f>
        <v/>
      </c>
      <c r="T169">
        <f>(E169/100000+F169/100+(P169/1000)*J169/5+S169/200)*200*I169*H169</f>
        <v/>
      </c>
      <c r="U169">
        <f>((E169*F169/25000)+((P169/1000)*J169*S169/2.5))*I169*H169</f>
        <v/>
      </c>
      <c r="V169">
        <f>(E169*F169*(P169/1000)*J169*S169*I169*H169)/12500000</f>
        <v/>
      </c>
      <c r="W169">
        <f>(T169+U169+V169)/3</f>
        <v/>
      </c>
      <c r="X169" s="6" t="n">
        <v>4000</v>
      </c>
      <c r="Y169">
        <f>IFERROR(W169-X169,"")</f>
        <v/>
      </c>
      <c r="Z169">
        <f>IFERROR(ABS(Y169)/MAX(X169,1),"")</f>
        <v/>
      </c>
      <c r="AA169">
        <f>IFERROR((X169-(((E169/100000+F169/100+S169/200)*200*I169*H169)+((E169*F169/25000)*I169*H169))/3)/(((J169/5)*200*I169*H169)+((J169*S169/2.5)*I169*H169)+((E169*F169*J169*S169*I169*H169)/12500000))/3*1000,"")</f>
        <v/>
      </c>
    </row>
    <row r="170">
      <c r="B170" s="7" t="inlineStr">
        <is>
          <t xml:space="preserve">  ↳ 8Inch</t>
        </is>
      </c>
      <c r="C170" s="7" t="inlineStr">
        <is>
          <t>Armament@PRIMARY</t>
        </is>
      </c>
      <c r="L170" s="6" t="n">
        <v>80000</v>
      </c>
      <c r="M170" s="6" t="n">
        <v>250</v>
      </c>
      <c r="N170" s="6" t="n">
        <v>2</v>
      </c>
      <c r="O170" s="6" t="n"/>
      <c r="P170" s="6" t="n">
        <v>15000</v>
      </c>
      <c r="Q170" s="6" t="n">
        <v>1</v>
      </c>
      <c r="R170">
        <f>M170+IF(N170&gt;1,N(O170)*(N170-1),0)</f>
        <v/>
      </c>
      <c r="S170">
        <f>IFERROR(L170*MAX(N170,1)/R170*IF(ISBLANK(K169),1,K169),0)</f>
        <v/>
      </c>
      <c r="AB170" s="7" t="inlineStr">
        <is>
          <t>^Warhead_Demolition_Heavy, ^Warhead_Demolition_Light</t>
        </is>
      </c>
    </row>
    <row r="171">
      <c r="B171" s="7" t="inlineStr">
        <is>
          <t xml:space="preserve">  ↳ 8Inch</t>
        </is>
      </c>
      <c r="C171" s="7" t="inlineStr">
        <is>
          <t>Armament@SECONDARY</t>
        </is>
      </c>
      <c r="L171" s="6" t="n">
        <v>80000</v>
      </c>
      <c r="M171" s="6" t="n">
        <v>250</v>
      </c>
      <c r="N171" s="6" t="n">
        <v>2</v>
      </c>
      <c r="O171" s="6" t="n"/>
      <c r="P171" s="6" t="n">
        <v>15000</v>
      </c>
      <c r="Q171" s="6" t="n">
        <v>1</v>
      </c>
      <c r="R171">
        <f>M171+IF(N171&gt;1,N(O171)*(N171-1),0)</f>
        <v/>
      </c>
      <c r="S171">
        <f>IFERROR(L171*MAX(N171,1)/R171*IF(ISBLANK(K169),1,K169),0)</f>
        <v/>
      </c>
      <c r="AB171" s="7" t="inlineStr">
        <is>
          <t>^Warhead_Demolition_Heavy, ^Warhead_Demolition_Light</t>
        </is>
      </c>
    </row>
    <row r="172">
      <c r="B172" s="7" t="inlineStr">
        <is>
          <t xml:space="preserve">  ↳ 8Inch</t>
        </is>
      </c>
      <c r="C172" s="7" t="inlineStr">
        <is>
          <t>Armament@TERCERA</t>
        </is>
      </c>
      <c r="L172" s="6" t="n">
        <v>80000</v>
      </c>
      <c r="M172" s="6" t="n">
        <v>250</v>
      </c>
      <c r="N172" s="6" t="n">
        <v>2</v>
      </c>
      <c r="O172" s="6" t="n"/>
      <c r="P172" s="6" t="n">
        <v>15000</v>
      </c>
      <c r="Q172" s="6" t="n">
        <v>1</v>
      </c>
      <c r="R172">
        <f>M172+IF(N172&gt;1,N(O172)*(N172-1),0)</f>
        <v/>
      </c>
      <c r="S172">
        <f>IFERROR(L172*MAX(N172,1)/R172*IF(ISBLANK(K169),1,K169),0)</f>
        <v/>
      </c>
      <c r="AB172" s="7" t="inlineStr">
        <is>
          <t>^Warhead_Demolition_Heavy, ^Warhead_Demolition_Light</t>
        </is>
      </c>
    </row>
    <row r="173">
      <c r="B173" s="7" t="inlineStr">
        <is>
          <t xml:space="preserve">  ↳ 8Inch</t>
        </is>
      </c>
      <c r="C173" s="7" t="inlineStr">
        <is>
          <t>Armament@CUARTA</t>
        </is>
      </c>
      <c r="L173" s="6" t="n">
        <v>80000</v>
      </c>
      <c r="M173" s="6" t="n">
        <v>250</v>
      </c>
      <c r="N173" s="6" t="n">
        <v>2</v>
      </c>
      <c r="O173" s="6" t="n"/>
      <c r="P173" s="6" t="n">
        <v>15000</v>
      </c>
      <c r="Q173" s="6" t="n">
        <v>1</v>
      </c>
      <c r="R173">
        <f>M173+IF(N173&gt;1,N(O173)*(N173-1),0)</f>
        <v/>
      </c>
      <c r="S173">
        <f>IFERROR(L173*MAX(N173,1)/R173*IF(ISBLANK(K169),1,K169),0)</f>
        <v/>
      </c>
      <c r="AB173" s="7" t="inlineStr">
        <is>
          <t>^Warhead_Demolition_Heavy, ^Warhead_Demolition_Light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2026-08-18T06:40:36Z</dcterms:created>
  <dcterms:modified xsi:type="dcterms:W3CDTF">2026-08-18T06:40:36Z</dcterms:modified>
</cp:coreProperties>
</file>